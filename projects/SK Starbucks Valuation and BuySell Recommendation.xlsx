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https://indiana-my.sharepoint.com/personal/skatuwal_iu_edu/Documents/IU Kelley/Fall 2025/Spreadsheet Models/"/>
    </mc:Choice>
  </mc:AlternateContent>
  <xr:revisionPtr revIDLastSave="3517" documentId="8_{42AD21D1-3016-8A4B-A379-33F1E2162639}" xr6:coauthVersionLast="47" xr6:coauthVersionMax="47" xr10:uidLastSave="{C711BE6A-BD2C-E04D-92F2-EFD2610B63EB}"/>
  <bookViews>
    <workbookView xWindow="0" yWindow="740" windowWidth="29400" windowHeight="18380" xr2:uid="{2AECC4EC-0E6E-D94E-A4D6-482117E6BE6A}"/>
  </bookViews>
  <sheets>
    <sheet name="Cover Sheet" sheetId="24" r:id="rId1"/>
    <sheet name="Historical Balance Sheet" sheetId="13" r:id="rId2"/>
    <sheet name="Historical Income Statement" sheetId="3" r:id="rId3"/>
    <sheet name="Historical CashFlow Statement" sheetId="14" state="hidden" r:id="rId4"/>
    <sheet name="Real Revenue" sheetId="4" r:id="rId5"/>
    <sheet name="Real Operating Costs" sheetId="16" r:id="rId6"/>
    <sheet name="Forecasting Sales" sheetId="15" r:id="rId7"/>
    <sheet name="Forecasting Costs" sheetId="17" r:id="rId8"/>
    <sheet name="Interest &amp; Taxes" sheetId="18" r:id="rId9"/>
    <sheet name="Fixed Asset Forecasting" sheetId="20" r:id="rId10"/>
    <sheet name="Dividend Forecasting" sheetId="21" r:id="rId11"/>
    <sheet name="Net Working Capital" sheetId="19" r:id="rId12"/>
    <sheet name="Pro Forma Statement Step 1" sheetId="22" r:id="rId13"/>
    <sheet name="WACC" sheetId="23" r:id="rId14"/>
    <sheet name="Pro Forma Statement Step 2" sheetId="25" r:id="rId15"/>
    <sheet name="Completed Valuation" sheetId="28" r:id="rId16"/>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45928.9924189815</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2">'Pro Forma Statement Step 1'!$A$1:$M$119</definedName>
    <definedName name="_xlnm.Print_Area" localSheetId="14">'Pro Forma Statement Step 2'!$A$1:$M$122</definedName>
    <definedName name="_xlnm.Print_Area" localSheetId="13">WACC!$D$4:$Q$21</definedName>
    <definedName name="_xlnm.Print_Titles" localSheetId="1">'Historical Balance Sheet'!#REF!</definedName>
    <definedName name="solver_adj" localSheetId="12" hidden="1">'Pro Forma Statement Step 1'!$M$24</definedName>
    <definedName name="solver_adj" localSheetId="14" hidden="1">'Pro Forma Statement Step 2'!$D$82</definedName>
    <definedName name="solver_cvg" localSheetId="12" hidden="1">0.0001</definedName>
    <definedName name="solver_cvg" localSheetId="14" hidden="1">0.0001</definedName>
    <definedName name="solver_drv" localSheetId="12" hidden="1">1</definedName>
    <definedName name="solver_drv" localSheetId="14" hidden="1">1</definedName>
    <definedName name="solver_eng" localSheetId="12" hidden="1">1</definedName>
    <definedName name="solver_eng" localSheetId="14" hidden="1">2</definedName>
    <definedName name="solver_est" localSheetId="12" hidden="1">1</definedName>
    <definedName name="solver_est" localSheetId="14" hidden="1">1</definedName>
    <definedName name="solver_itr" localSheetId="12" hidden="1">2147483647</definedName>
    <definedName name="solver_itr" localSheetId="14" hidden="1">2147483647</definedName>
    <definedName name="solver_lhs1" localSheetId="12" hidden="1">'Pro Forma Statement Step 1'!$H$118</definedName>
    <definedName name="solver_lhs1" localSheetId="14" hidden="1">'Pro Forma Statement Step 2'!$D$102</definedName>
    <definedName name="solver_lhs2" localSheetId="14" hidden="1">'Pro Forma Statement Step 2'!$D$121</definedName>
    <definedName name="solver_lhs3" localSheetId="14" hidden="1">'Pro Forma Statement Step 2'!$D$82</definedName>
    <definedName name="solver_lhs4" localSheetId="14" hidden="1">'Pro Forma Statement Step 2'!$D$97</definedName>
    <definedName name="solver_lin" localSheetId="14" hidden="1">1</definedName>
    <definedName name="solver_mip" localSheetId="12" hidden="1">2147483647</definedName>
    <definedName name="solver_mip" localSheetId="14" hidden="1">2147483647</definedName>
    <definedName name="solver_mni" localSheetId="12" hidden="1">30</definedName>
    <definedName name="solver_mni" localSheetId="14" hidden="1">30</definedName>
    <definedName name="solver_mrt" localSheetId="12" hidden="1">0.075</definedName>
    <definedName name="solver_mrt" localSheetId="14" hidden="1">0.075</definedName>
    <definedName name="solver_msl" localSheetId="12" hidden="1">2</definedName>
    <definedName name="solver_msl" localSheetId="14" hidden="1">2</definedName>
    <definedName name="solver_neg" localSheetId="12" hidden="1">1</definedName>
    <definedName name="solver_neg" localSheetId="14" hidden="1">1</definedName>
    <definedName name="solver_nod" localSheetId="12" hidden="1">2147483647</definedName>
    <definedName name="solver_nod" localSheetId="14" hidden="1">2147483647</definedName>
    <definedName name="solver_num" localSheetId="12" hidden="1">0</definedName>
    <definedName name="solver_num" localSheetId="14" hidden="1">3</definedName>
    <definedName name="solver_nwt" localSheetId="12" hidden="1">1</definedName>
    <definedName name="solver_nwt" localSheetId="14" hidden="1">1</definedName>
    <definedName name="solver_opt" localSheetId="12" hidden="1">'Pro Forma Statement Step 1'!$M$117</definedName>
    <definedName name="solver_opt" localSheetId="14" hidden="1">'Pro Forma Statement Step 2'!$D$119</definedName>
    <definedName name="solver_pre" localSheetId="12" hidden="1">0.000001</definedName>
    <definedName name="solver_pre" localSheetId="14" hidden="1">0.000001</definedName>
    <definedName name="solver_rbv" localSheetId="12" hidden="1">1</definedName>
    <definedName name="solver_rbv" localSheetId="14" hidden="1">1</definedName>
    <definedName name="solver_rel1" localSheetId="12" hidden="1">3</definedName>
    <definedName name="solver_rel1" localSheetId="14" hidden="1">3</definedName>
    <definedName name="solver_rel2" localSheetId="14" hidden="1">3</definedName>
    <definedName name="solver_rel3" localSheetId="14" hidden="1">1</definedName>
    <definedName name="solver_rel4" localSheetId="14" hidden="1">1</definedName>
    <definedName name="solver_rhs1" localSheetId="12" hidden="1">0.7</definedName>
    <definedName name="solver_rhs1" localSheetId="14" hidden="1">0</definedName>
    <definedName name="solver_rhs2" localSheetId="14" hidden="1">136%</definedName>
    <definedName name="solver_rhs3" localSheetId="14" hidden="1">0</definedName>
    <definedName name="solver_rhs4" localSheetId="14" hidden="1">830.9</definedName>
    <definedName name="solver_rlx" localSheetId="12" hidden="1">2</definedName>
    <definedName name="solver_rlx" localSheetId="14" hidden="1">2</definedName>
    <definedName name="solver_rsd" localSheetId="12" hidden="1">0</definedName>
    <definedName name="solver_rsd" localSheetId="14" hidden="1">0</definedName>
    <definedName name="solver_scl" localSheetId="12" hidden="1">1</definedName>
    <definedName name="solver_scl" localSheetId="14" hidden="1">1</definedName>
    <definedName name="solver_sho" localSheetId="12" hidden="1">2</definedName>
    <definedName name="solver_sho" localSheetId="14" hidden="1">2</definedName>
    <definedName name="solver_ssz" localSheetId="12" hidden="1">100</definedName>
    <definedName name="solver_ssz" localSheetId="14" hidden="1">100</definedName>
    <definedName name="solver_tim" localSheetId="12" hidden="1">2147483647</definedName>
    <definedName name="solver_tim" localSheetId="14" hidden="1">2147483647</definedName>
    <definedName name="solver_tol" localSheetId="12" hidden="1">0.01</definedName>
    <definedName name="solver_tol" localSheetId="14" hidden="1">0.01</definedName>
    <definedName name="solver_typ" localSheetId="12" hidden="1">3</definedName>
    <definedName name="solver_typ" localSheetId="14" hidden="1">3</definedName>
    <definedName name="solver_val" localSheetId="12" hidden="1">0</definedName>
    <definedName name="solver_val" localSheetId="14" hidden="1">0</definedName>
    <definedName name="solver_ver" localSheetId="12" hidden="1">3</definedName>
    <definedName name="solver_ver" localSheetId="14"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8" i="25" l="1"/>
  <c r="F118" i="25"/>
  <c r="G118" i="25"/>
  <c r="H118" i="25"/>
  <c r="I118" i="25"/>
  <c r="J118" i="25"/>
  <c r="K118" i="25"/>
  <c r="L118" i="25"/>
  <c r="M118" i="25"/>
  <c r="D118" i="25"/>
  <c r="B8" i="28"/>
  <c r="B10" i="28"/>
  <c r="D96" i="25"/>
  <c r="C111" i="25"/>
  <c r="C110" i="25"/>
  <c r="D110" i="25" s="1"/>
  <c r="E110" i="25" s="1"/>
  <c r="M96" i="25"/>
  <c r="B21" i="28" s="1"/>
  <c r="L96" i="25"/>
  <c r="K96" i="25"/>
  <c r="J96" i="25"/>
  <c r="I96" i="25"/>
  <c r="H96" i="25"/>
  <c r="G96" i="25"/>
  <c r="F96" i="25"/>
  <c r="E96" i="25"/>
  <c r="M58" i="25"/>
  <c r="L58" i="25"/>
  <c r="K58" i="25"/>
  <c r="J58" i="25"/>
  <c r="I58" i="25"/>
  <c r="H58" i="25"/>
  <c r="G58" i="25"/>
  <c r="F58" i="25"/>
  <c r="E58" i="25"/>
  <c r="D58" i="25"/>
  <c r="C53" i="25"/>
  <c r="D53" i="25" s="1"/>
  <c r="E53" i="25" s="1"/>
  <c r="F53" i="25" s="1"/>
  <c r="G53" i="25" s="1"/>
  <c r="H53" i="25" s="1"/>
  <c r="I53" i="25" s="1"/>
  <c r="J53" i="25" s="1"/>
  <c r="K53" i="25" s="1"/>
  <c r="L53" i="25" s="1"/>
  <c r="M53" i="25" s="1"/>
  <c r="F52" i="25"/>
  <c r="G52" i="25" s="1"/>
  <c r="H52" i="25" s="1"/>
  <c r="I52" i="25" s="1"/>
  <c r="J52" i="25" s="1"/>
  <c r="K52" i="25" s="1"/>
  <c r="L52" i="25" s="1"/>
  <c r="M52" i="25" s="1"/>
  <c r="F51" i="25"/>
  <c r="G51" i="25" s="1"/>
  <c r="H51" i="25" s="1"/>
  <c r="I51" i="25" s="1"/>
  <c r="J51" i="25" s="1"/>
  <c r="K51" i="25" s="1"/>
  <c r="L51" i="25" s="1"/>
  <c r="M51" i="25" s="1"/>
  <c r="D50" i="25"/>
  <c r="D109" i="25" s="1"/>
  <c r="M48" i="25"/>
  <c r="L48" i="25"/>
  <c r="K48" i="25"/>
  <c r="J48" i="25"/>
  <c r="I48" i="25"/>
  <c r="H48" i="25"/>
  <c r="G48" i="25"/>
  <c r="F48" i="25"/>
  <c r="E48" i="25"/>
  <c r="D48" i="25"/>
  <c r="M47" i="25"/>
  <c r="L47" i="25"/>
  <c r="K47" i="25"/>
  <c r="J47" i="25"/>
  <c r="I47" i="25"/>
  <c r="H47" i="25"/>
  <c r="G47" i="25"/>
  <c r="F47" i="25"/>
  <c r="E47" i="25"/>
  <c r="D47" i="25"/>
  <c r="M46" i="25"/>
  <c r="L46" i="25"/>
  <c r="K46" i="25"/>
  <c r="J46" i="25"/>
  <c r="I46" i="25"/>
  <c r="H46" i="25"/>
  <c r="G46" i="25"/>
  <c r="F46" i="25"/>
  <c r="E46" i="25"/>
  <c r="D46" i="25"/>
  <c r="M45" i="25"/>
  <c r="L45" i="25"/>
  <c r="K45" i="25"/>
  <c r="J45" i="25"/>
  <c r="I45" i="25"/>
  <c r="H45" i="25"/>
  <c r="G45" i="25"/>
  <c r="F45" i="25"/>
  <c r="E45" i="25"/>
  <c r="D45" i="25"/>
  <c r="M44" i="25"/>
  <c r="L44" i="25"/>
  <c r="K44" i="25"/>
  <c r="J44" i="25"/>
  <c r="I44" i="25"/>
  <c r="H44" i="25"/>
  <c r="G44" i="25"/>
  <c r="F44" i="25"/>
  <c r="E44" i="25"/>
  <c r="D44" i="25"/>
  <c r="M43" i="25"/>
  <c r="L43" i="25"/>
  <c r="K43" i="25"/>
  <c r="J43" i="25"/>
  <c r="I43" i="25"/>
  <c r="H43" i="25"/>
  <c r="G43" i="25"/>
  <c r="F43" i="25"/>
  <c r="E43" i="25"/>
  <c r="D43" i="25"/>
  <c r="M42" i="25"/>
  <c r="L42" i="25"/>
  <c r="K42" i="25"/>
  <c r="J42" i="25"/>
  <c r="I42" i="25"/>
  <c r="H42" i="25"/>
  <c r="G42" i="25"/>
  <c r="F42" i="25"/>
  <c r="E42" i="25"/>
  <c r="D42" i="25"/>
  <c r="M41" i="25"/>
  <c r="L41" i="25"/>
  <c r="K41" i="25"/>
  <c r="J41" i="25"/>
  <c r="I41" i="25"/>
  <c r="H41" i="25"/>
  <c r="G41" i="25"/>
  <c r="F41" i="25"/>
  <c r="E41" i="25"/>
  <c r="D41" i="25"/>
  <c r="D90" i="25" s="1"/>
  <c r="M40" i="25"/>
  <c r="L40" i="25"/>
  <c r="K40" i="25"/>
  <c r="J40" i="25"/>
  <c r="I40" i="25"/>
  <c r="H40" i="25"/>
  <c r="G40" i="25"/>
  <c r="F40" i="25"/>
  <c r="E40" i="25"/>
  <c r="D40" i="25"/>
  <c r="D88" i="25" s="1"/>
  <c r="M39" i="25"/>
  <c r="L39" i="25"/>
  <c r="K39" i="25"/>
  <c r="J39" i="25"/>
  <c r="I39" i="25"/>
  <c r="H39" i="25"/>
  <c r="G39" i="25"/>
  <c r="F39" i="25"/>
  <c r="E39" i="25"/>
  <c r="D39" i="25"/>
  <c r="M38" i="25"/>
  <c r="L38" i="25"/>
  <c r="K38" i="25"/>
  <c r="J38" i="25"/>
  <c r="I38" i="25"/>
  <c r="H38" i="25"/>
  <c r="G38" i="25"/>
  <c r="F38" i="25"/>
  <c r="E38" i="25"/>
  <c r="D38" i="25"/>
  <c r="M37" i="25"/>
  <c r="L37" i="25"/>
  <c r="K37" i="25"/>
  <c r="J37" i="25"/>
  <c r="I37" i="25"/>
  <c r="H37" i="25"/>
  <c r="G37" i="25"/>
  <c r="F37" i="25"/>
  <c r="E37" i="25"/>
  <c r="D37" i="25"/>
  <c r="M36" i="25"/>
  <c r="L36" i="25"/>
  <c r="K36" i="25"/>
  <c r="J36" i="25"/>
  <c r="I36" i="25"/>
  <c r="H36" i="25"/>
  <c r="G36" i="25"/>
  <c r="F36" i="25"/>
  <c r="E36" i="25"/>
  <c r="D36" i="25"/>
  <c r="M35" i="25"/>
  <c r="L35" i="25"/>
  <c r="K35" i="25"/>
  <c r="J35" i="25"/>
  <c r="I35" i="25"/>
  <c r="H35" i="25"/>
  <c r="G35" i="25"/>
  <c r="F35" i="25"/>
  <c r="E35" i="25"/>
  <c r="D35" i="25"/>
  <c r="M34" i="25"/>
  <c r="L34" i="25"/>
  <c r="K34" i="25"/>
  <c r="J34" i="25"/>
  <c r="I34" i="25"/>
  <c r="H34" i="25"/>
  <c r="G34" i="25"/>
  <c r="F34" i="25"/>
  <c r="E34" i="25"/>
  <c r="D34" i="25"/>
  <c r="M33" i="25"/>
  <c r="L33" i="25"/>
  <c r="K33" i="25"/>
  <c r="J33" i="25"/>
  <c r="I33" i="25"/>
  <c r="H33" i="25"/>
  <c r="G33" i="25"/>
  <c r="F33" i="25"/>
  <c r="E33" i="25"/>
  <c r="D33" i="25"/>
  <c r="M32" i="25"/>
  <c r="L32" i="25"/>
  <c r="K32" i="25"/>
  <c r="J32" i="25"/>
  <c r="I32" i="25"/>
  <c r="H32" i="25"/>
  <c r="G32" i="25"/>
  <c r="F32" i="25"/>
  <c r="E32" i="25"/>
  <c r="D32" i="25"/>
  <c r="M31" i="25"/>
  <c r="L31" i="25"/>
  <c r="K31" i="25"/>
  <c r="J31" i="25"/>
  <c r="I31" i="25"/>
  <c r="H31" i="25"/>
  <c r="G31" i="25"/>
  <c r="F31" i="25"/>
  <c r="E31" i="25"/>
  <c r="D31" i="25"/>
  <c r="M30" i="25"/>
  <c r="L30" i="25"/>
  <c r="K30" i="25"/>
  <c r="J30" i="25"/>
  <c r="I30" i="25"/>
  <c r="H30" i="25"/>
  <c r="G30" i="25"/>
  <c r="F30" i="25"/>
  <c r="E30" i="25"/>
  <c r="D30" i="25"/>
  <c r="E28" i="25"/>
  <c r="F28" i="25" s="1"/>
  <c r="G28" i="25" s="1"/>
  <c r="E26" i="25"/>
  <c r="F26" i="25" s="1"/>
  <c r="G26" i="25" s="1"/>
  <c r="H26" i="25" s="1"/>
  <c r="I26" i="25" s="1"/>
  <c r="J26" i="25" s="1"/>
  <c r="K26" i="25" s="1"/>
  <c r="L26" i="25" s="1"/>
  <c r="M26" i="25" s="1"/>
  <c r="E25" i="25"/>
  <c r="F25" i="25" s="1"/>
  <c r="G25" i="25" s="1"/>
  <c r="H25" i="25" s="1"/>
  <c r="I25" i="25" s="1"/>
  <c r="J25" i="25" s="1"/>
  <c r="K25" i="25" s="1"/>
  <c r="L25" i="25" s="1"/>
  <c r="M25" i="25" s="1"/>
  <c r="D23" i="25" a="1"/>
  <c r="D23" i="25" s="1"/>
  <c r="D22" i="25" a="1"/>
  <c r="E102" i="25" s="1"/>
  <c r="M21" i="25"/>
  <c r="L21" i="25"/>
  <c r="K21" i="25"/>
  <c r="J21" i="25"/>
  <c r="I21" i="25"/>
  <c r="H21" i="25"/>
  <c r="G21" i="25"/>
  <c r="F21" i="25"/>
  <c r="E21" i="25"/>
  <c r="D21" i="25"/>
  <c r="M20" i="25"/>
  <c r="L20" i="25"/>
  <c r="K20" i="25"/>
  <c r="J20" i="25"/>
  <c r="I20" i="25"/>
  <c r="H20" i="25"/>
  <c r="G20" i="25"/>
  <c r="F20" i="25"/>
  <c r="E20" i="25"/>
  <c r="D20" i="25"/>
  <c r="M19" i="25"/>
  <c r="L19" i="25"/>
  <c r="K19" i="25"/>
  <c r="J19" i="25"/>
  <c r="I19" i="25"/>
  <c r="H19" i="25"/>
  <c r="G19" i="25"/>
  <c r="F19" i="25"/>
  <c r="E19" i="25"/>
  <c r="D19" i="25"/>
  <c r="M18" i="25"/>
  <c r="L18" i="25"/>
  <c r="K18" i="25"/>
  <c r="J18" i="25"/>
  <c r="I18" i="25"/>
  <c r="H18" i="25"/>
  <c r="G18" i="25"/>
  <c r="F18" i="25"/>
  <c r="E18" i="25"/>
  <c r="D18" i="25"/>
  <c r="M17" i="25"/>
  <c r="L17" i="25"/>
  <c r="K17" i="25"/>
  <c r="J17" i="25"/>
  <c r="I17" i="25"/>
  <c r="H17" i="25"/>
  <c r="G17" i="25"/>
  <c r="F17" i="25"/>
  <c r="E17" i="25"/>
  <c r="D17" i="25"/>
  <c r="M14" i="25"/>
  <c r="L14" i="25"/>
  <c r="K14" i="25"/>
  <c r="J14" i="25"/>
  <c r="I14" i="25"/>
  <c r="H14" i="25"/>
  <c r="G14" i="25"/>
  <c r="F14" i="25"/>
  <c r="E14" i="25"/>
  <c r="D14" i="25"/>
  <c r="C14" i="25"/>
  <c r="C8" i="25"/>
  <c r="D7" i="25"/>
  <c r="E7" i="25" s="1"/>
  <c r="F7" i="25" s="1"/>
  <c r="F49" i="25" s="1"/>
  <c r="D6" i="25" a="1"/>
  <c r="J4" i="25" s="1"/>
  <c r="C6" i="25"/>
  <c r="C10" i="25" s="1"/>
  <c r="D118" i="22"/>
  <c r="D119" i="22"/>
  <c r="D102" i="22"/>
  <c r="D96" i="22"/>
  <c r="D68" i="22"/>
  <c r="D53" i="22"/>
  <c r="D15" i="22"/>
  <c r="C31" i="19"/>
  <c r="C110" i="22"/>
  <c r="D110" i="22" s="1"/>
  <c r="C111" i="22"/>
  <c r="B34" i="3"/>
  <c r="B31" i="3"/>
  <c r="F52" i="22"/>
  <c r="G52" i="22" s="1"/>
  <c r="H52" i="22" s="1"/>
  <c r="I52" i="22" s="1"/>
  <c r="J52" i="22" s="1"/>
  <c r="K52" i="22" s="1"/>
  <c r="L52" i="22" s="1"/>
  <c r="M52" i="22" s="1"/>
  <c r="F51" i="22"/>
  <c r="G51" i="22" s="1"/>
  <c r="H51" i="22" s="1"/>
  <c r="I51" i="22" s="1"/>
  <c r="J51" i="22" s="1"/>
  <c r="K51" i="22" s="1"/>
  <c r="L51" i="22" s="1"/>
  <c r="M51" i="22" s="1"/>
  <c r="D50" i="22"/>
  <c r="E50" i="22" s="1"/>
  <c r="F50" i="22" s="1"/>
  <c r="F109" i="22" s="1"/>
  <c r="E28" i="22"/>
  <c r="F28" i="22" s="1"/>
  <c r="G28" i="22" s="1"/>
  <c r="H28" i="22" s="1"/>
  <c r="I28" i="22" s="1"/>
  <c r="J28" i="22" s="1"/>
  <c r="K28" i="22" s="1"/>
  <c r="L28" i="22" s="1"/>
  <c r="M28" i="22" s="1"/>
  <c r="M102" i="25" l="1"/>
  <c r="B20" i="28" s="1"/>
  <c r="K102" i="25"/>
  <c r="L102" i="25"/>
  <c r="G102" i="25"/>
  <c r="J102" i="25"/>
  <c r="I102" i="25"/>
  <c r="H102" i="25"/>
  <c r="F102" i="25"/>
  <c r="E88" i="25"/>
  <c r="F88" i="25" s="1"/>
  <c r="G88" i="25" s="1"/>
  <c r="H88" i="25" s="1"/>
  <c r="I88" i="25" s="1"/>
  <c r="J88" i="25" s="1"/>
  <c r="K88" i="25" s="1"/>
  <c r="L88" i="25" s="1"/>
  <c r="M88" i="25" s="1"/>
  <c r="E90" i="25"/>
  <c r="F90" i="25" s="1"/>
  <c r="G90" i="25" s="1"/>
  <c r="H90" i="25" s="1"/>
  <c r="I90" i="25" s="1"/>
  <c r="J90" i="25" s="1"/>
  <c r="K90" i="25" s="1"/>
  <c r="L90" i="25" s="1"/>
  <c r="M90" i="25" s="1"/>
  <c r="F110" i="25"/>
  <c r="G110" i="25" s="1"/>
  <c r="H110" i="25" s="1"/>
  <c r="I110" i="25" s="1"/>
  <c r="J110" i="25" s="1"/>
  <c r="K110" i="25" s="1"/>
  <c r="L110" i="25" s="1"/>
  <c r="M110" i="25" s="1"/>
  <c r="F4" i="25"/>
  <c r="G7" i="25"/>
  <c r="D8" i="25"/>
  <c r="E8" i="25" s="1"/>
  <c r="E50" i="25"/>
  <c r="F50" i="25" s="1"/>
  <c r="H28" i="25"/>
  <c r="H7" i="25"/>
  <c r="G49" i="25"/>
  <c r="D22" i="25"/>
  <c r="D102" i="25" s="1"/>
  <c r="M4" i="25"/>
  <c r="I4" i="25"/>
  <c r="H4" i="25"/>
  <c r="G4" i="25"/>
  <c r="K4" i="25"/>
  <c r="E49" i="25"/>
  <c r="L4" i="25"/>
  <c r="D6" i="25"/>
  <c r="D49" i="25"/>
  <c r="D74" i="25"/>
  <c r="D87" i="25"/>
  <c r="D89" i="25" s="1"/>
  <c r="D109" i="22"/>
  <c r="E109" i="22"/>
  <c r="E110" i="22"/>
  <c r="F110" i="22" s="1"/>
  <c r="G110" i="22" s="1"/>
  <c r="H110" i="22" s="1"/>
  <c r="I110" i="22" s="1"/>
  <c r="J110" i="22" s="1"/>
  <c r="K110" i="22" s="1"/>
  <c r="L110" i="22" s="1"/>
  <c r="M110" i="22" s="1"/>
  <c r="G50" i="22"/>
  <c r="G109" i="22" s="1"/>
  <c r="E109" i="25" l="1"/>
  <c r="E74" i="25"/>
  <c r="D106" i="25"/>
  <c r="E106" i="25" s="1"/>
  <c r="F106" i="25" s="1"/>
  <c r="G106" i="25" s="1"/>
  <c r="D105" i="25"/>
  <c r="E105" i="25" s="1"/>
  <c r="F105" i="25" s="1"/>
  <c r="G105" i="25" s="1"/>
  <c r="D104" i="25"/>
  <c r="E104" i="25" s="1"/>
  <c r="F104" i="25" s="1"/>
  <c r="G104" i="25" s="1"/>
  <c r="D103" i="25"/>
  <c r="E103" i="25" s="1"/>
  <c r="F103" i="25" s="1"/>
  <c r="G103" i="25" s="1"/>
  <c r="I7" i="25"/>
  <c r="H49" i="25"/>
  <c r="D10" i="25"/>
  <c r="E4" i="25"/>
  <c r="D4" i="25"/>
  <c r="E87" i="25"/>
  <c r="I28" i="25"/>
  <c r="F109" i="25"/>
  <c r="G50" i="25"/>
  <c r="F74" i="25"/>
  <c r="F8" i="25"/>
  <c r="E10" i="25"/>
  <c r="L15" i="23"/>
  <c r="G8" i="23"/>
  <c r="G15" i="23" s="1"/>
  <c r="G7" i="23"/>
  <c r="L8" i="23" s="1"/>
  <c r="G6" i="23"/>
  <c r="G5" i="23"/>
  <c r="G4" i="23"/>
  <c r="K7" i="23" s="1"/>
  <c r="F4" i="23"/>
  <c r="K3" i="23" s="1"/>
  <c r="G3" i="23"/>
  <c r="J6" i="23" s="1"/>
  <c r="F8" i="23"/>
  <c r="M3" i="23" s="1"/>
  <c r="F7" i="23"/>
  <c r="L3" i="23" s="1"/>
  <c r="F6" i="23"/>
  <c r="F5" i="23"/>
  <c r="F3" i="23"/>
  <c r="J3" i="23" s="1"/>
  <c r="C51" i="23"/>
  <c r="D51" i="23"/>
  <c r="D54" i="23" s="1"/>
  <c r="E51" i="23"/>
  <c r="B51" i="23"/>
  <c r="B54" i="23" s="1"/>
  <c r="B11" i="23"/>
  <c r="B14" i="23"/>
  <c r="B8" i="23"/>
  <c r="L9" i="23"/>
  <c r="L7" i="23"/>
  <c r="E21" i="22"/>
  <c r="I21" i="22"/>
  <c r="J21" i="22"/>
  <c r="K21" i="22"/>
  <c r="L21" i="22"/>
  <c r="M21" i="22"/>
  <c r="D21" i="22"/>
  <c r="H23" i="17"/>
  <c r="F21" i="22" s="1"/>
  <c r="H106" i="25" l="1"/>
  <c r="E59" i="25"/>
  <c r="E11" i="25"/>
  <c r="E15" i="25" s="1"/>
  <c r="H103" i="25"/>
  <c r="G8" i="25"/>
  <c r="F10" i="25"/>
  <c r="D11" i="25"/>
  <c r="D59" i="25"/>
  <c r="G109" i="25"/>
  <c r="G74" i="25"/>
  <c r="H50" i="25"/>
  <c r="J7" i="25"/>
  <c r="I49" i="25"/>
  <c r="I106" i="25" s="1"/>
  <c r="J28" i="25"/>
  <c r="H104" i="25"/>
  <c r="I104" i="25" s="1"/>
  <c r="E89" i="25"/>
  <c r="E126" i="25" s="1"/>
  <c r="C8" i="28" s="1"/>
  <c r="F87" i="25"/>
  <c r="H105" i="25"/>
  <c r="L12" i="23"/>
  <c r="L19" i="23"/>
  <c r="L11" i="23"/>
  <c r="L14" i="23"/>
  <c r="L17" i="23"/>
  <c r="L6" i="23"/>
  <c r="L16" i="23"/>
  <c r="M8" i="23"/>
  <c r="M5" i="23"/>
  <c r="J5" i="23"/>
  <c r="M18" i="23"/>
  <c r="M11" i="23"/>
  <c r="G12" i="23"/>
  <c r="L18" i="23"/>
  <c r="F9" i="23"/>
  <c r="B10" i="23" s="1"/>
  <c r="B12" i="23" s="1"/>
  <c r="G13" i="23"/>
  <c r="M6" i="23"/>
  <c r="M15" i="23"/>
  <c r="N15" i="23" s="1"/>
  <c r="O15" i="23" s="1"/>
  <c r="M16" i="23"/>
  <c r="N16" i="23" s="1"/>
  <c r="M19" i="23"/>
  <c r="M9" i="23"/>
  <c r="M14" i="23"/>
  <c r="G14" i="23"/>
  <c r="M17" i="23"/>
  <c r="N17" i="23" s="1"/>
  <c r="J8" i="23"/>
  <c r="G9" i="23"/>
  <c r="M7" i="23"/>
  <c r="L5" i="23"/>
  <c r="M10" i="23"/>
  <c r="M13" i="23"/>
  <c r="M12" i="23"/>
  <c r="L10" i="23"/>
  <c r="L13" i="23"/>
  <c r="K10" i="23"/>
  <c r="K9" i="23"/>
  <c r="K8" i="23"/>
  <c r="J7" i="23"/>
  <c r="K11" i="23"/>
  <c r="K13" i="23"/>
  <c r="K12" i="23"/>
  <c r="K6" i="23"/>
  <c r="K5" i="23"/>
  <c r="B16" i="23"/>
  <c r="B18" i="23" s="1"/>
  <c r="H21" i="22"/>
  <c r="G21" i="22"/>
  <c r="D113" i="25" l="1"/>
  <c r="E113" i="25" s="1"/>
  <c r="D15" i="25"/>
  <c r="D27" i="25"/>
  <c r="E27" i="25" s="1"/>
  <c r="H8" i="25"/>
  <c r="G10" i="25"/>
  <c r="D100" i="25"/>
  <c r="D68" i="25" s="1"/>
  <c r="D99" i="25"/>
  <c r="D98" i="25"/>
  <c r="D97" i="25"/>
  <c r="D95" i="25"/>
  <c r="D94" i="25"/>
  <c r="D84" i="25"/>
  <c r="D83" i="25"/>
  <c r="D80" i="25"/>
  <c r="D65" i="25"/>
  <c r="D60" i="25"/>
  <c r="D85" i="25"/>
  <c r="D64" i="25"/>
  <c r="D63" i="25"/>
  <c r="D81" i="25"/>
  <c r="K28" i="25"/>
  <c r="I50" i="25"/>
  <c r="H109" i="25"/>
  <c r="H74" i="25"/>
  <c r="E100" i="25"/>
  <c r="E68" i="25" s="1"/>
  <c r="E99" i="25"/>
  <c r="E98" i="25"/>
  <c r="E97" i="25"/>
  <c r="E95" i="25"/>
  <c r="E94" i="25"/>
  <c r="E84" i="25"/>
  <c r="E83" i="25"/>
  <c r="E80" i="25"/>
  <c r="E65" i="25"/>
  <c r="E60" i="25"/>
  <c r="E85" i="25"/>
  <c r="E64" i="25"/>
  <c r="E81" i="25"/>
  <c r="E63" i="25"/>
  <c r="F11" i="25"/>
  <c r="F15" i="25" s="1"/>
  <c r="F59" i="25"/>
  <c r="J49" i="25"/>
  <c r="J106" i="25" s="1"/>
  <c r="K7" i="25"/>
  <c r="I103" i="25"/>
  <c r="I105" i="25"/>
  <c r="G87" i="25"/>
  <c r="F89" i="25"/>
  <c r="F126" i="25" s="1"/>
  <c r="D8" i="28" s="1"/>
  <c r="N14" i="23"/>
  <c r="O14" i="23" s="1"/>
  <c r="N19" i="23"/>
  <c r="O19" i="23" s="1"/>
  <c r="O17" i="23"/>
  <c r="O16" i="23"/>
  <c r="N5" i="23"/>
  <c r="N18" i="23"/>
  <c r="O18" i="23" s="1"/>
  <c r="N9" i="23"/>
  <c r="N6" i="23"/>
  <c r="N8" i="23"/>
  <c r="N10" i="23"/>
  <c r="N12" i="23"/>
  <c r="N13" i="23"/>
  <c r="N7" i="23"/>
  <c r="N11" i="23"/>
  <c r="B17" i="23"/>
  <c r="B21" i="23" s="1"/>
  <c r="C4" i="21"/>
  <c r="D4" i="21"/>
  <c r="E4" i="21"/>
  <c r="F4" i="21"/>
  <c r="G4" i="21"/>
  <c r="H4" i="21"/>
  <c r="I4" i="21"/>
  <c r="J4" i="21"/>
  <c r="K4" i="21"/>
  <c r="B4" i="21"/>
  <c r="K3" i="21"/>
  <c r="C3" i="21"/>
  <c r="D3" i="21"/>
  <c r="D7" i="21" s="1"/>
  <c r="E3" i="21"/>
  <c r="F3" i="21"/>
  <c r="F7" i="21" s="1"/>
  <c r="G3" i="21"/>
  <c r="H3" i="21"/>
  <c r="I3" i="21"/>
  <c r="J3" i="21"/>
  <c r="B3" i="21"/>
  <c r="C3" i="20"/>
  <c r="D3" i="20"/>
  <c r="D4" i="20" s="1"/>
  <c r="E3" i="20"/>
  <c r="E4" i="20" s="1"/>
  <c r="F3" i="20"/>
  <c r="G3" i="20"/>
  <c r="H3" i="20"/>
  <c r="I3" i="20"/>
  <c r="I4" i="20" s="1"/>
  <c r="J3" i="20"/>
  <c r="K3" i="20"/>
  <c r="B3" i="20"/>
  <c r="C22" i="19"/>
  <c r="D22" i="19"/>
  <c r="E22" i="19"/>
  <c r="F22" i="19"/>
  <c r="G22" i="19"/>
  <c r="H22" i="19"/>
  <c r="I22" i="19"/>
  <c r="J22" i="19"/>
  <c r="K22" i="19"/>
  <c r="C23" i="19"/>
  <c r="D23" i="19"/>
  <c r="E23" i="19"/>
  <c r="F23" i="19"/>
  <c r="G23" i="19"/>
  <c r="H23" i="19"/>
  <c r="I23" i="19"/>
  <c r="J23" i="19"/>
  <c r="K23" i="19"/>
  <c r="C24" i="19"/>
  <c r="D24" i="19"/>
  <c r="E24" i="19"/>
  <c r="F24" i="19"/>
  <c r="G24" i="19"/>
  <c r="H24" i="19"/>
  <c r="I24" i="19"/>
  <c r="J24" i="19"/>
  <c r="K24" i="19"/>
  <c r="C25" i="19"/>
  <c r="D25" i="19"/>
  <c r="E25" i="19"/>
  <c r="F25" i="19"/>
  <c r="G25" i="19"/>
  <c r="H25" i="19"/>
  <c r="I25" i="19"/>
  <c r="J25" i="19"/>
  <c r="K25" i="19"/>
  <c r="C26" i="19"/>
  <c r="D26" i="19"/>
  <c r="E26" i="19"/>
  <c r="F26" i="19"/>
  <c r="G26" i="19"/>
  <c r="H26" i="19"/>
  <c r="I26" i="19"/>
  <c r="J26" i="19"/>
  <c r="K26" i="19"/>
  <c r="C27" i="19"/>
  <c r="D27" i="19"/>
  <c r="E27" i="19"/>
  <c r="F27" i="19"/>
  <c r="G27" i="19"/>
  <c r="H27" i="19"/>
  <c r="I27" i="19"/>
  <c r="J27" i="19"/>
  <c r="K27" i="19"/>
  <c r="C28" i="19"/>
  <c r="D28" i="19"/>
  <c r="E28" i="19"/>
  <c r="F28" i="19"/>
  <c r="G28" i="19"/>
  <c r="H28" i="19"/>
  <c r="I28" i="19"/>
  <c r="J28" i="19"/>
  <c r="K28" i="19"/>
  <c r="C29" i="19"/>
  <c r="D29" i="19"/>
  <c r="E29" i="19"/>
  <c r="F29" i="19"/>
  <c r="G29" i="19"/>
  <c r="H29" i="19"/>
  <c r="I29" i="19"/>
  <c r="J29" i="19"/>
  <c r="K29" i="19"/>
  <c r="B23" i="19"/>
  <c r="B24" i="19"/>
  <c r="B25" i="19"/>
  <c r="B26" i="19"/>
  <c r="B27" i="19"/>
  <c r="B28" i="19"/>
  <c r="B29" i="19"/>
  <c r="B22" i="19"/>
  <c r="C16" i="19"/>
  <c r="D16" i="19"/>
  <c r="E16" i="19"/>
  <c r="F16" i="19"/>
  <c r="G16" i="19"/>
  <c r="H16" i="19"/>
  <c r="I16" i="19"/>
  <c r="J16" i="19"/>
  <c r="K16" i="19"/>
  <c r="C17" i="19"/>
  <c r="D17" i="19"/>
  <c r="E17" i="19"/>
  <c r="F17" i="19"/>
  <c r="G17" i="19"/>
  <c r="H17" i="19"/>
  <c r="I17" i="19"/>
  <c r="J17" i="19"/>
  <c r="K17" i="19"/>
  <c r="C18" i="19"/>
  <c r="D18" i="19"/>
  <c r="E18" i="19"/>
  <c r="F18" i="19"/>
  <c r="G18" i="19"/>
  <c r="H18" i="19"/>
  <c r="I18" i="19"/>
  <c r="J18" i="19"/>
  <c r="K18" i="19"/>
  <c r="C19" i="19"/>
  <c r="D19" i="19"/>
  <c r="E19" i="19"/>
  <c r="F19" i="19"/>
  <c r="G19" i="19"/>
  <c r="H19" i="19"/>
  <c r="I19" i="19"/>
  <c r="J19" i="19"/>
  <c r="K19" i="19"/>
  <c r="B17" i="19"/>
  <c r="B18" i="19"/>
  <c r="B19" i="19"/>
  <c r="B16" i="19"/>
  <c r="H15" i="19"/>
  <c r="C12" i="19"/>
  <c r="D12" i="19"/>
  <c r="E12" i="19"/>
  <c r="F12" i="19"/>
  <c r="G12" i="19"/>
  <c r="H12" i="19"/>
  <c r="I12" i="19"/>
  <c r="J12" i="19"/>
  <c r="K12" i="19"/>
  <c r="C13" i="19"/>
  <c r="D13" i="19"/>
  <c r="E13" i="19"/>
  <c r="F13" i="19"/>
  <c r="G13" i="19"/>
  <c r="H13" i="19"/>
  <c r="I13" i="19"/>
  <c r="J13" i="19"/>
  <c r="K13" i="19"/>
  <c r="C14" i="19"/>
  <c r="D14" i="19"/>
  <c r="E14" i="19"/>
  <c r="F14" i="19"/>
  <c r="G14" i="19"/>
  <c r="H14" i="19"/>
  <c r="I14" i="19"/>
  <c r="J14" i="19"/>
  <c r="K14" i="19"/>
  <c r="B13" i="19"/>
  <c r="B14" i="19"/>
  <c r="B12" i="19"/>
  <c r="C6" i="19"/>
  <c r="D6" i="19"/>
  <c r="E6" i="19"/>
  <c r="F6" i="19"/>
  <c r="G6" i="19"/>
  <c r="H6" i="19"/>
  <c r="I6" i="19"/>
  <c r="J6" i="19"/>
  <c r="K6" i="19"/>
  <c r="C7" i="19"/>
  <c r="D7" i="19"/>
  <c r="E7" i="19"/>
  <c r="F7" i="19"/>
  <c r="G7" i="19"/>
  <c r="H7" i="19"/>
  <c r="I7" i="19"/>
  <c r="J7" i="19"/>
  <c r="K7" i="19"/>
  <c r="C8" i="19"/>
  <c r="D8" i="19"/>
  <c r="E8" i="19"/>
  <c r="F8" i="19"/>
  <c r="G8" i="19"/>
  <c r="H8" i="19"/>
  <c r="I8" i="19"/>
  <c r="J8" i="19"/>
  <c r="K8" i="19"/>
  <c r="B7" i="19"/>
  <c r="B8" i="19"/>
  <c r="B6" i="19"/>
  <c r="C5" i="19"/>
  <c r="D5" i="19"/>
  <c r="E5" i="19"/>
  <c r="F5" i="19"/>
  <c r="G5" i="19"/>
  <c r="H5" i="19"/>
  <c r="I5" i="19"/>
  <c r="J5" i="19"/>
  <c r="K5" i="19"/>
  <c r="B5" i="19"/>
  <c r="C15" i="18"/>
  <c r="D15" i="18"/>
  <c r="E15" i="18"/>
  <c r="F15" i="18"/>
  <c r="G15" i="18"/>
  <c r="H15" i="18"/>
  <c r="I15" i="18"/>
  <c r="J15" i="18"/>
  <c r="K15" i="18"/>
  <c r="B15" i="18"/>
  <c r="C6" i="18"/>
  <c r="D6" i="18"/>
  <c r="E6" i="18"/>
  <c r="F6" i="18"/>
  <c r="G6" i="18"/>
  <c r="H6" i="18"/>
  <c r="I6" i="18"/>
  <c r="J6" i="18"/>
  <c r="K6" i="18"/>
  <c r="B6" i="18"/>
  <c r="C4" i="18"/>
  <c r="D4" i="18"/>
  <c r="E4" i="18"/>
  <c r="F4" i="18"/>
  <c r="G4" i="18"/>
  <c r="H4" i="18"/>
  <c r="I4" i="18"/>
  <c r="J4" i="18"/>
  <c r="K4" i="18"/>
  <c r="B4" i="18"/>
  <c r="C7" i="16"/>
  <c r="D7" i="16"/>
  <c r="E7" i="16"/>
  <c r="F7" i="16"/>
  <c r="G7" i="16"/>
  <c r="H7" i="16"/>
  <c r="I7" i="16"/>
  <c r="J7" i="16"/>
  <c r="K7" i="16"/>
  <c r="C8" i="16"/>
  <c r="D8" i="16"/>
  <c r="E8" i="16"/>
  <c r="F8" i="16"/>
  <c r="G8" i="16"/>
  <c r="H8" i="16"/>
  <c r="I8" i="16"/>
  <c r="J8" i="16"/>
  <c r="K8" i="16"/>
  <c r="C9" i="16"/>
  <c r="D9" i="16"/>
  <c r="E9" i="16"/>
  <c r="F9" i="16"/>
  <c r="G9" i="16"/>
  <c r="H9" i="16"/>
  <c r="I9" i="16"/>
  <c r="J9" i="16"/>
  <c r="K9" i="16"/>
  <c r="B8" i="16"/>
  <c r="B9" i="16"/>
  <c r="B7" i="16"/>
  <c r="C6" i="16"/>
  <c r="D6" i="16"/>
  <c r="E6" i="16"/>
  <c r="F6" i="16"/>
  <c r="G6" i="16"/>
  <c r="H6" i="16"/>
  <c r="I6" i="16"/>
  <c r="J6" i="16"/>
  <c r="K6" i="16"/>
  <c r="B6" i="16"/>
  <c r="C87" i="3"/>
  <c r="D87" i="3"/>
  <c r="E87" i="3"/>
  <c r="F87" i="3"/>
  <c r="G87" i="3"/>
  <c r="H87" i="3"/>
  <c r="I87" i="3"/>
  <c r="J87" i="3"/>
  <c r="K87" i="3"/>
  <c r="B87" i="3"/>
  <c r="K17" i="3"/>
  <c r="K7" i="18" s="1"/>
  <c r="I17" i="3"/>
  <c r="I7" i="18" s="1"/>
  <c r="H17" i="3"/>
  <c r="H7" i="18" s="1"/>
  <c r="G17" i="3"/>
  <c r="G7" i="18" s="1"/>
  <c r="F17" i="3"/>
  <c r="F7" i="18" s="1"/>
  <c r="E17" i="3"/>
  <c r="E7" i="18" s="1"/>
  <c r="D17" i="3"/>
  <c r="D7" i="18" s="1"/>
  <c r="C17" i="3"/>
  <c r="C7" i="18" s="1"/>
  <c r="B17" i="3"/>
  <c r="B7" i="18" s="1"/>
  <c r="K13" i="3"/>
  <c r="K9" i="19" s="1"/>
  <c r="J13" i="3"/>
  <c r="J9" i="19" s="1"/>
  <c r="I13" i="3"/>
  <c r="I9" i="19" s="1"/>
  <c r="H13" i="3"/>
  <c r="H9" i="19" s="1"/>
  <c r="G13" i="3"/>
  <c r="G9" i="19" s="1"/>
  <c r="F13" i="3"/>
  <c r="F9" i="19" s="1"/>
  <c r="E13" i="3"/>
  <c r="E9" i="19" s="1"/>
  <c r="D13" i="3"/>
  <c r="D9" i="19" s="1"/>
  <c r="C13" i="3"/>
  <c r="C9" i="19" s="1"/>
  <c r="B13" i="3"/>
  <c r="B9" i="19" s="1"/>
  <c r="K6" i="3"/>
  <c r="K8" i="3" s="1"/>
  <c r="J6" i="3"/>
  <c r="J8" i="3" s="1"/>
  <c r="I6" i="3"/>
  <c r="I8" i="3" s="1"/>
  <c r="H6" i="3"/>
  <c r="H8" i="3" s="1"/>
  <c r="G6" i="3"/>
  <c r="G8" i="3" s="1"/>
  <c r="F6" i="3"/>
  <c r="F8" i="3" s="1"/>
  <c r="E6" i="3"/>
  <c r="E8" i="3" s="1"/>
  <c r="D6" i="3"/>
  <c r="D4" i="19" s="1"/>
  <c r="C6" i="3"/>
  <c r="C8" i="3" s="1"/>
  <c r="B6" i="3"/>
  <c r="B4" i="19" s="1"/>
  <c r="B54" i="19" s="1"/>
  <c r="B55" i="19" s="1"/>
  <c r="C6" i="20"/>
  <c r="D6" i="20"/>
  <c r="E6" i="20"/>
  <c r="F6" i="20"/>
  <c r="G6" i="20"/>
  <c r="H6" i="20"/>
  <c r="I6" i="20"/>
  <c r="J6" i="20"/>
  <c r="K6" i="20"/>
  <c r="C7" i="20"/>
  <c r="D7" i="20"/>
  <c r="E7" i="20"/>
  <c r="F7" i="20"/>
  <c r="G7" i="20"/>
  <c r="H7" i="20"/>
  <c r="I7" i="20"/>
  <c r="J7" i="20"/>
  <c r="K7" i="20"/>
  <c r="C8" i="20"/>
  <c r="D8" i="20"/>
  <c r="E8" i="20"/>
  <c r="F8" i="20"/>
  <c r="G8" i="20"/>
  <c r="H8" i="20"/>
  <c r="I8" i="20"/>
  <c r="J8" i="20"/>
  <c r="K8" i="20"/>
  <c r="C9" i="20"/>
  <c r="D9" i="20"/>
  <c r="E9" i="20"/>
  <c r="F9" i="20"/>
  <c r="G9" i="20"/>
  <c r="H9" i="20"/>
  <c r="I9" i="20"/>
  <c r="J9" i="20"/>
  <c r="K9" i="20"/>
  <c r="C10" i="20"/>
  <c r="D10" i="20"/>
  <c r="E10" i="20"/>
  <c r="F10" i="20"/>
  <c r="G10" i="20"/>
  <c r="H10" i="20"/>
  <c r="I10" i="20"/>
  <c r="J10" i="20"/>
  <c r="K10" i="20"/>
  <c r="B10" i="20"/>
  <c r="B7" i="20"/>
  <c r="B8" i="20"/>
  <c r="B9" i="20"/>
  <c r="B6" i="20"/>
  <c r="H54" i="13"/>
  <c r="H58" i="13" s="1"/>
  <c r="H60" i="13" s="1"/>
  <c r="D40" i="13"/>
  <c r="E40" i="13"/>
  <c r="F40" i="13"/>
  <c r="G40" i="13"/>
  <c r="H40" i="13"/>
  <c r="I40" i="13"/>
  <c r="J40" i="13"/>
  <c r="K40" i="13"/>
  <c r="C40" i="13"/>
  <c r="B40" i="13"/>
  <c r="K53" i="13"/>
  <c r="K54" i="13" s="1"/>
  <c r="K58" i="13" s="1"/>
  <c r="K60" i="13" s="1"/>
  <c r="J53" i="13"/>
  <c r="J54" i="13" s="1"/>
  <c r="J58" i="13" s="1"/>
  <c r="J60" i="13" s="1"/>
  <c r="I53" i="13"/>
  <c r="I54" i="13" s="1"/>
  <c r="I58" i="13" s="1"/>
  <c r="I60" i="13" s="1"/>
  <c r="G53" i="13"/>
  <c r="G54" i="13" s="1"/>
  <c r="G58" i="13" s="1"/>
  <c r="G60" i="13" s="1"/>
  <c r="F53" i="13"/>
  <c r="F54" i="13" s="1"/>
  <c r="F58" i="13" s="1"/>
  <c r="F60" i="13" s="1"/>
  <c r="E53" i="13"/>
  <c r="E54" i="13" s="1"/>
  <c r="E58" i="13" s="1"/>
  <c r="E60" i="13" s="1"/>
  <c r="D53" i="13"/>
  <c r="D54" i="13" s="1"/>
  <c r="D58" i="13" s="1"/>
  <c r="D60" i="13" s="1"/>
  <c r="C53" i="13"/>
  <c r="C54" i="13" s="1"/>
  <c r="C58" i="13" s="1"/>
  <c r="C60" i="13" s="1"/>
  <c r="B53" i="13"/>
  <c r="B54" i="13" s="1"/>
  <c r="B58" i="13" s="1"/>
  <c r="B60" i="13" s="1"/>
  <c r="C22" i="13"/>
  <c r="D22" i="13"/>
  <c r="E22" i="13"/>
  <c r="F22" i="13"/>
  <c r="G22" i="13"/>
  <c r="H22" i="13"/>
  <c r="I22" i="13"/>
  <c r="J22" i="13"/>
  <c r="K22" i="13"/>
  <c r="B22" i="13"/>
  <c r="C12" i="13"/>
  <c r="C15" i="19" s="1"/>
  <c r="D12" i="13"/>
  <c r="D15" i="19" s="1"/>
  <c r="E12" i="13"/>
  <c r="E15" i="19" s="1"/>
  <c r="F12" i="13"/>
  <c r="F15" i="19" s="1"/>
  <c r="G12" i="13"/>
  <c r="G15" i="19" s="1"/>
  <c r="H12" i="13"/>
  <c r="I12" i="13"/>
  <c r="I15" i="19" s="1"/>
  <c r="J12" i="13"/>
  <c r="J15" i="19" s="1"/>
  <c r="K12" i="13"/>
  <c r="K15" i="19" s="1"/>
  <c r="B12" i="13"/>
  <c r="B15" i="19" s="1"/>
  <c r="C9" i="13"/>
  <c r="C17" i="13" s="1"/>
  <c r="D9" i="13"/>
  <c r="D17" i="13" s="1"/>
  <c r="E9" i="13"/>
  <c r="E17" i="13" s="1"/>
  <c r="F9" i="13"/>
  <c r="F17" i="13" s="1"/>
  <c r="G9" i="13"/>
  <c r="G17" i="13" s="1"/>
  <c r="G29" i="13" s="1"/>
  <c r="H9" i="13"/>
  <c r="H17" i="13" s="1"/>
  <c r="I9" i="13"/>
  <c r="I17" i="13" s="1"/>
  <c r="J9" i="13"/>
  <c r="J17" i="13" s="1"/>
  <c r="K9" i="13"/>
  <c r="B9" i="13"/>
  <c r="B17" i="13" s="1"/>
  <c r="M58" i="22"/>
  <c r="L58" i="22"/>
  <c r="K58" i="22"/>
  <c r="J58" i="22"/>
  <c r="I58" i="22"/>
  <c r="H58" i="22"/>
  <c r="G58" i="22"/>
  <c r="F58" i="22"/>
  <c r="E58" i="22"/>
  <c r="D58" i="22"/>
  <c r="E26" i="22"/>
  <c r="F26" i="22" s="1"/>
  <c r="G26" i="22" s="1"/>
  <c r="H26" i="22" s="1"/>
  <c r="I26" i="22" s="1"/>
  <c r="J26" i="22" s="1"/>
  <c r="K26" i="22" s="1"/>
  <c r="L26" i="22" s="1"/>
  <c r="M26" i="22" s="1"/>
  <c r="E25" i="22"/>
  <c r="M14" i="22"/>
  <c r="L14" i="22"/>
  <c r="K14" i="22"/>
  <c r="J14" i="22"/>
  <c r="I14" i="22"/>
  <c r="H14" i="22"/>
  <c r="G14" i="22"/>
  <c r="F14" i="22"/>
  <c r="E14" i="22"/>
  <c r="D14" i="22"/>
  <c r="C14" i="22"/>
  <c r="D7" i="22"/>
  <c r="D49" i="22" s="1"/>
  <c r="D104" i="22" s="1"/>
  <c r="E6" i="21"/>
  <c r="D6" i="21"/>
  <c r="C2" i="21"/>
  <c r="D2" i="21" s="1"/>
  <c r="E2" i="21" s="1"/>
  <c r="F2" i="21" s="1"/>
  <c r="G2" i="21" s="1"/>
  <c r="H2" i="21" s="1"/>
  <c r="I2" i="21" s="1"/>
  <c r="J2" i="21" s="1"/>
  <c r="K2" i="21" s="1"/>
  <c r="C2" i="20"/>
  <c r="D2" i="20" s="1"/>
  <c r="E2" i="20" s="1"/>
  <c r="F2" i="20" s="1"/>
  <c r="G2" i="20" s="1"/>
  <c r="H2" i="20" s="1"/>
  <c r="I2" i="20" s="1"/>
  <c r="J2" i="20" s="1"/>
  <c r="K2" i="20" s="1"/>
  <c r="C3" i="19"/>
  <c r="D3" i="19" s="1"/>
  <c r="E3" i="19" s="1"/>
  <c r="F3" i="19" s="1"/>
  <c r="G3" i="19" s="1"/>
  <c r="H3" i="19" s="1"/>
  <c r="I3" i="19" s="1"/>
  <c r="J3" i="19" s="1"/>
  <c r="K3" i="19" s="1"/>
  <c r="B13" i="18"/>
  <c r="C2" i="18"/>
  <c r="D2" i="18" s="1"/>
  <c r="H22" i="17"/>
  <c r="C2" i="17"/>
  <c r="D2" i="17" s="1"/>
  <c r="E2" i="17" s="1"/>
  <c r="F2" i="17" s="1"/>
  <c r="G2" i="17" s="1"/>
  <c r="H2" i="17" s="1"/>
  <c r="I2" i="17" s="1"/>
  <c r="J2" i="17" s="1"/>
  <c r="K2" i="17" s="1"/>
  <c r="D82" i="25" l="1"/>
  <c r="D127" i="25"/>
  <c r="B9" i="28" s="1"/>
  <c r="E127" i="25"/>
  <c r="E82" i="25"/>
  <c r="E86" i="25" s="1"/>
  <c r="F27" i="25"/>
  <c r="E61" i="25"/>
  <c r="E62" i="25" s="1"/>
  <c r="J105" i="25"/>
  <c r="J50" i="25"/>
  <c r="I109" i="25"/>
  <c r="I74" i="25"/>
  <c r="J104" i="25"/>
  <c r="E101" i="25"/>
  <c r="E107" i="25" s="1"/>
  <c r="L28" i="25"/>
  <c r="D101" i="25"/>
  <c r="D107" i="25" s="1"/>
  <c r="G59" i="25"/>
  <c r="G11" i="25"/>
  <c r="G15" i="25" s="1"/>
  <c r="G27" i="25" s="1"/>
  <c r="F100" i="25"/>
  <c r="F68" i="25" s="1"/>
  <c r="F99" i="25"/>
  <c r="F98" i="25"/>
  <c r="F97" i="25"/>
  <c r="F95" i="25"/>
  <c r="F83" i="25"/>
  <c r="F60" i="25"/>
  <c r="F65" i="25"/>
  <c r="F63" i="25"/>
  <c r="F94" i="25"/>
  <c r="F84" i="25"/>
  <c r="F80" i="25"/>
  <c r="F64" i="25"/>
  <c r="F81" i="25"/>
  <c r="F85" i="25"/>
  <c r="E66" i="25"/>
  <c r="F113" i="25"/>
  <c r="J103" i="25"/>
  <c r="D61" i="25"/>
  <c r="D62" i="25" s="1"/>
  <c r="K49" i="25"/>
  <c r="K106" i="25" s="1"/>
  <c r="L7" i="25"/>
  <c r="I8" i="25"/>
  <c r="H10" i="25"/>
  <c r="G89" i="25"/>
  <c r="G126" i="25" s="1"/>
  <c r="E8" i="28" s="1"/>
  <c r="H87" i="25"/>
  <c r="D66" i="25"/>
  <c r="K17" i="13"/>
  <c r="K29" i="13" s="1"/>
  <c r="F29" i="13"/>
  <c r="L96" i="22"/>
  <c r="O12" i="23"/>
  <c r="K96" i="22"/>
  <c r="O11" i="23"/>
  <c r="E96" i="22"/>
  <c r="D22" i="22" a="1"/>
  <c r="K102" i="22" s="1"/>
  <c r="H96" i="22"/>
  <c r="O8" i="23"/>
  <c r="F96" i="22"/>
  <c r="O6" i="23"/>
  <c r="G96" i="22"/>
  <c r="O7" i="23"/>
  <c r="J96" i="22"/>
  <c r="O10" i="23"/>
  <c r="I96" i="22"/>
  <c r="O9" i="23"/>
  <c r="M96" i="22"/>
  <c r="O13" i="23"/>
  <c r="O5" i="23"/>
  <c r="D105" i="22"/>
  <c r="D103" i="22"/>
  <c r="D106" i="22"/>
  <c r="F25" i="22"/>
  <c r="H6" i="21"/>
  <c r="G7" i="21"/>
  <c r="H7" i="21"/>
  <c r="D50" i="19"/>
  <c r="D51" i="19" s="1"/>
  <c r="E7" i="21"/>
  <c r="K10" i="16"/>
  <c r="C7" i="21"/>
  <c r="D39" i="19"/>
  <c r="I10" i="16"/>
  <c r="E3" i="16"/>
  <c r="C3" i="16"/>
  <c r="G6" i="21"/>
  <c r="F3" i="16"/>
  <c r="E10" i="16"/>
  <c r="I6" i="21"/>
  <c r="I4" i="19"/>
  <c r="I52" i="19" s="1"/>
  <c r="H4" i="4"/>
  <c r="E4" i="19"/>
  <c r="E43" i="19" s="1"/>
  <c r="E4" i="4"/>
  <c r="D4" i="4"/>
  <c r="K6" i="21"/>
  <c r="C53" i="22"/>
  <c r="C4" i="4"/>
  <c r="C6" i="21"/>
  <c r="I3" i="16"/>
  <c r="J7" i="21"/>
  <c r="D54" i="19"/>
  <c r="D55" i="19" s="1"/>
  <c r="D47" i="19"/>
  <c r="K3" i="16"/>
  <c r="K4" i="19"/>
  <c r="K50" i="19" s="1"/>
  <c r="K51" i="19" s="1"/>
  <c r="D44" i="19"/>
  <c r="K4" i="20"/>
  <c r="G4" i="4"/>
  <c r="J3" i="16"/>
  <c r="J10" i="16"/>
  <c r="J4" i="19"/>
  <c r="J39" i="19" s="1"/>
  <c r="B45" i="19"/>
  <c r="D45" i="19"/>
  <c r="K7" i="21"/>
  <c r="F4" i="4"/>
  <c r="B44" i="19"/>
  <c r="F6" i="21"/>
  <c r="B29" i="13"/>
  <c r="H3" i="16"/>
  <c r="H10" i="16"/>
  <c r="H4" i="19"/>
  <c r="H46" i="19" s="1"/>
  <c r="G3" i="16"/>
  <c r="G10" i="16"/>
  <c r="G4" i="19"/>
  <c r="G50" i="19" s="1"/>
  <c r="I7" i="21"/>
  <c r="F4" i="19"/>
  <c r="F47" i="19" s="1"/>
  <c r="D36" i="19"/>
  <c r="D8" i="3"/>
  <c r="D14" i="3" s="1"/>
  <c r="B4" i="4"/>
  <c r="D3" i="16"/>
  <c r="D10" i="16"/>
  <c r="F10" i="16"/>
  <c r="C4" i="19"/>
  <c r="C37" i="19" s="1"/>
  <c r="D38" i="19"/>
  <c r="B8" i="3"/>
  <c r="B14" i="3" s="1"/>
  <c r="B21" i="3" s="1"/>
  <c r="K4" i="4"/>
  <c r="J4" i="4"/>
  <c r="C10" i="16"/>
  <c r="I4" i="4"/>
  <c r="B3" i="16"/>
  <c r="B10" i="16"/>
  <c r="B38" i="19"/>
  <c r="B47" i="19"/>
  <c r="D43" i="19"/>
  <c r="B41" i="19"/>
  <c r="D37" i="19"/>
  <c r="D41" i="19"/>
  <c r="D42" i="19"/>
  <c r="D52" i="19"/>
  <c r="D53" i="19" s="1"/>
  <c r="B39" i="19"/>
  <c r="B50" i="19"/>
  <c r="B51" i="19" s="1"/>
  <c r="B52" i="19"/>
  <c r="B53" i="19" s="1"/>
  <c r="B40" i="19"/>
  <c r="D46" i="19"/>
  <c r="B43" i="19"/>
  <c r="B37" i="19"/>
  <c r="B46" i="19"/>
  <c r="B42" i="19"/>
  <c r="J6" i="21"/>
  <c r="B35" i="19"/>
  <c r="B36" i="19"/>
  <c r="B34" i="19"/>
  <c r="F31" i="19"/>
  <c r="G31" i="19"/>
  <c r="H31" i="19"/>
  <c r="D31" i="19"/>
  <c r="D56" i="19" s="1"/>
  <c r="D57" i="19" s="1"/>
  <c r="J31" i="19"/>
  <c r="E31" i="19"/>
  <c r="K31" i="19"/>
  <c r="I31" i="19"/>
  <c r="B31" i="19"/>
  <c r="B56" i="19" s="1"/>
  <c r="B57" i="19" s="1"/>
  <c r="H29" i="13"/>
  <c r="K11" i="20"/>
  <c r="J4" i="20"/>
  <c r="J29" i="13"/>
  <c r="H4" i="20"/>
  <c r="H11" i="20"/>
  <c r="I29" i="13"/>
  <c r="B11" i="20"/>
  <c r="B8" i="18"/>
  <c r="K14" i="3"/>
  <c r="C14" i="3"/>
  <c r="F14" i="3"/>
  <c r="H14" i="3"/>
  <c r="G14" i="3"/>
  <c r="I14" i="3"/>
  <c r="E14" i="3"/>
  <c r="J14" i="3"/>
  <c r="C8" i="18"/>
  <c r="J17" i="3"/>
  <c r="J7" i="18" s="1"/>
  <c r="J8" i="18" s="1"/>
  <c r="H8" i="18"/>
  <c r="F4" i="20"/>
  <c r="G11" i="20"/>
  <c r="F11" i="20"/>
  <c r="E11" i="20"/>
  <c r="G4" i="20"/>
  <c r="C4" i="20"/>
  <c r="D11" i="20"/>
  <c r="D12" i="20" s="1"/>
  <c r="C11" i="20"/>
  <c r="I11" i="20"/>
  <c r="J11" i="20"/>
  <c r="C29" i="13"/>
  <c r="E29" i="13"/>
  <c r="D29" i="13"/>
  <c r="G8" i="18"/>
  <c r="D8" i="18"/>
  <c r="D40" i="19"/>
  <c r="I40" i="19"/>
  <c r="F35" i="19"/>
  <c r="D35" i="19"/>
  <c r="D34" i="19"/>
  <c r="E7" i="22"/>
  <c r="E49" i="22" s="1"/>
  <c r="I8" i="18"/>
  <c r="K8" i="18"/>
  <c r="F8" i="18"/>
  <c r="E8" i="18"/>
  <c r="E2" i="18"/>
  <c r="D13" i="18"/>
  <c r="C13" i="18"/>
  <c r="E128" i="25" l="1"/>
  <c r="C10" i="28" s="1"/>
  <c r="C9" i="28"/>
  <c r="D67" i="25"/>
  <c r="D124" i="25" s="1"/>
  <c r="F127" i="25"/>
  <c r="D9" i="28" s="1"/>
  <c r="D69" i="25"/>
  <c r="D70" i="25" s="1"/>
  <c r="D71" i="25" s="1"/>
  <c r="D72" i="25" s="1"/>
  <c r="D111" i="25" s="1"/>
  <c r="D114" i="25" s="1"/>
  <c r="E91" i="25"/>
  <c r="E116" i="25" s="1"/>
  <c r="E67" i="25"/>
  <c r="E124" i="25" s="1"/>
  <c r="L49" i="25"/>
  <c r="L106" i="25" s="1"/>
  <c r="M7" i="25"/>
  <c r="M49" i="25" s="1"/>
  <c r="K104" i="25"/>
  <c r="F82" i="25"/>
  <c r="F86" i="25" s="1"/>
  <c r="F101" i="25"/>
  <c r="F107" i="25" s="1"/>
  <c r="K103" i="25"/>
  <c r="G100" i="25"/>
  <c r="G68" i="25" s="1"/>
  <c r="G99" i="25"/>
  <c r="G98" i="25"/>
  <c r="G97" i="25"/>
  <c r="G95" i="25"/>
  <c r="G94" i="25"/>
  <c r="G84" i="25"/>
  <c r="G83" i="25"/>
  <c r="G80" i="25"/>
  <c r="G65" i="25"/>
  <c r="G60" i="25"/>
  <c r="G85" i="25"/>
  <c r="G81" i="25"/>
  <c r="G63" i="25"/>
  <c r="G64" i="25"/>
  <c r="G113" i="25"/>
  <c r="H59" i="25"/>
  <c r="H11" i="25"/>
  <c r="H15" i="25" s="1"/>
  <c r="H27" i="25" s="1"/>
  <c r="F61" i="25"/>
  <c r="F62" i="25" s="1"/>
  <c r="F66" i="25"/>
  <c r="J8" i="25"/>
  <c r="I10" i="25"/>
  <c r="M28" i="25"/>
  <c r="K50" i="25"/>
  <c r="J109" i="25"/>
  <c r="J74" i="25"/>
  <c r="H89" i="25"/>
  <c r="H126" i="25" s="1"/>
  <c r="F8" i="28" s="1"/>
  <c r="I87" i="25"/>
  <c r="K105" i="25"/>
  <c r="F40" i="22"/>
  <c r="L40" i="22"/>
  <c r="E40" i="22"/>
  <c r="G40" i="22"/>
  <c r="J40" i="22"/>
  <c r="M40" i="22"/>
  <c r="D40" i="22"/>
  <c r="H40" i="22"/>
  <c r="I40" i="22"/>
  <c r="K40" i="22"/>
  <c r="E12" i="20"/>
  <c r="D23" i="22" a="1"/>
  <c r="D23" i="22" s="1"/>
  <c r="J102" i="22"/>
  <c r="D22" i="22"/>
  <c r="H102" i="22"/>
  <c r="G102" i="22"/>
  <c r="E102" i="22"/>
  <c r="F102" i="22"/>
  <c r="I102" i="22"/>
  <c r="M102" i="22"/>
  <c r="L102" i="22"/>
  <c r="E103" i="22"/>
  <c r="E106" i="22"/>
  <c r="E105" i="22"/>
  <c r="E53" i="22"/>
  <c r="D74" i="22"/>
  <c r="G25" i="22"/>
  <c r="I36" i="19"/>
  <c r="E39" i="19"/>
  <c r="H42" i="19"/>
  <c r="E36" i="19"/>
  <c r="E46" i="19"/>
  <c r="E52" i="19"/>
  <c r="E53" i="19" s="1"/>
  <c r="E42" i="19"/>
  <c r="I45" i="19"/>
  <c r="E50" i="19"/>
  <c r="E51" i="19" s="1"/>
  <c r="E37" i="19"/>
  <c r="I34" i="19"/>
  <c r="E45" i="19"/>
  <c r="H40" i="19"/>
  <c r="E54" i="19"/>
  <c r="E55" i="19" s="1"/>
  <c r="E44" i="19"/>
  <c r="G41" i="19"/>
  <c r="G46" i="19"/>
  <c r="E47" i="19"/>
  <c r="G43" i="19"/>
  <c r="G37" i="19"/>
  <c r="H47" i="19"/>
  <c r="H43" i="19"/>
  <c r="F36" i="19"/>
  <c r="F46" i="19"/>
  <c r="K38" i="19"/>
  <c r="K35" i="19"/>
  <c r="K44" i="19"/>
  <c r="K54" i="19"/>
  <c r="K55" i="19" s="1"/>
  <c r="H38" i="19"/>
  <c r="K42" i="19"/>
  <c r="E38" i="19"/>
  <c r="F34" i="19"/>
  <c r="H45" i="19"/>
  <c r="E41" i="19"/>
  <c r="K56" i="19"/>
  <c r="K57" i="19" s="1"/>
  <c r="K45" i="19"/>
  <c r="I38" i="19"/>
  <c r="I44" i="19"/>
  <c r="K36" i="19"/>
  <c r="F42" i="19"/>
  <c r="F38" i="19"/>
  <c r="C43" i="19"/>
  <c r="F43" i="19"/>
  <c r="K37" i="19"/>
  <c r="C41" i="19"/>
  <c r="K52" i="19"/>
  <c r="K53" i="19" s="1"/>
  <c r="C42" i="19"/>
  <c r="C38" i="19"/>
  <c r="C46" i="19"/>
  <c r="C45" i="19"/>
  <c r="H41" i="19"/>
  <c r="C36" i="19"/>
  <c r="K40" i="19"/>
  <c r="H39" i="19"/>
  <c r="H50" i="19"/>
  <c r="H51" i="19" s="1"/>
  <c r="K39" i="19"/>
  <c r="I43" i="19"/>
  <c r="I47" i="19"/>
  <c r="J35" i="19"/>
  <c r="J44" i="19"/>
  <c r="J37" i="19"/>
  <c r="J40" i="19"/>
  <c r="J34" i="19"/>
  <c r="J43" i="19"/>
  <c r="J42" i="19"/>
  <c r="I39" i="19"/>
  <c r="J56" i="19"/>
  <c r="J57" i="19" s="1"/>
  <c r="J41" i="19"/>
  <c r="I42" i="19"/>
  <c r="J45" i="19"/>
  <c r="F39" i="19"/>
  <c r="I41" i="19"/>
  <c r="J46" i="19"/>
  <c r="H44" i="19"/>
  <c r="K46" i="19"/>
  <c r="K41" i="19"/>
  <c r="I37" i="19"/>
  <c r="H37" i="19"/>
  <c r="C44" i="19"/>
  <c r="J50" i="19"/>
  <c r="J51" i="19" s="1"/>
  <c r="I54" i="19"/>
  <c r="I55" i="19" s="1"/>
  <c r="J54" i="19"/>
  <c r="J55" i="19" s="1"/>
  <c r="I46" i="19"/>
  <c r="F40" i="19"/>
  <c r="H36" i="19"/>
  <c r="F41" i="19"/>
  <c r="H54" i="19"/>
  <c r="H55" i="19" s="1"/>
  <c r="H52" i="19"/>
  <c r="H53" i="19" s="1"/>
  <c r="I50" i="19"/>
  <c r="I51" i="19" s="1"/>
  <c r="B29" i="3"/>
  <c r="B36" i="3" s="1"/>
  <c r="B38" i="3" s="1"/>
  <c r="B14" i="18"/>
  <c r="B16" i="18" s="1"/>
  <c r="G38" i="19"/>
  <c r="F50" i="19"/>
  <c r="F51" i="19" s="1"/>
  <c r="F54" i="19"/>
  <c r="F55" i="19" s="1"/>
  <c r="G47" i="19"/>
  <c r="F44" i="19"/>
  <c r="F37" i="19"/>
  <c r="G45" i="19"/>
  <c r="J52" i="19"/>
  <c r="J53" i="19" s="1"/>
  <c r="J47" i="19"/>
  <c r="J36" i="19"/>
  <c r="G39" i="19"/>
  <c r="G44" i="19"/>
  <c r="G54" i="19"/>
  <c r="G55" i="19" s="1"/>
  <c r="G52" i="19"/>
  <c r="G53" i="19" s="1"/>
  <c r="G36" i="19"/>
  <c r="C52" i="19"/>
  <c r="C53" i="19" s="1"/>
  <c r="C54" i="19"/>
  <c r="C55" i="19" s="1"/>
  <c r="C47" i="19"/>
  <c r="J38" i="19"/>
  <c r="K43" i="19"/>
  <c r="K47" i="19"/>
  <c r="C39" i="19"/>
  <c r="F52" i="19"/>
  <c r="F53" i="19" s="1"/>
  <c r="F45" i="19"/>
  <c r="G42" i="19"/>
  <c r="C50" i="19"/>
  <c r="C51" i="19" s="1"/>
  <c r="J12" i="20"/>
  <c r="F12" i="20"/>
  <c r="B10" i="18"/>
  <c r="H12" i="20"/>
  <c r="G12" i="20"/>
  <c r="I12" i="20"/>
  <c r="C12" i="20"/>
  <c r="D21" i="3"/>
  <c r="G56" i="19"/>
  <c r="G57" i="19" s="1"/>
  <c r="C56" i="19"/>
  <c r="C57" i="19" s="1"/>
  <c r="K34" i="19"/>
  <c r="I35" i="19"/>
  <c r="G40" i="19"/>
  <c r="G51" i="19"/>
  <c r="F56" i="19"/>
  <c r="F57" i="19" s="1"/>
  <c r="C34" i="19"/>
  <c r="C40" i="19"/>
  <c r="C35" i="19"/>
  <c r="E35" i="19"/>
  <c r="E56" i="19"/>
  <c r="E57" i="19" s="1"/>
  <c r="I21" i="3"/>
  <c r="I56" i="19"/>
  <c r="I57" i="19" s="1"/>
  <c r="E21" i="3"/>
  <c r="G34" i="19"/>
  <c r="G35" i="19"/>
  <c r="C21" i="3"/>
  <c r="K21" i="3"/>
  <c r="G21" i="3"/>
  <c r="H21" i="3"/>
  <c r="H34" i="19"/>
  <c r="E40" i="19"/>
  <c r="H56" i="19"/>
  <c r="H57" i="19" s="1"/>
  <c r="J21" i="3"/>
  <c r="I53" i="19"/>
  <c r="E34" i="19"/>
  <c r="F21" i="3"/>
  <c r="H35" i="19"/>
  <c r="K12" i="20"/>
  <c r="H50" i="22"/>
  <c r="H109" i="22" s="1"/>
  <c r="F7" i="22"/>
  <c r="F49" i="22" s="1"/>
  <c r="E13" i="18"/>
  <c r="F2" i="18"/>
  <c r="D125" i="25" l="1"/>
  <c r="B6" i="28"/>
  <c r="E125" i="25"/>
  <c r="C6" i="28"/>
  <c r="G127" i="25"/>
  <c r="E9" i="28" s="1"/>
  <c r="L104" i="25"/>
  <c r="M104" i="25"/>
  <c r="E69" i="25"/>
  <c r="E70" i="25" s="1"/>
  <c r="E71" i="25" s="1"/>
  <c r="E72" i="25" s="1"/>
  <c r="E75" i="25" s="1"/>
  <c r="E122" i="25" s="1"/>
  <c r="L105" i="25"/>
  <c r="M105" i="25" s="1"/>
  <c r="F91" i="25"/>
  <c r="F116" i="25" s="1"/>
  <c r="F128" i="25"/>
  <c r="D10" i="28" s="1"/>
  <c r="M106" i="25"/>
  <c r="F67" i="25"/>
  <c r="F124" i="25" s="1"/>
  <c r="H113" i="25"/>
  <c r="D75" i="25"/>
  <c r="D122" i="25" s="1"/>
  <c r="G101" i="25"/>
  <c r="G107" i="25" s="1"/>
  <c r="K8" i="25"/>
  <c r="J10" i="25"/>
  <c r="G82" i="25"/>
  <c r="G86" i="25" s="1"/>
  <c r="L103" i="25"/>
  <c r="G66" i="25"/>
  <c r="I89" i="25"/>
  <c r="J87" i="25"/>
  <c r="G61" i="25"/>
  <c r="G62" i="25" s="1"/>
  <c r="L50" i="25"/>
  <c r="K74" i="25"/>
  <c r="K109" i="25"/>
  <c r="I59" i="25"/>
  <c r="I126" i="25" s="1"/>
  <c r="G8" i="28" s="1"/>
  <c r="I11" i="25"/>
  <c r="I15" i="25" s="1"/>
  <c r="I27" i="25" s="1"/>
  <c r="H95" i="25"/>
  <c r="H80" i="25"/>
  <c r="H65" i="25"/>
  <c r="H60" i="25"/>
  <c r="H98" i="25"/>
  <c r="H100" i="25"/>
  <c r="H68" i="25" s="1"/>
  <c r="H94" i="25"/>
  <c r="H84" i="25"/>
  <c r="H63" i="25"/>
  <c r="H83" i="25"/>
  <c r="H64" i="25"/>
  <c r="H97" i="25"/>
  <c r="H99" i="25"/>
  <c r="H85" i="25"/>
  <c r="H81" i="25"/>
  <c r="D88" i="22"/>
  <c r="E88" i="22" s="1"/>
  <c r="F88" i="22" s="1"/>
  <c r="G88" i="22" s="1"/>
  <c r="H88" i="22" s="1"/>
  <c r="I88" i="22" s="1"/>
  <c r="J88" i="22" s="1"/>
  <c r="K88" i="22" s="1"/>
  <c r="L88" i="22" s="1"/>
  <c r="M88" i="22" s="1"/>
  <c r="D87" i="22"/>
  <c r="G41" i="22"/>
  <c r="K41" i="22"/>
  <c r="D41" i="22"/>
  <c r="D90" i="22" s="1"/>
  <c r="E41" i="22"/>
  <c r="H41" i="22"/>
  <c r="L41" i="22"/>
  <c r="M41" i="22"/>
  <c r="F41" i="22"/>
  <c r="I41" i="22"/>
  <c r="J41" i="22"/>
  <c r="F105" i="22"/>
  <c r="F103" i="22"/>
  <c r="F53" i="22"/>
  <c r="E74" i="22"/>
  <c r="H25" i="22"/>
  <c r="L46" i="19"/>
  <c r="I47" i="22" s="1"/>
  <c r="B39" i="3"/>
  <c r="L38" i="19"/>
  <c r="F36" i="22" s="1"/>
  <c r="G47" i="22"/>
  <c r="H47" i="22"/>
  <c r="I36" i="22"/>
  <c r="J36" i="22"/>
  <c r="L36" i="22"/>
  <c r="E36" i="22"/>
  <c r="M36" i="22"/>
  <c r="J29" i="3"/>
  <c r="J31" i="3" s="1"/>
  <c r="J34" i="3" s="1"/>
  <c r="J36" i="3" s="1"/>
  <c r="J39" i="3" s="1"/>
  <c r="J14" i="18"/>
  <c r="J16" i="18" s="1"/>
  <c r="C29" i="3"/>
  <c r="C31" i="3" s="1"/>
  <c r="C34" i="3" s="1"/>
  <c r="C36" i="3" s="1"/>
  <c r="C38" i="3" s="1"/>
  <c r="C14" i="18"/>
  <c r="C16" i="18" s="1"/>
  <c r="I29" i="3"/>
  <c r="I31" i="3" s="1"/>
  <c r="I34" i="3" s="1"/>
  <c r="I36" i="3" s="1"/>
  <c r="I39" i="3" s="1"/>
  <c r="I14" i="18"/>
  <c r="I16" i="18" s="1"/>
  <c r="H29" i="3"/>
  <c r="H31" i="3" s="1"/>
  <c r="H34" i="3" s="1"/>
  <c r="H36" i="3" s="1"/>
  <c r="H38" i="3" s="1"/>
  <c r="H14" i="18"/>
  <c r="H16" i="18" s="1"/>
  <c r="E29" i="3"/>
  <c r="E31" i="3" s="1"/>
  <c r="E34" i="3" s="1"/>
  <c r="E36" i="3" s="1"/>
  <c r="E38" i="3" s="1"/>
  <c r="E14" i="18"/>
  <c r="E16" i="18" s="1"/>
  <c r="G29" i="3"/>
  <c r="G31" i="3" s="1"/>
  <c r="G34" i="3" s="1"/>
  <c r="G36" i="3" s="1"/>
  <c r="G39" i="3" s="1"/>
  <c r="G14" i="18"/>
  <c r="G16" i="18" s="1"/>
  <c r="D29" i="3"/>
  <c r="D31" i="3" s="1"/>
  <c r="D34" i="3" s="1"/>
  <c r="D36" i="3" s="1"/>
  <c r="D14" i="18"/>
  <c r="D16" i="18" s="1"/>
  <c r="F29" i="3"/>
  <c r="F31" i="3" s="1"/>
  <c r="F34" i="3" s="1"/>
  <c r="F36" i="3" s="1"/>
  <c r="F38" i="3" s="1"/>
  <c r="F14" i="18"/>
  <c r="F16" i="18" s="1"/>
  <c r="K29" i="3"/>
  <c r="K31" i="3" s="1"/>
  <c r="K34" i="3" s="1"/>
  <c r="K36" i="3" s="1"/>
  <c r="K39" i="3" s="1"/>
  <c r="K14" i="18"/>
  <c r="K16" i="18" s="1"/>
  <c r="L55" i="19"/>
  <c r="L54" i="19"/>
  <c r="L47" i="19"/>
  <c r="L41" i="19"/>
  <c r="L43" i="19"/>
  <c r="L34" i="19"/>
  <c r="L39" i="19"/>
  <c r="L40" i="19"/>
  <c r="L42" i="19"/>
  <c r="L45" i="19"/>
  <c r="L53" i="19"/>
  <c r="L57" i="19"/>
  <c r="L36" i="19"/>
  <c r="L50" i="19"/>
  <c r="L44" i="19"/>
  <c r="L35" i="19"/>
  <c r="L37" i="19"/>
  <c r="L51" i="19"/>
  <c r="L52" i="19"/>
  <c r="L56" i="19"/>
  <c r="I50" i="22"/>
  <c r="I109" i="22" s="1"/>
  <c r="G7" i="22"/>
  <c r="G49" i="22" s="1"/>
  <c r="E104" i="22"/>
  <c r="G2" i="18"/>
  <c r="F13" i="18"/>
  <c r="F125" i="25" l="1"/>
  <c r="D7" i="28" s="1"/>
  <c r="D6" i="28"/>
  <c r="E129" i="25"/>
  <c r="C11" i="28" s="1"/>
  <c r="C14" i="28" s="1"/>
  <c r="C7" i="28"/>
  <c r="D129" i="25"/>
  <c r="B11" i="28" s="1"/>
  <c r="B14" i="28" s="1"/>
  <c r="B7" i="28"/>
  <c r="I113" i="25"/>
  <c r="F129" i="25"/>
  <c r="D11" i="28" s="1"/>
  <c r="D14" i="28" s="1"/>
  <c r="H127" i="25"/>
  <c r="F9" i="28" s="1"/>
  <c r="F69" i="25"/>
  <c r="F70" i="25" s="1"/>
  <c r="F71" i="25" s="1"/>
  <c r="F72" i="25" s="1"/>
  <c r="F75" i="25" s="1"/>
  <c r="F122" i="25" s="1"/>
  <c r="G67" i="25"/>
  <c r="G124" i="25" s="1"/>
  <c r="G91" i="25"/>
  <c r="G116" i="25" s="1"/>
  <c r="G128" i="25"/>
  <c r="E10" i="28" s="1"/>
  <c r="H82" i="25"/>
  <c r="H86" i="25" s="1"/>
  <c r="H61" i="25"/>
  <c r="H62" i="25" s="1"/>
  <c r="K87" i="25"/>
  <c r="J89" i="25"/>
  <c r="H101" i="25"/>
  <c r="H107" i="25" s="1"/>
  <c r="I60" i="25"/>
  <c r="I98" i="25"/>
  <c r="I100" i="25"/>
  <c r="I68" i="25" s="1"/>
  <c r="I84" i="25"/>
  <c r="I80" i="25"/>
  <c r="I65" i="25"/>
  <c r="I63" i="25"/>
  <c r="I94" i="25"/>
  <c r="I95" i="25"/>
  <c r="I64" i="25"/>
  <c r="I81" i="25"/>
  <c r="I99" i="25"/>
  <c r="I83" i="25"/>
  <c r="I85" i="25"/>
  <c r="I97" i="25"/>
  <c r="L109" i="25"/>
  <c r="L74" i="25"/>
  <c r="M50" i="25"/>
  <c r="B26" i="28" s="1"/>
  <c r="E111" i="25"/>
  <c r="E114" i="25" s="1"/>
  <c r="M103" i="25"/>
  <c r="J11" i="25"/>
  <c r="J15" i="25" s="1"/>
  <c r="J27" i="25" s="1"/>
  <c r="J59" i="25"/>
  <c r="J126" i="25" s="1"/>
  <c r="H8" i="28" s="1"/>
  <c r="L8" i="25"/>
  <c r="K10" i="25"/>
  <c r="H66" i="25"/>
  <c r="M47" i="22"/>
  <c r="L47" i="22"/>
  <c r="D47" i="22"/>
  <c r="K47" i="22"/>
  <c r="E47" i="22"/>
  <c r="E90" i="22"/>
  <c r="F90" i="22" s="1"/>
  <c r="G90" i="22" s="1"/>
  <c r="H90" i="22" s="1"/>
  <c r="I90" i="22" s="1"/>
  <c r="J90" i="22" s="1"/>
  <c r="K90" i="22" s="1"/>
  <c r="L90" i="22" s="1"/>
  <c r="M90" i="22" s="1"/>
  <c r="F47" i="22"/>
  <c r="D89" i="22"/>
  <c r="E87" i="22"/>
  <c r="J47" i="22"/>
  <c r="G53" i="22"/>
  <c r="F74" i="22"/>
  <c r="I25" i="22"/>
  <c r="L20" i="22"/>
  <c r="G20" i="22"/>
  <c r="D36" i="22"/>
  <c r="D20" i="22"/>
  <c r="I20" i="22"/>
  <c r="H20" i="22"/>
  <c r="G38" i="3"/>
  <c r="J38" i="3"/>
  <c r="K20" i="22"/>
  <c r="J20" i="22"/>
  <c r="M20" i="22"/>
  <c r="K36" i="22"/>
  <c r="G36" i="22"/>
  <c r="F20" i="22"/>
  <c r="H36" i="22"/>
  <c r="E20" i="22"/>
  <c r="H39" i="3"/>
  <c r="C39" i="3"/>
  <c r="I38" i="3"/>
  <c r="E32" i="22"/>
  <c r="J32" i="22"/>
  <c r="F32" i="22"/>
  <c r="H32" i="22"/>
  <c r="K32" i="22"/>
  <c r="M32" i="22"/>
  <c r="G32" i="22"/>
  <c r="I32" i="22"/>
  <c r="L32" i="22"/>
  <c r="D32" i="22"/>
  <c r="E42" i="22"/>
  <c r="J42" i="22"/>
  <c r="K42" i="22"/>
  <c r="L42" i="22"/>
  <c r="D42" i="22"/>
  <c r="F42" i="22"/>
  <c r="H42" i="22"/>
  <c r="G42" i="22"/>
  <c r="I42" i="22"/>
  <c r="M42" i="22"/>
  <c r="I46" i="22"/>
  <c r="D46" i="22"/>
  <c r="G46" i="22"/>
  <c r="J46" i="22"/>
  <c r="L46" i="22"/>
  <c r="F46" i="22"/>
  <c r="K46" i="22"/>
  <c r="M46" i="22"/>
  <c r="H46" i="22"/>
  <c r="E46" i="22"/>
  <c r="K38" i="22"/>
  <c r="E38" i="22"/>
  <c r="H38" i="22"/>
  <c r="I38" i="22"/>
  <c r="L38" i="22"/>
  <c r="D38" i="22"/>
  <c r="F38" i="22"/>
  <c r="M38" i="22"/>
  <c r="G38" i="22"/>
  <c r="J38" i="22"/>
  <c r="J37" i="22"/>
  <c r="M37" i="22"/>
  <c r="E37" i="22"/>
  <c r="F37" i="22"/>
  <c r="K37" i="22"/>
  <c r="L37" i="22"/>
  <c r="D37" i="22"/>
  <c r="I37" i="22"/>
  <c r="G37" i="22"/>
  <c r="H37" i="22"/>
  <c r="H35" i="22"/>
  <c r="L35" i="22"/>
  <c r="M35" i="22"/>
  <c r="I35" i="22"/>
  <c r="J35" i="22"/>
  <c r="K35" i="22"/>
  <c r="D35" i="22"/>
  <c r="G35" i="22"/>
  <c r="E35" i="22"/>
  <c r="F35" i="22"/>
  <c r="F43" i="22"/>
  <c r="I43" i="22"/>
  <c r="J43" i="22"/>
  <c r="G43" i="22"/>
  <c r="L43" i="22"/>
  <c r="M43" i="22"/>
  <c r="D43" i="22"/>
  <c r="H43" i="22"/>
  <c r="K43" i="22"/>
  <c r="E43" i="22"/>
  <c r="G44" i="22"/>
  <c r="H44" i="22"/>
  <c r="K44" i="22"/>
  <c r="L44" i="22"/>
  <c r="E44" i="22"/>
  <c r="I44" i="22"/>
  <c r="J44" i="22"/>
  <c r="M44" i="22"/>
  <c r="F44" i="22"/>
  <c r="D44" i="22"/>
  <c r="F39" i="3"/>
  <c r="L39" i="22"/>
  <c r="D39" i="22"/>
  <c r="M39" i="22"/>
  <c r="F39" i="22"/>
  <c r="H39" i="22"/>
  <c r="E39" i="22"/>
  <c r="G39" i="22"/>
  <c r="J39" i="22"/>
  <c r="K39" i="22"/>
  <c r="I39" i="22"/>
  <c r="H31" i="22"/>
  <c r="K31" i="22"/>
  <c r="E31" i="22"/>
  <c r="G31" i="22"/>
  <c r="F31" i="22"/>
  <c r="I31" i="22"/>
  <c r="J31" i="22"/>
  <c r="L31" i="22"/>
  <c r="M31" i="22"/>
  <c r="D31" i="22"/>
  <c r="G34" i="22"/>
  <c r="H34" i="22"/>
  <c r="J34" i="22"/>
  <c r="K34" i="22"/>
  <c r="I34" i="22"/>
  <c r="L34" i="22"/>
  <c r="D34" i="22"/>
  <c r="M34" i="22"/>
  <c r="F34" i="22"/>
  <c r="E34" i="22"/>
  <c r="K48" i="22"/>
  <c r="F48" i="22"/>
  <c r="H48" i="22"/>
  <c r="L48" i="22"/>
  <c r="E48" i="22"/>
  <c r="G48" i="22"/>
  <c r="M48" i="22"/>
  <c r="D48" i="22"/>
  <c r="I48" i="22"/>
  <c r="J48" i="22"/>
  <c r="F33" i="22"/>
  <c r="I33" i="22"/>
  <c r="L33" i="22"/>
  <c r="D33" i="22"/>
  <c r="G33" i="22"/>
  <c r="K33" i="22"/>
  <c r="H33" i="22"/>
  <c r="J33" i="22"/>
  <c r="E33" i="22"/>
  <c r="M33" i="22"/>
  <c r="M30" i="22"/>
  <c r="I30" i="22"/>
  <c r="K30" i="22"/>
  <c r="G30" i="22"/>
  <c r="H30" i="22"/>
  <c r="J30" i="22"/>
  <c r="E30" i="22"/>
  <c r="F30" i="22"/>
  <c r="L30" i="22"/>
  <c r="D30" i="22"/>
  <c r="H45" i="22"/>
  <c r="L45" i="22"/>
  <c r="M45" i="22"/>
  <c r="D45" i="22"/>
  <c r="I45" i="22"/>
  <c r="J45" i="22"/>
  <c r="F45" i="22"/>
  <c r="K45" i="22"/>
  <c r="G45" i="22"/>
  <c r="E45" i="22"/>
  <c r="E39" i="3"/>
  <c r="K38" i="3"/>
  <c r="D39" i="3"/>
  <c r="D38" i="3"/>
  <c r="B17" i="18"/>
  <c r="B11" i="18" s="1"/>
  <c r="J18" i="22"/>
  <c r="K18" i="22"/>
  <c r="M18" i="22"/>
  <c r="F18" i="22"/>
  <c r="H18" i="22"/>
  <c r="I18" i="22"/>
  <c r="L18" i="22"/>
  <c r="D18" i="22"/>
  <c r="E18" i="22"/>
  <c r="G18" i="22"/>
  <c r="J17" i="22"/>
  <c r="F17" i="22"/>
  <c r="G17" i="22"/>
  <c r="H17" i="22"/>
  <c r="K17" i="22"/>
  <c r="M17" i="22"/>
  <c r="D17" i="22"/>
  <c r="E17" i="22"/>
  <c r="L17" i="22"/>
  <c r="I17" i="22"/>
  <c r="J19" i="22"/>
  <c r="I19" i="22"/>
  <c r="K19" i="22"/>
  <c r="M19" i="22"/>
  <c r="D19" i="22"/>
  <c r="E19" i="22"/>
  <c r="G19" i="22"/>
  <c r="L19" i="22"/>
  <c r="F19" i="22"/>
  <c r="H19" i="22"/>
  <c r="F106" i="22"/>
  <c r="F104" i="22"/>
  <c r="J50" i="22"/>
  <c r="J109" i="22" s="1"/>
  <c r="H7" i="22"/>
  <c r="H49" i="22" s="1"/>
  <c r="G13" i="18"/>
  <c r="H2" i="18"/>
  <c r="G125" i="25" l="1"/>
  <c r="E7" i="28" s="1"/>
  <c r="E6" i="28"/>
  <c r="G129" i="25"/>
  <c r="E11" i="28" s="1"/>
  <c r="E14" i="28" s="1"/>
  <c r="D121" i="25"/>
  <c r="D115" i="25"/>
  <c r="I127" i="25"/>
  <c r="G9" i="28" s="1"/>
  <c r="G69" i="25"/>
  <c r="G70" i="25" s="1"/>
  <c r="G71" i="25" s="1"/>
  <c r="G72" i="25" s="1"/>
  <c r="G75" i="25" s="1"/>
  <c r="G122" i="25" s="1"/>
  <c r="H91" i="25"/>
  <c r="H116" i="25" s="1"/>
  <c r="H128" i="25"/>
  <c r="F10" i="28" s="1"/>
  <c r="H67" i="25"/>
  <c r="H124" i="25" s="1"/>
  <c r="J113" i="25"/>
  <c r="I61" i="25"/>
  <c r="I62" i="25" s="1"/>
  <c r="K59" i="25"/>
  <c r="K126" i="25" s="1"/>
  <c r="I8" i="28" s="1"/>
  <c r="K11" i="25"/>
  <c r="K15" i="25" s="1"/>
  <c r="K27" i="25" s="1"/>
  <c r="M8" i="25"/>
  <c r="M10" i="25" s="1"/>
  <c r="L10" i="25"/>
  <c r="L87" i="25"/>
  <c r="K89" i="25"/>
  <c r="J98" i="25"/>
  <c r="J97" i="25"/>
  <c r="J100" i="25"/>
  <c r="J68" i="25" s="1"/>
  <c r="J94" i="25"/>
  <c r="J84" i="25"/>
  <c r="J80" i="25"/>
  <c r="J65" i="25"/>
  <c r="J60" i="25"/>
  <c r="J85" i="25"/>
  <c r="J83" i="25"/>
  <c r="J95" i="25"/>
  <c r="J81" i="25"/>
  <c r="J99" i="25"/>
  <c r="J64" i="25"/>
  <c r="J63" i="25"/>
  <c r="M109" i="25"/>
  <c r="M74" i="25"/>
  <c r="I101" i="25"/>
  <c r="I107" i="25" s="1"/>
  <c r="I66" i="25"/>
  <c r="I82" i="25"/>
  <c r="I86" i="25" s="1"/>
  <c r="F111" i="25"/>
  <c r="F114" i="25" s="1"/>
  <c r="E121" i="25"/>
  <c r="F87" i="22"/>
  <c r="G87" i="22" s="1"/>
  <c r="E89" i="22"/>
  <c r="H53" i="22"/>
  <c r="G74" i="22"/>
  <c r="J25" i="22"/>
  <c r="G104" i="22"/>
  <c r="G106" i="22"/>
  <c r="G103" i="22"/>
  <c r="F89" i="22"/>
  <c r="G105" i="22"/>
  <c r="H105" i="22" s="1"/>
  <c r="K50" i="22"/>
  <c r="K109" i="22" s="1"/>
  <c r="I7" i="22"/>
  <c r="I49" i="22" s="1"/>
  <c r="H13" i="18"/>
  <c r="I2" i="18"/>
  <c r="H125" i="25" l="1"/>
  <c r="F6" i="28"/>
  <c r="J101" i="25"/>
  <c r="J107" i="25" s="1"/>
  <c r="J127" i="25"/>
  <c r="H9" i="28" s="1"/>
  <c r="H69" i="25"/>
  <c r="H70" i="25" s="1"/>
  <c r="H71" i="25" s="1"/>
  <c r="H72" i="25" s="1"/>
  <c r="H75" i="25" s="1"/>
  <c r="H122" i="25" s="1"/>
  <c r="J82" i="25"/>
  <c r="I91" i="25"/>
  <c r="I116" i="25" s="1"/>
  <c r="I128" i="25"/>
  <c r="G10" i="28" s="1"/>
  <c r="J86" i="25"/>
  <c r="M11" i="25"/>
  <c r="M15" i="25" s="1"/>
  <c r="M59" i="25"/>
  <c r="M126" i="25" s="1"/>
  <c r="K8" i="28" s="1"/>
  <c r="J66" i="25"/>
  <c r="K100" i="25"/>
  <c r="K68" i="25" s="1"/>
  <c r="K94" i="25"/>
  <c r="K84" i="25"/>
  <c r="K80" i="25"/>
  <c r="K65" i="25"/>
  <c r="K63" i="25"/>
  <c r="K97" i="25"/>
  <c r="K98" i="25"/>
  <c r="K83" i="25"/>
  <c r="K99" i="25"/>
  <c r="K85" i="25"/>
  <c r="K95" i="25"/>
  <c r="K60" i="25"/>
  <c r="K64" i="25"/>
  <c r="K81" i="25"/>
  <c r="L11" i="25"/>
  <c r="L15" i="25" s="1"/>
  <c r="L27" i="25" s="1"/>
  <c r="L59" i="25"/>
  <c r="L126" i="25" s="1"/>
  <c r="J8" i="28" s="1"/>
  <c r="K113" i="25"/>
  <c r="G111" i="25"/>
  <c r="G114" i="25" s="1"/>
  <c r="F121" i="25"/>
  <c r="J61" i="25"/>
  <c r="J62" i="25" s="1"/>
  <c r="I67" i="25"/>
  <c r="I124" i="25" s="1"/>
  <c r="E115" i="25"/>
  <c r="M87" i="25"/>
  <c r="M89" i="25" s="1"/>
  <c r="L89" i="25"/>
  <c r="I53" i="22"/>
  <c r="H74" i="22"/>
  <c r="K25" i="22"/>
  <c r="H104" i="22"/>
  <c r="I104" i="22" s="1"/>
  <c r="H106" i="22"/>
  <c r="L50" i="22"/>
  <c r="L109" i="22" s="1"/>
  <c r="J7" i="22"/>
  <c r="J49" i="22" s="1"/>
  <c r="H103" i="22"/>
  <c r="G89" i="22"/>
  <c r="H87" i="22"/>
  <c r="I13" i="18"/>
  <c r="J2" i="18"/>
  <c r="I125" i="25" l="1"/>
  <c r="G7" i="28" s="1"/>
  <c r="G6" i="28"/>
  <c r="H129" i="25"/>
  <c r="F11" i="28" s="1"/>
  <c r="F14" i="28" s="1"/>
  <c r="F7" i="28"/>
  <c r="I129" i="25"/>
  <c r="G11" i="28" s="1"/>
  <c r="G14" i="28" s="1"/>
  <c r="K127" i="25"/>
  <c r="I9" i="28" s="1"/>
  <c r="I69" i="25"/>
  <c r="I70" i="25" s="1"/>
  <c r="I71" i="25" s="1"/>
  <c r="I72" i="25" s="1"/>
  <c r="I75" i="25" s="1"/>
  <c r="I122" i="25" s="1"/>
  <c r="J67" i="25"/>
  <c r="J124" i="25" s="1"/>
  <c r="J91" i="25"/>
  <c r="J116" i="25" s="1"/>
  <c r="J128" i="25"/>
  <c r="H10" i="28" s="1"/>
  <c r="M27" i="25"/>
  <c r="L113" i="25"/>
  <c r="M113" i="25" s="1"/>
  <c r="H111" i="25"/>
  <c r="H114" i="25" s="1"/>
  <c r="G121" i="25"/>
  <c r="L99" i="25"/>
  <c r="L83" i="25"/>
  <c r="L63" i="25"/>
  <c r="L98" i="25"/>
  <c r="L95" i="25"/>
  <c r="L85" i="25"/>
  <c r="L80" i="25"/>
  <c r="L100" i="25"/>
  <c r="L68" i="25" s="1"/>
  <c r="L97" i="25"/>
  <c r="L94" i="25"/>
  <c r="L84" i="25"/>
  <c r="L81" i="25"/>
  <c r="L65" i="25"/>
  <c r="L64" i="25"/>
  <c r="L60" i="25"/>
  <c r="K82" i="25"/>
  <c r="K86" i="25" s="1"/>
  <c r="K61" i="25"/>
  <c r="K62" i="25" s="1"/>
  <c r="K101" i="25"/>
  <c r="K107" i="25" s="1"/>
  <c r="F115" i="25"/>
  <c r="M100" i="25"/>
  <c r="M68" i="25" s="1"/>
  <c r="M99" i="25"/>
  <c r="M98" i="25"/>
  <c r="M97" i="25"/>
  <c r="M95" i="25"/>
  <c r="M94" i="25"/>
  <c r="M84" i="25"/>
  <c r="M83" i="25"/>
  <c r="M80" i="25"/>
  <c r="M65" i="25"/>
  <c r="M60" i="25"/>
  <c r="M85" i="25"/>
  <c r="M81" i="25"/>
  <c r="M63" i="25"/>
  <c r="M64" i="25"/>
  <c r="K66" i="25"/>
  <c r="J53" i="22"/>
  <c r="I74" i="22"/>
  <c r="L25" i="22"/>
  <c r="J104" i="22"/>
  <c r="K7" i="22"/>
  <c r="K49" i="22" s="1"/>
  <c r="I106" i="22"/>
  <c r="I105" i="22"/>
  <c r="M50" i="22"/>
  <c r="M109" i="22" s="1"/>
  <c r="I87" i="22"/>
  <c r="H89" i="22"/>
  <c r="I103" i="22"/>
  <c r="K2" i="18"/>
  <c r="K13" i="18" s="1"/>
  <c r="J13" i="18"/>
  <c r="J125" i="25" l="1"/>
  <c r="H7" i="28" s="1"/>
  <c r="H6" i="28"/>
  <c r="J129" i="25"/>
  <c r="H11" i="28" s="1"/>
  <c r="H14" i="28" s="1"/>
  <c r="M127" i="25"/>
  <c r="K9" i="28" s="1"/>
  <c r="L127" i="25"/>
  <c r="J9" i="28" s="1"/>
  <c r="J69" i="25"/>
  <c r="J70" i="25" s="1"/>
  <c r="J71" i="25" s="1"/>
  <c r="J72" i="25" s="1"/>
  <c r="J75" i="25" s="1"/>
  <c r="J122" i="25" s="1"/>
  <c r="K91" i="25"/>
  <c r="K116" i="25" s="1"/>
  <c r="K128" i="25"/>
  <c r="I10" i="28" s="1"/>
  <c r="M66" i="25"/>
  <c r="L61" i="25"/>
  <c r="L62" i="25" s="1"/>
  <c r="L66" i="25"/>
  <c r="M82" i="25"/>
  <c r="G115" i="25"/>
  <c r="M101" i="25"/>
  <c r="M107" i="25" s="1"/>
  <c r="M61" i="25"/>
  <c r="M62" i="25" s="1"/>
  <c r="L101" i="25"/>
  <c r="L107" i="25" s="1"/>
  <c r="I111" i="25"/>
  <c r="I114" i="25" s="1"/>
  <c r="H121" i="25"/>
  <c r="K67" i="25"/>
  <c r="K124" i="25" s="1"/>
  <c r="L82" i="25"/>
  <c r="L86" i="25" s="1"/>
  <c r="K53" i="22"/>
  <c r="J74" i="22"/>
  <c r="M25" i="22"/>
  <c r="K104" i="22"/>
  <c r="L7" i="22"/>
  <c r="L49" i="22" s="1"/>
  <c r="J103" i="22"/>
  <c r="J105" i="22"/>
  <c r="J106" i="22"/>
  <c r="J87" i="22"/>
  <c r="I89" i="22"/>
  <c r="K125" i="25" l="1"/>
  <c r="I6" i="28"/>
  <c r="M86" i="25"/>
  <c r="B22" i="28"/>
  <c r="B23" i="28" s="1"/>
  <c r="K69" i="25"/>
  <c r="K70" i="25" s="1"/>
  <c r="K71" i="25" s="1"/>
  <c r="K72" i="25" s="1"/>
  <c r="K75" i="25" s="1"/>
  <c r="K122" i="25" s="1"/>
  <c r="M67" i="25"/>
  <c r="M124" i="25" s="1"/>
  <c r="M91" i="25"/>
  <c r="M116" i="25" s="1"/>
  <c r="L91" i="25"/>
  <c r="L116" i="25" s="1"/>
  <c r="L128" i="25"/>
  <c r="J10" i="28" s="1"/>
  <c r="L67" i="25"/>
  <c r="L124" i="25" s="1"/>
  <c r="H115" i="25"/>
  <c r="J111" i="25"/>
  <c r="J114" i="25" s="1"/>
  <c r="I121" i="25"/>
  <c r="L53" i="22"/>
  <c r="K74" i="22"/>
  <c r="K106" i="22"/>
  <c r="K87" i="22"/>
  <c r="J89" i="22"/>
  <c r="L104" i="22"/>
  <c r="M7" i="22"/>
  <c r="M49" i="22" s="1"/>
  <c r="K105" i="22"/>
  <c r="K103" i="22"/>
  <c r="L125" i="25" l="1"/>
  <c r="J6" i="28"/>
  <c r="M125" i="25"/>
  <c r="K7" i="28" s="1"/>
  <c r="K6" i="28"/>
  <c r="K129" i="25"/>
  <c r="I11" i="28" s="1"/>
  <c r="I14" i="28" s="1"/>
  <c r="I7" i="28"/>
  <c r="L69" i="25"/>
  <c r="L70" i="25" s="1"/>
  <c r="L71" i="25" s="1"/>
  <c r="L72" i="25" s="1"/>
  <c r="L75" i="25" s="1"/>
  <c r="L122" i="25" s="1"/>
  <c r="M128" i="25"/>
  <c r="M69" i="25"/>
  <c r="M70" i="25" s="1"/>
  <c r="M71" i="25" s="1"/>
  <c r="M72" i="25" s="1"/>
  <c r="M75" i="25" s="1"/>
  <c r="M122" i="25" s="1"/>
  <c r="I115" i="25"/>
  <c r="K111" i="25"/>
  <c r="K114" i="25" s="1"/>
  <c r="J121" i="25"/>
  <c r="M53" i="22"/>
  <c r="M74" i="22" s="1"/>
  <c r="L74" i="22"/>
  <c r="M104" i="22"/>
  <c r="L87" i="22"/>
  <c r="K89" i="22"/>
  <c r="L106" i="22"/>
  <c r="M106" i="22" s="1"/>
  <c r="L103" i="22"/>
  <c r="L105" i="22"/>
  <c r="M105" i="22" s="1"/>
  <c r="M129" i="25" l="1"/>
  <c r="K11" i="28" s="1"/>
  <c r="K10" i="28"/>
  <c r="L129" i="25"/>
  <c r="J11" i="28" s="1"/>
  <c r="J14" i="28" s="1"/>
  <c r="J7" i="28"/>
  <c r="K13" i="28"/>
  <c r="K14" i="28" s="1"/>
  <c r="B16" i="28" s="1"/>
  <c r="B25" i="28" s="1"/>
  <c r="B27" i="28" s="1"/>
  <c r="J115" i="25"/>
  <c r="L111" i="25"/>
  <c r="L114" i="25" s="1"/>
  <c r="K121" i="25"/>
  <c r="L89" i="22"/>
  <c r="M87" i="22"/>
  <c r="M89" i="22" s="1"/>
  <c r="M103" i="22"/>
  <c r="K115" i="25" l="1"/>
  <c r="M111" i="25"/>
  <c r="L121" i="25"/>
  <c r="C32" i="15"/>
  <c r="B32" i="17" s="1"/>
  <c r="C32" i="17" s="1"/>
  <c r="C33" i="15"/>
  <c r="B33" i="17" s="1"/>
  <c r="C33" i="17" s="1"/>
  <c r="C34" i="15"/>
  <c r="B34" i="17" s="1"/>
  <c r="C34" i="17" s="1"/>
  <c r="C35" i="15"/>
  <c r="B35" i="17" s="1"/>
  <c r="C35" i="17" s="1"/>
  <c r="C36" i="15"/>
  <c r="B36" i="17" s="1"/>
  <c r="C36" i="17" s="1"/>
  <c r="C37" i="15"/>
  <c r="B37" i="17" s="1"/>
  <c r="C37" i="17" s="1"/>
  <c r="C38" i="15"/>
  <c r="B38" i="17" s="1"/>
  <c r="C38" i="17" s="1"/>
  <c r="C39" i="15"/>
  <c r="B39" i="17" s="1"/>
  <c r="C39" i="17" s="1"/>
  <c r="C40" i="15"/>
  <c r="B40" i="17" s="1"/>
  <c r="C40" i="17" s="1"/>
  <c r="C31" i="15"/>
  <c r="D25" i="16"/>
  <c r="D33" i="16"/>
  <c r="C33" i="16"/>
  <c r="D32" i="16"/>
  <c r="C32" i="16"/>
  <c r="D31" i="16"/>
  <c r="C31" i="16"/>
  <c r="D30" i="16"/>
  <c r="C30" i="16"/>
  <c r="D29" i="16"/>
  <c r="C29" i="16"/>
  <c r="D28" i="16"/>
  <c r="C28" i="16"/>
  <c r="D27" i="16"/>
  <c r="C27" i="16"/>
  <c r="E15" i="16" s="1"/>
  <c r="D26" i="16"/>
  <c r="C26" i="16"/>
  <c r="D15" i="16" s="1"/>
  <c r="C25" i="16"/>
  <c r="C15" i="16" s="1"/>
  <c r="A25" i="16"/>
  <c r="A26" i="16" s="1"/>
  <c r="A27" i="16" s="1"/>
  <c r="A28" i="16" s="1"/>
  <c r="A29" i="16" s="1"/>
  <c r="A30" i="16" s="1"/>
  <c r="A31" i="16" s="1"/>
  <c r="A32" i="16" s="1"/>
  <c r="A33" i="16" s="1"/>
  <c r="C24" i="16"/>
  <c r="B15" i="16" s="1"/>
  <c r="B14" i="16"/>
  <c r="B19" i="16" s="1"/>
  <c r="C2" i="16"/>
  <c r="D2" i="16" s="1"/>
  <c r="M114" i="25" l="1"/>
  <c r="M121" i="25" s="1"/>
  <c r="L115" i="25"/>
  <c r="M115" i="25"/>
  <c r="D6" i="22" a="1"/>
  <c r="B31" i="17"/>
  <c r="C31" i="17" s="1"/>
  <c r="B4" i="17"/>
  <c r="D4" i="17"/>
  <c r="D4" i="15"/>
  <c r="C4" i="17"/>
  <c r="C4" i="15"/>
  <c r="H15" i="16"/>
  <c r="I15" i="16"/>
  <c r="E20" i="16"/>
  <c r="D31" i="15"/>
  <c r="J15" i="16"/>
  <c r="F15" i="16"/>
  <c r="K15" i="16"/>
  <c r="G15" i="16"/>
  <c r="D20" i="16"/>
  <c r="D14" i="16"/>
  <c r="D19" i="16" s="1"/>
  <c r="E2" i="16"/>
  <c r="C14" i="16"/>
  <c r="C19" i="16" s="1"/>
  <c r="D6" i="22" l="1"/>
  <c r="E4" i="22"/>
  <c r="M4" i="22"/>
  <c r="K4" i="22"/>
  <c r="I4" i="22"/>
  <c r="J4" i="22"/>
  <c r="F4" i="22"/>
  <c r="G4" i="22"/>
  <c r="L4" i="22"/>
  <c r="H4" i="22"/>
  <c r="K20" i="16"/>
  <c r="J20" i="16"/>
  <c r="C20" i="16"/>
  <c r="B4" i="15"/>
  <c r="H4" i="17"/>
  <c r="H4" i="15"/>
  <c r="G20" i="16"/>
  <c r="G4" i="17"/>
  <c r="G4" i="15"/>
  <c r="E4" i="17"/>
  <c r="E4" i="15"/>
  <c r="H20" i="16"/>
  <c r="F20" i="16"/>
  <c r="K4" i="17"/>
  <c r="K4" i="15"/>
  <c r="J4" i="17"/>
  <c r="J4" i="15"/>
  <c r="I4" i="17"/>
  <c r="I4" i="15"/>
  <c r="F4" i="17"/>
  <c r="F4" i="15"/>
  <c r="I20" i="16"/>
  <c r="E14" i="16"/>
  <c r="E19" i="16" s="1"/>
  <c r="F2" i="16"/>
  <c r="D33" i="15"/>
  <c r="D32" i="15"/>
  <c r="D36" i="15"/>
  <c r="D35" i="15"/>
  <c r="D34" i="15"/>
  <c r="D38" i="15"/>
  <c r="D40" i="15"/>
  <c r="D37" i="15"/>
  <c r="D39" i="15"/>
  <c r="G2" i="16" l="1"/>
  <c r="F14" i="16"/>
  <c r="F19" i="16" s="1"/>
  <c r="H2" i="16" l="1"/>
  <c r="G14" i="16"/>
  <c r="G19" i="16" s="1"/>
  <c r="I2" i="16" l="1"/>
  <c r="H14" i="16"/>
  <c r="H19" i="16" s="1"/>
  <c r="I14" i="16" l="1"/>
  <c r="I19" i="16" s="1"/>
  <c r="J2" i="16"/>
  <c r="K2" i="16" l="1"/>
  <c r="K14" i="16" s="1"/>
  <c r="K19" i="16" s="1"/>
  <c r="J14" i="16"/>
  <c r="J19" i="16" s="1"/>
  <c r="C3" i="4" l="1"/>
  <c r="D3" i="4" s="1"/>
  <c r="E3" i="4" s="1"/>
  <c r="F3" i="4" s="1"/>
  <c r="G3" i="4" s="1"/>
  <c r="H3" i="4" s="1"/>
  <c r="I3" i="4" s="1"/>
  <c r="J3" i="4" s="1"/>
  <c r="K3" i="4" s="1"/>
  <c r="D18" i="4"/>
  <c r="C17" i="4"/>
  <c r="B8" i="4" s="1"/>
  <c r="C13" i="4"/>
  <c r="E13" i="4"/>
  <c r="D13" i="4"/>
  <c r="D8" i="4"/>
  <c r="D16" i="16" s="1"/>
  <c r="D3" i="18" s="1"/>
  <c r="B16" i="16"/>
  <c r="D26" i="4"/>
  <c r="C26" i="4"/>
  <c r="C8" i="22" s="1"/>
  <c r="D8" i="22" s="1"/>
  <c r="D25" i="4"/>
  <c r="C25" i="4"/>
  <c r="D24" i="4"/>
  <c r="C24" i="4"/>
  <c r="D23" i="4"/>
  <c r="C23" i="4"/>
  <c r="D22" i="4"/>
  <c r="C22" i="4"/>
  <c r="G8" i="4" s="1"/>
  <c r="G16" i="16" s="1"/>
  <c r="G3" i="18" s="1"/>
  <c r="D21" i="4"/>
  <c r="C21" i="4"/>
  <c r="D20" i="4"/>
  <c r="C20" i="4"/>
  <c r="D19" i="4"/>
  <c r="C19" i="4"/>
  <c r="C18" i="4"/>
  <c r="A18" i="4"/>
  <c r="A19" i="4" s="1"/>
  <c r="A20" i="4" s="1"/>
  <c r="A21" i="4" s="1"/>
  <c r="A22" i="4" s="1"/>
  <c r="A23" i="4" s="1"/>
  <c r="A24" i="4" s="1"/>
  <c r="A25" i="4" s="1"/>
  <c r="A26" i="4" s="1"/>
  <c r="K13" i="4"/>
  <c r="J13" i="4"/>
  <c r="I13" i="4"/>
  <c r="H13" i="4"/>
  <c r="G13" i="4"/>
  <c r="F13" i="4"/>
  <c r="B7" i="4"/>
  <c r="B10" i="4" s="1"/>
  <c r="D10" i="22" l="1"/>
  <c r="D59" i="22" s="1"/>
  <c r="E8" i="22"/>
  <c r="B3" i="18"/>
  <c r="B3" i="15"/>
  <c r="B3" i="17"/>
  <c r="H8" i="4"/>
  <c r="H16" i="16" s="1"/>
  <c r="D3" i="17"/>
  <c r="D3" i="15"/>
  <c r="G3" i="17"/>
  <c r="G3" i="15"/>
  <c r="I8" i="4"/>
  <c r="I16" i="16" s="1"/>
  <c r="I3" i="18" s="1"/>
  <c r="E8" i="4"/>
  <c r="E16" i="16" s="1"/>
  <c r="E3" i="18" s="1"/>
  <c r="J8" i="4"/>
  <c r="J16" i="16" s="1"/>
  <c r="J3" i="18" s="1"/>
  <c r="K8" i="4"/>
  <c r="K16" i="16" s="1"/>
  <c r="K3" i="18" s="1"/>
  <c r="C8" i="4"/>
  <c r="C11" i="4" s="1"/>
  <c r="L13" i="4" a="1"/>
  <c r="L13" i="4" s="1"/>
  <c r="F8" i="4"/>
  <c r="D7" i="4"/>
  <c r="D10" i="4" s="1"/>
  <c r="C7" i="4"/>
  <c r="C10" i="4" s="1"/>
  <c r="D99" i="22" l="1"/>
  <c r="D97" i="22"/>
  <c r="D95" i="22"/>
  <c r="D94" i="22"/>
  <c r="D84" i="22"/>
  <c r="D83" i="22"/>
  <c r="D80" i="22"/>
  <c r="D81" i="22"/>
  <c r="D82" i="22" s="1"/>
  <c r="D86" i="22" s="1"/>
  <c r="D91" i="22" s="1"/>
  <c r="D116" i="22" s="1"/>
  <c r="D85" i="22"/>
  <c r="D60" i="22"/>
  <c r="D65" i="22"/>
  <c r="D64" i="22"/>
  <c r="D63" i="22"/>
  <c r="H11" i="4"/>
  <c r="F8" i="22"/>
  <c r="E10" i="22"/>
  <c r="E59" i="22" s="1"/>
  <c r="D98" i="22"/>
  <c r="D100" i="22"/>
  <c r="H3" i="17"/>
  <c r="H3" i="18"/>
  <c r="H3" i="15"/>
  <c r="F11" i="4"/>
  <c r="E11" i="4"/>
  <c r="K11" i="4"/>
  <c r="K3" i="17"/>
  <c r="K3" i="15"/>
  <c r="C6" i="22" s="1"/>
  <c r="D11" i="4"/>
  <c r="C16" i="16"/>
  <c r="J3" i="17"/>
  <c r="J3" i="15"/>
  <c r="I3" i="17"/>
  <c r="I3" i="15"/>
  <c r="G11" i="4"/>
  <c r="F16" i="16"/>
  <c r="F3" i="18" s="1"/>
  <c r="J11" i="4"/>
  <c r="I11" i="4"/>
  <c r="E3" i="17"/>
  <c r="E3" i="15"/>
  <c r="E7" i="4"/>
  <c r="E10" i="4" s="1"/>
  <c r="C10" i="22" l="1"/>
  <c r="D4" i="22"/>
  <c r="D101" i="22"/>
  <c r="D107" i="22" s="1"/>
  <c r="E95" i="22"/>
  <c r="E94" i="22"/>
  <c r="D66" i="22"/>
  <c r="E84" i="22"/>
  <c r="E83" i="22"/>
  <c r="E80" i="22"/>
  <c r="E81" i="22"/>
  <c r="E65" i="22"/>
  <c r="E60" i="22"/>
  <c r="E64" i="22"/>
  <c r="E63" i="22"/>
  <c r="D61" i="22"/>
  <c r="D62" i="22" s="1"/>
  <c r="E11" i="22"/>
  <c r="E15" i="22" s="1"/>
  <c r="C3" i="18"/>
  <c r="B17" i="16"/>
  <c r="G8" i="22"/>
  <c r="F10" i="22"/>
  <c r="F59" i="22" s="1"/>
  <c r="D11" i="22"/>
  <c r="D27" i="22" s="1"/>
  <c r="L11" i="4" a="1"/>
  <c r="L11" i="4" s="1"/>
  <c r="B14" i="4"/>
  <c r="C3" i="17"/>
  <c r="C3" i="15"/>
  <c r="F3" i="17"/>
  <c r="F3" i="15"/>
  <c r="F7" i="4"/>
  <c r="F10" i="4" s="1"/>
  <c r="E27" i="22" l="1"/>
  <c r="D113" i="22"/>
  <c r="D67" i="22"/>
  <c r="D69" i="22" s="1"/>
  <c r="D70" i="22" s="1"/>
  <c r="D71" i="22" s="1"/>
  <c r="D72" i="22" s="1"/>
  <c r="E66" i="22"/>
  <c r="F83" i="22"/>
  <c r="F80" i="22"/>
  <c r="F84" i="22"/>
  <c r="F81" i="22"/>
  <c r="F65" i="22"/>
  <c r="F60" i="22"/>
  <c r="F64" i="22"/>
  <c r="F63" i="22"/>
  <c r="E61" i="22"/>
  <c r="E62" i="22" s="1"/>
  <c r="E100" i="22"/>
  <c r="E68" i="22" s="1"/>
  <c r="E82" i="22"/>
  <c r="E99" i="22"/>
  <c r="E97" i="22"/>
  <c r="E98" i="22"/>
  <c r="E85" i="22"/>
  <c r="F11" i="22"/>
  <c r="F15" i="22" s="1"/>
  <c r="H8" i="22"/>
  <c r="G10" i="22"/>
  <c r="G59" i="22" s="1"/>
  <c r="K5" i="17"/>
  <c r="G7" i="4"/>
  <c r="G10" i="4" s="1"/>
  <c r="E67" i="22" l="1"/>
  <c r="F27" i="22"/>
  <c r="D75" i="22"/>
  <c r="D111" i="22"/>
  <c r="F66" i="22"/>
  <c r="G84" i="22"/>
  <c r="G83" i="22"/>
  <c r="G80" i="22"/>
  <c r="G81" i="22"/>
  <c r="E69" i="22"/>
  <c r="E70" i="22" s="1"/>
  <c r="E71" i="22" s="1"/>
  <c r="E72" i="22" s="1"/>
  <c r="E75" i="22" s="1"/>
  <c r="E119" i="22" s="1"/>
  <c r="G65" i="22"/>
  <c r="G60" i="22"/>
  <c r="G64" i="22"/>
  <c r="G63" i="22"/>
  <c r="F61" i="22"/>
  <c r="F62" i="22" s="1"/>
  <c r="F67" i="22" s="1"/>
  <c r="G11" i="22"/>
  <c r="G15" i="22" s="1"/>
  <c r="E86" i="22"/>
  <c r="E91" i="22" s="1"/>
  <c r="E116" i="22" s="1"/>
  <c r="I8" i="22"/>
  <c r="H10" i="22"/>
  <c r="H59" i="22" s="1"/>
  <c r="F85" i="22"/>
  <c r="F94" i="22"/>
  <c r="F82" i="22"/>
  <c r="F100" i="22"/>
  <c r="F68" i="22" s="1"/>
  <c r="F99" i="22"/>
  <c r="F98" i="22"/>
  <c r="F97" i="22"/>
  <c r="F95" i="22"/>
  <c r="E101" i="22"/>
  <c r="E107" i="22" s="1"/>
  <c r="E113" i="22"/>
  <c r="H7" i="4"/>
  <c r="H10" i="4" s="1"/>
  <c r="E111" i="22" l="1"/>
  <c r="D114" i="22"/>
  <c r="F69" i="22"/>
  <c r="H84" i="22"/>
  <c r="H83" i="22"/>
  <c r="H80" i="22"/>
  <c r="H81" i="22"/>
  <c r="G66" i="22"/>
  <c r="F70" i="22"/>
  <c r="F71" i="22" s="1"/>
  <c r="F72" i="22" s="1"/>
  <c r="F75" i="22" s="1"/>
  <c r="F119" i="22" s="1"/>
  <c r="G61" i="22"/>
  <c r="G62" i="22" s="1"/>
  <c r="G67" i="22" s="1"/>
  <c r="H65" i="22"/>
  <c r="H60" i="22"/>
  <c r="H63" i="22"/>
  <c r="H64" i="22"/>
  <c r="G27" i="22"/>
  <c r="H11" i="22"/>
  <c r="H15" i="22" s="1"/>
  <c r="J8" i="22"/>
  <c r="I10" i="22"/>
  <c r="I59" i="22" s="1"/>
  <c r="E114" i="22"/>
  <c r="E118" i="22" s="1"/>
  <c r="F86" i="22"/>
  <c r="F91" i="22" s="1"/>
  <c r="F116" i="22" s="1"/>
  <c r="F101" i="22"/>
  <c r="F107" i="22" s="1"/>
  <c r="G99" i="22"/>
  <c r="G95" i="22"/>
  <c r="G98" i="22"/>
  <c r="G85" i="22"/>
  <c r="G82" i="22"/>
  <c r="G97" i="22"/>
  <c r="G94" i="22"/>
  <c r="G100" i="22"/>
  <c r="G68" i="22" s="1"/>
  <c r="F113" i="22"/>
  <c r="I7" i="4"/>
  <c r="I10" i="4" s="1"/>
  <c r="D115" i="22" l="1"/>
  <c r="D117" i="22" s="1"/>
  <c r="F111" i="22"/>
  <c r="F114" i="22" s="1"/>
  <c r="F118" i="22" s="1"/>
  <c r="G69" i="22"/>
  <c r="I84" i="22"/>
  <c r="I83" i="22"/>
  <c r="I80" i="22"/>
  <c r="I81" i="22"/>
  <c r="G70" i="22"/>
  <c r="G71" i="22" s="1"/>
  <c r="G72" i="22" s="1"/>
  <c r="G75" i="22" s="1"/>
  <c r="G119" i="22" s="1"/>
  <c r="H66" i="22"/>
  <c r="H61" i="22"/>
  <c r="H62" i="22" s="1"/>
  <c r="I65" i="22"/>
  <c r="I60" i="22"/>
  <c r="I63" i="22"/>
  <c r="I64" i="22"/>
  <c r="H27" i="22"/>
  <c r="G86" i="22"/>
  <c r="G91" i="22" s="1"/>
  <c r="G116" i="22" s="1"/>
  <c r="I11" i="22"/>
  <c r="I15" i="22" s="1"/>
  <c r="K8" i="22"/>
  <c r="J10" i="22"/>
  <c r="J59" i="22" s="1"/>
  <c r="H98" i="22"/>
  <c r="H85" i="22"/>
  <c r="H82" i="22"/>
  <c r="H95" i="22"/>
  <c r="H97" i="22"/>
  <c r="H94" i="22"/>
  <c r="H100" i="22"/>
  <c r="H68" i="22" s="1"/>
  <c r="H99" i="22"/>
  <c r="G101" i="22"/>
  <c r="G107" i="22" s="1"/>
  <c r="E115" i="22"/>
  <c r="E117" i="22" s="1"/>
  <c r="G113" i="22"/>
  <c r="K7" i="4"/>
  <c r="K10" i="4" s="1"/>
  <c r="J7" i="4"/>
  <c r="J10" i="4" s="1"/>
  <c r="H67" i="22" l="1"/>
  <c r="G111" i="22"/>
  <c r="H69" i="22"/>
  <c r="J84" i="22"/>
  <c r="J83" i="22"/>
  <c r="J80" i="22"/>
  <c r="J81" i="22"/>
  <c r="H70" i="22"/>
  <c r="H71" i="22" s="1"/>
  <c r="H72" i="22" s="1"/>
  <c r="H75" i="22" s="1"/>
  <c r="H119" i="22" s="1"/>
  <c r="I66" i="22"/>
  <c r="J65" i="22"/>
  <c r="J60" i="22"/>
  <c r="J63" i="22"/>
  <c r="J64" i="22"/>
  <c r="I61" i="22"/>
  <c r="I62" i="22" s="1"/>
  <c r="I27" i="22"/>
  <c r="J11" i="22"/>
  <c r="J15" i="22" s="1"/>
  <c r="H101" i="22"/>
  <c r="H107" i="22" s="1"/>
  <c r="L8" i="22"/>
  <c r="K10" i="22"/>
  <c r="K59" i="22" s="1"/>
  <c r="I97" i="22"/>
  <c r="I99" i="22"/>
  <c r="I95" i="22"/>
  <c r="I100" i="22"/>
  <c r="I68" i="22" s="1"/>
  <c r="I85" i="22"/>
  <c r="I94" i="22"/>
  <c r="I82" i="22"/>
  <c r="I98" i="22"/>
  <c r="H86" i="22"/>
  <c r="H91" i="22" s="1"/>
  <c r="H116" i="22" s="1"/>
  <c r="F115" i="22"/>
  <c r="F117" i="22" s="1"/>
  <c r="H113" i="22"/>
  <c r="H111" i="22" l="1"/>
  <c r="K84" i="22"/>
  <c r="K83" i="22"/>
  <c r="K80" i="22"/>
  <c r="K81" i="22"/>
  <c r="I67" i="22"/>
  <c r="I69" i="22" s="1"/>
  <c r="G114" i="22"/>
  <c r="G118" i="22" s="1"/>
  <c r="I70" i="22"/>
  <c r="I71" i="22" s="1"/>
  <c r="I72" i="22" s="1"/>
  <c r="I75" i="22" s="1"/>
  <c r="I119" i="22" s="1"/>
  <c r="J66" i="22"/>
  <c r="J27" i="22"/>
  <c r="K65" i="22"/>
  <c r="K60" i="22"/>
  <c r="K63" i="22"/>
  <c r="K64" i="22"/>
  <c r="J61" i="22"/>
  <c r="J62" i="22" s="1"/>
  <c r="I86" i="22"/>
  <c r="I91" i="22" s="1"/>
  <c r="I116" i="22" s="1"/>
  <c r="I101" i="22"/>
  <c r="I107" i="22" s="1"/>
  <c r="M8" i="22"/>
  <c r="M10" i="22" s="1"/>
  <c r="M59" i="22" s="1"/>
  <c r="L10" i="22"/>
  <c r="L59" i="22" s="1"/>
  <c r="K11" i="22"/>
  <c r="K15" i="22" s="1"/>
  <c r="J100" i="22"/>
  <c r="J68" i="22" s="1"/>
  <c r="J99" i="22"/>
  <c r="J85" i="22"/>
  <c r="J98" i="22"/>
  <c r="J97" i="22"/>
  <c r="J95" i="22"/>
  <c r="J94" i="22"/>
  <c r="J82" i="22"/>
  <c r="I113" i="22"/>
  <c r="I111" i="22" l="1"/>
  <c r="H114" i="22"/>
  <c r="H118" i="22" s="1"/>
  <c r="M84" i="22"/>
  <c r="M83" i="22"/>
  <c r="M80" i="22"/>
  <c r="M81" i="22"/>
  <c r="L84" i="22"/>
  <c r="L83" i="22"/>
  <c r="L80" i="22"/>
  <c r="L81" i="22"/>
  <c r="J67" i="22"/>
  <c r="J69" i="22" s="1"/>
  <c r="J70" i="22" s="1"/>
  <c r="J71" i="22" s="1"/>
  <c r="J72" i="22" s="1"/>
  <c r="J75" i="22" s="1"/>
  <c r="J119" i="22" s="1"/>
  <c r="K27" i="22"/>
  <c r="K66" i="22"/>
  <c r="M65" i="22"/>
  <c r="M60" i="22"/>
  <c r="M63" i="22"/>
  <c r="M64" i="22"/>
  <c r="L65" i="22"/>
  <c r="L60" i="22"/>
  <c r="L63" i="22"/>
  <c r="L64" i="22"/>
  <c r="K61" i="22"/>
  <c r="K62" i="22" s="1"/>
  <c r="J101" i="22"/>
  <c r="J107" i="22" s="1"/>
  <c r="G115" i="22"/>
  <c r="G117" i="22" s="1"/>
  <c r="K94" i="22"/>
  <c r="K82" i="22"/>
  <c r="K100" i="22"/>
  <c r="K68" i="22" s="1"/>
  <c r="K85" i="22"/>
  <c r="K99" i="22"/>
  <c r="K97" i="22"/>
  <c r="K95" i="22"/>
  <c r="K98" i="22"/>
  <c r="I114" i="22"/>
  <c r="I118" i="22" s="1"/>
  <c r="M11" i="22"/>
  <c r="M15" i="22" s="1"/>
  <c r="L11" i="22"/>
  <c r="L15" i="22" s="1"/>
  <c r="J86" i="22"/>
  <c r="J91" i="22" s="1"/>
  <c r="J116" i="22" s="1"/>
  <c r="H115" i="22"/>
  <c r="H117" i="22" s="1"/>
  <c r="J113" i="22"/>
  <c r="J111" i="22" l="1"/>
  <c r="L66" i="22"/>
  <c r="L27" i="22"/>
  <c r="K67" i="22"/>
  <c r="K69" i="22" s="1"/>
  <c r="K70" i="22" s="1"/>
  <c r="K71" i="22" s="1"/>
  <c r="K72" i="22" s="1"/>
  <c r="K75" i="22" s="1"/>
  <c r="K119" i="22" s="1"/>
  <c r="L61" i="22"/>
  <c r="L62" i="22" s="1"/>
  <c r="L67" i="22" s="1"/>
  <c r="L69" i="22" s="1"/>
  <c r="M66" i="22"/>
  <c r="M61" i="22"/>
  <c r="M62" i="22" s="1"/>
  <c r="M27" i="22"/>
  <c r="M99" i="22"/>
  <c r="M94" i="22"/>
  <c r="M82" i="22"/>
  <c r="M97" i="22"/>
  <c r="M98" i="22"/>
  <c r="M100" i="22"/>
  <c r="M68" i="22" s="1"/>
  <c r="M95" i="22"/>
  <c r="M85" i="22"/>
  <c r="J114" i="22"/>
  <c r="J118" i="22" s="1"/>
  <c r="K86" i="22"/>
  <c r="K91" i="22" s="1"/>
  <c r="K116" i="22" s="1"/>
  <c r="K101" i="22"/>
  <c r="K107" i="22" s="1"/>
  <c r="L82" i="22"/>
  <c r="L100" i="22"/>
  <c r="L68" i="22" s="1"/>
  <c r="L85" i="22"/>
  <c r="L99" i="22"/>
  <c r="L97" i="22"/>
  <c r="L94" i="22"/>
  <c r="L98" i="22"/>
  <c r="L95" i="22"/>
  <c r="I115" i="22"/>
  <c r="I117" i="22" s="1"/>
  <c r="K113" i="22"/>
  <c r="K111" i="22" l="1"/>
  <c r="M67" i="22"/>
  <c r="M69" i="22" s="1"/>
  <c r="M70" i="22" s="1"/>
  <c r="M71" i="22" s="1"/>
  <c r="M72" i="22" s="1"/>
  <c r="M75" i="22" s="1"/>
  <c r="M119" i="22" s="1"/>
  <c r="L70" i="22"/>
  <c r="L71" i="22" s="1"/>
  <c r="L72" i="22" s="1"/>
  <c r="L75" i="22" s="1"/>
  <c r="L119" i="22" s="1"/>
  <c r="M86" i="22"/>
  <c r="M91" i="22" s="1"/>
  <c r="M116" i="22" s="1"/>
  <c r="M101" i="22"/>
  <c r="M107" i="22" s="1"/>
  <c r="L101" i="22"/>
  <c r="L107" i="22" s="1"/>
  <c r="L86" i="22"/>
  <c r="L91" i="22" s="1"/>
  <c r="L116" i="22" s="1"/>
  <c r="J115" i="22"/>
  <c r="J117" i="22" s="1"/>
  <c r="L113" i="22"/>
  <c r="L111" i="22" l="1"/>
  <c r="M111" i="22" s="1"/>
  <c r="K114" i="22"/>
  <c r="M113" i="22"/>
  <c r="K115" i="22" l="1"/>
  <c r="K117" i="22" s="1"/>
  <c r="K118" i="22"/>
  <c r="L114" i="22"/>
  <c r="L118" i="22" s="1"/>
  <c r="M114" i="22"/>
  <c r="M118" i="22" s="1"/>
  <c r="M115" i="22" l="1"/>
  <c r="M117" i="22" s="1"/>
  <c r="L115" i="22"/>
  <c r="L117" i="22" s="1"/>
  <c r="D86" i="25" l="1"/>
  <c r="D91" i="25" l="1"/>
  <c r="D116"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K11" authorId="0" shapeId="0" xr:uid="{32B9CCBA-A5DA-184B-8129-590BBA7D9AB6}">
      <text>
        <r>
          <rPr>
            <sz val="10"/>
            <color rgb="FF000000"/>
            <rFont val="+mn-lt"/>
            <charset val="1"/>
          </rPr>
          <t xml:space="preserve">Under normal circumstances, we would disregard this figure when calcultaing the average growth rate. However, since the growth rate in 2020 was negative due to the effect of the pandemic, whose effects are going to be felt in the upcoming years, we shall include this figure in our calculations.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Shaira Katuwal</author>
  </authors>
  <commentList>
    <comment ref="B17" authorId="0" shapeId="0" xr:uid="{69ED6FF1-6A53-DC42-8B11-4B6EC6EAE61B}">
      <text>
        <r>
          <rPr>
            <b/>
            <sz val="10"/>
            <color rgb="FF000000"/>
            <rFont val="Tahoma"/>
            <family val="2"/>
          </rPr>
          <t>Shaira Katuwal:</t>
        </r>
        <r>
          <rPr>
            <sz val="10"/>
            <color rgb="FF000000"/>
            <rFont val="Tahoma"/>
            <family val="2"/>
          </rPr>
          <t xml:space="preserve">
</t>
        </r>
        <r>
          <rPr>
            <b/>
            <sz val="10"/>
            <color rgb="FF000000"/>
            <rFont val="Aptos Narrow"/>
          </rPr>
          <t>Correlation = 0.98</t>
        </r>
        <r>
          <rPr>
            <sz val="10"/>
            <color rgb="FF000000"/>
            <rFont val="Aptos Narrow"/>
          </rPr>
          <t xml:space="preserve"> is very high and positive, almost perfect.
</t>
        </r>
        <r>
          <rPr>
            <sz val="10"/>
            <color rgb="FF000000"/>
            <rFont val="Aptos Narrow"/>
          </rPr>
          <t xml:space="preserve">This means that Net Real Operating Costs increase almost proportionally with Real Revenue.
</t>
        </r>
        <r>
          <rPr>
            <sz val="10"/>
            <color rgb="FF000000"/>
            <rFont val="Aptos Narrow"/>
          </rPr>
          <t xml:space="preserve">In other words, as Starbucks earns more revenue, its costs rise in a very predictable way.
</t>
        </r>
        <r>
          <rPr>
            <sz val="10"/>
            <color rgb="FF000000"/>
            <rFont val="Aptos Narrow"/>
          </rPr>
          <t xml:space="preserve">This is exactly what we expect for a stable operating business, revenues and operating expenses are strongly linked.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Shaira Katuwal</author>
  </authors>
  <commentList>
    <comment ref="A3" authorId="0" shapeId="0" xr:uid="{D22BCDEA-F3E4-1348-8C9A-5E33F4AF3288}">
      <text>
        <r>
          <rPr>
            <b/>
            <sz val="18"/>
            <color rgb="FF000000"/>
            <rFont val="Aptos Narrow"/>
          </rPr>
          <t>Shaira Katuwal:</t>
        </r>
        <r>
          <rPr>
            <sz val="10"/>
            <color rgb="FF000000"/>
            <rFont val="Aptos Narrow"/>
          </rPr>
          <t xml:space="preserve">
</t>
        </r>
        <r>
          <rPr>
            <sz val="18"/>
            <color rgb="FF000000"/>
            <rFont val="Aptos Narrow"/>
          </rPr>
          <t>Calculated based on Net Real Revenue (millions) because it accounts for inflation and is correct predictor for valuation</t>
        </r>
        <r>
          <rPr>
            <sz val="10"/>
            <color rgb="FF000000"/>
            <rFont val="Aptos Narrow"/>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Shaira Katuwal</author>
  </authors>
  <commentList>
    <comment ref="G15" authorId="0" shapeId="0" xr:uid="{CB0EEED3-476F-C94B-807A-456A5FA694C1}">
      <text>
        <r>
          <rPr>
            <b/>
            <sz val="10"/>
            <color rgb="FF000000"/>
            <rFont val="Tahoma"/>
            <family val="2"/>
          </rPr>
          <t>Shaira Katuwal:</t>
        </r>
        <r>
          <rPr>
            <sz val="10"/>
            <color rgb="FF000000"/>
            <rFont val="Tahoma"/>
            <family val="2"/>
          </rPr>
          <t xml:space="preserve">
</t>
        </r>
        <r>
          <rPr>
            <sz val="10"/>
            <color rgb="FF000000"/>
            <rFont val="Tahoma"/>
            <family val="2"/>
          </rPr>
          <t>no amortization (kept constant at 1,750)</t>
        </r>
      </text>
    </comment>
    <comment ref="I15" authorId="0" shapeId="0" xr:uid="{BD4EE53C-32B1-2E4D-B8F9-71EB97DF2E88}">
      <text>
        <r>
          <rPr>
            <b/>
            <sz val="10"/>
            <color rgb="FF000000"/>
            <rFont val="Tahoma"/>
            <family val="2"/>
          </rPr>
          <t>Shaira Katuwal:</t>
        </r>
        <r>
          <rPr>
            <sz val="10"/>
            <color rgb="FF000000"/>
            <rFont val="Tahoma"/>
            <family val="2"/>
          </rPr>
          <t xml:space="preserve">
</t>
        </r>
        <r>
          <rPr>
            <sz val="10"/>
            <color rgb="FF000000"/>
            <rFont val="Aptos Narrow"/>
          </rPr>
          <t xml:space="preserve">The balances for these long-term notes </t>
        </r>
        <r>
          <rPr>
            <b/>
            <sz val="10"/>
            <color rgb="FF000000"/>
            <rFont val="Aptos Narrow"/>
          </rPr>
          <t>stay flat</t>
        </r>
        <r>
          <rPr>
            <sz val="10"/>
            <color rgb="FF000000"/>
            <rFont val="Aptos Narrow"/>
          </rPr>
          <t xml:space="preserve"> because Starbucks isn’t scheduled to pay them down before 2034. Beyond the WACC 10 yrs projection.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<sst xmlns="http://schemas.openxmlformats.org/spreadsheetml/2006/main" count="1123" uniqueCount="602">
  <si>
    <t>Description</t>
  </si>
  <si>
    <t>Segment</t>
  </si>
  <si>
    <t>FY2023 % of Total Revenue (approx.)</t>
  </si>
  <si>
    <t>North America</t>
  </si>
  <si>
    <t>Primarily U.S. and Canada company-operated and licensed stores</t>
  </si>
  <si>
    <t>International</t>
  </si>
  <si>
    <t>Company-operated and licensed stores outside North America</t>
  </si>
  <si>
    <t>Channel Development</t>
  </si>
  <si>
    <t>Packaged coffee, tea, and ready-to-drink products sold through grocery stores and partners</t>
  </si>
  <si>
    <t>(All values are in $million)</t>
  </si>
  <si>
    <t>BALANCE SHEETS</t>
  </si>
  <si>
    <t>Inventories</t>
  </si>
  <si>
    <t>Goodwill</t>
  </si>
  <si>
    <t>ASSETS</t>
  </si>
  <si>
    <t xml:space="preserve">
               </t>
  </si>
  <si>
    <t>-</t>
  </si>
  <si>
    <t xml:space="preserve">  Deferred Revenue</t>
  </si>
  <si>
    <t xml:space="preserve">  Operating Lease Liability</t>
  </si>
  <si>
    <t xml:space="preserve">  Total Current Liabilities</t>
  </si>
  <si>
    <t xml:space="preserve">  Stored Value Card Liability</t>
  </si>
  <si>
    <t>Non Current Assets</t>
  </si>
  <si>
    <t xml:space="preserve">  Total Current Assets</t>
  </si>
  <si>
    <t xml:space="preserve">  Prepaid Expenses and Other Current Assets</t>
  </si>
  <si>
    <t xml:space="preserve">  Inventories</t>
  </si>
  <si>
    <t xml:space="preserve">  Short-term Investments</t>
  </si>
  <si>
    <t xml:space="preserve">  Cash and Cash Equivalents</t>
  </si>
  <si>
    <t>Current Assets</t>
  </si>
  <si>
    <t xml:space="preserve">Balance Sheet as of:
</t>
  </si>
  <si>
    <t>Sep-27-2015</t>
  </si>
  <si>
    <t>Oct-02-2016</t>
  </si>
  <si>
    <t>Oct-01-2017</t>
  </si>
  <si>
    <t>Sep-30-2018</t>
  </si>
  <si>
    <t>Sep-29-2019</t>
  </si>
  <si>
    <t>Sep-27-2020</t>
  </si>
  <si>
    <t>Oct-03-2021</t>
  </si>
  <si>
    <t>Oct-02-2022</t>
  </si>
  <si>
    <t>Oct-01-2023</t>
  </si>
  <si>
    <t>Sep-29-2024</t>
  </si>
  <si>
    <t>All values are in USD (in millions)</t>
  </si>
  <si>
    <t>12 months
Sep-27-2015</t>
  </si>
  <si>
    <t>12 months
Oct-02-2016</t>
  </si>
  <si>
    <t>12 months
Oct-01-2017</t>
  </si>
  <si>
    <t>12 months
Sep-30-2018</t>
  </si>
  <si>
    <t>12 months
Sep-29-2019</t>
  </si>
  <si>
    <t>12 months
Sep-27-2020</t>
  </si>
  <si>
    <t>12 months
Oct-03-2021</t>
  </si>
  <si>
    <t>12 months
Oct-02-2022</t>
  </si>
  <si>
    <t>12 months
Oct-01-2023</t>
  </si>
  <si>
    <t>12 months
Sep-29-2024</t>
  </si>
  <si>
    <t>Revenues</t>
  </si>
  <si>
    <t xml:space="preserve">  Others</t>
  </si>
  <si>
    <t xml:space="preserve">  Depreciation and Amortization</t>
  </si>
  <si>
    <t xml:space="preserve">Income Statement For the Fiscal Period Ending
</t>
  </si>
  <si>
    <t>Operating Activities</t>
  </si>
  <si>
    <t xml:space="preserve">  Net Earnings, Including Noncontrolling Interests</t>
  </si>
  <si>
    <t xml:space="preserve">  Gain on Sale of Assets</t>
  </si>
  <si>
    <t xml:space="preserve">  Loss on Retirement and Impairment of Assets</t>
  </si>
  <si>
    <t xml:space="preserve">  Net Gain Resulting from Divestiture of Certain Retail Operations</t>
  </si>
  <si>
    <t xml:space="preserve">  Gain Resulting from Sale/acquisition of Equity in Joint Ventures</t>
  </si>
  <si>
    <t xml:space="preserve">  Goodwill Impairments</t>
  </si>
  <si>
    <t xml:space="preserve">  Gain Resulting from Acquisition/sale of Equity in Joint Ventures and Certain Retail Operations</t>
  </si>
  <si>
    <t xml:space="preserve">  Equity in (Income)/losses of Investees</t>
  </si>
  <si>
    <t xml:space="preserve">  Distributions Received from Equity Method Investees</t>
  </si>
  <si>
    <t xml:space="preserve">  Stock based Compensation</t>
  </si>
  <si>
    <t xml:space="preserve">  Excess Tax Benefit from Exercise of Stock Options</t>
  </si>
  <si>
    <t xml:space="preserve">  Deferred Income Taxes, Net</t>
  </si>
  <si>
    <t xml:space="preserve">  Loss on Extinguishment of Debt</t>
  </si>
  <si>
    <t xml:space="preserve">  Non-cash Lease Costs</t>
  </si>
  <si>
    <t xml:space="preserve">  Accounts Receivable</t>
  </si>
  <si>
    <t xml:space="preserve">  Change in Accounts Payable</t>
  </si>
  <si>
    <t xml:space="preserve">  Income Taxes Payables</t>
  </si>
  <si>
    <t xml:space="preserve">  Other Operating Assets and Liabilities</t>
  </si>
  <si>
    <t xml:space="preserve">  Cash Flow from Operating Activities</t>
  </si>
  <si>
    <t>Investing Activities</t>
  </si>
  <si>
    <t xml:space="preserve">  Additions to Property Plant and Equipment</t>
  </si>
  <si>
    <t xml:space="preserve">  Proceeds from the Sale of Property, Plant &amp; Equipment</t>
  </si>
  <si>
    <t xml:space="preserve">  Acquisitions, Net of Cash Acquired</t>
  </si>
  <si>
    <t xml:space="preserve">  Net Proceeds from the Divestiture of Certain Operations</t>
  </si>
  <si>
    <t xml:space="preserve">  Proceeds from Sale of Equity in Joint Ventures and Certain Retail Operations</t>
  </si>
  <si>
    <t xml:space="preserve">  Purchase of Investments</t>
  </si>
  <si>
    <t xml:space="preserve">  Sale of Investment</t>
  </si>
  <si>
    <t xml:space="preserve">  Maturities and Calls of Investments</t>
  </si>
  <si>
    <t xml:space="preserve">  Cash Flow from Investing Activities</t>
  </si>
  <si>
    <t>Financing Activities</t>
  </si>
  <si>
    <t xml:space="preserve">  Net Proceeds from Issuances of Long-term Debt</t>
  </si>
  <si>
    <t xml:space="preserve">  Net Proceeds from Issuance of Short-term Debt</t>
  </si>
  <si>
    <t xml:space="preserve">  Repayments of Short-term Debt</t>
  </si>
  <si>
    <t xml:space="preserve">  Short-term Debt, Notes Payable, Etc</t>
  </si>
  <si>
    <t xml:space="preserve">  Net (payments)/proceeds from issuance of Commercial paper</t>
  </si>
  <si>
    <t xml:space="preserve">  Proceeds from Issuance of Common Stock</t>
  </si>
  <si>
    <t xml:space="preserve">  Repurchase of Common Stock</t>
  </si>
  <si>
    <t xml:space="preserve">  Minimum Tax Withholdings on Share Based Awards</t>
  </si>
  <si>
    <t xml:space="preserve">  Cash Dividends Paid</t>
  </si>
  <si>
    <t xml:space="preserve">  Tax Benefit from Exercise of Nonqualified Stock Options</t>
  </si>
  <si>
    <t xml:space="preserve">  Cash Used or Restricted for Purchase of Noncontrolling Interest</t>
  </si>
  <si>
    <t xml:space="preserve">  Cash Flow from Financing Activities</t>
  </si>
  <si>
    <t>Other Adjustments</t>
  </si>
  <si>
    <t xml:space="preserve">  Foreign Exchange Rate Effect on Cash and Cash Equivalents</t>
  </si>
  <si>
    <t xml:space="preserve">  Cash Flow Net Changes in Cash</t>
  </si>
  <si>
    <t xml:space="preserve">Cash Flow Statement For the Fiscal Period Ending
</t>
  </si>
  <si>
    <t>Net Revenue (millions)</t>
  </si>
  <si>
    <t>Real Sales (in 2024 USD)</t>
  </si>
  <si>
    <t>Net Real Revenue (millions)</t>
  </si>
  <si>
    <t>Real Annual Revenue Growth Rates, 2015-2024</t>
  </si>
  <si>
    <t>Real Growth Rate</t>
  </si>
  <si>
    <t>Real GDP (Start of Year)</t>
  </si>
  <si>
    <t>Real GDP Growth Rate</t>
  </si>
  <si>
    <t>Correlation, Real Sales vs Real GDP</t>
  </si>
  <si>
    <t>Year</t>
  </si>
  <si>
    <t>CPI (September)</t>
  </si>
  <si>
    <t>Adjustment Factor</t>
  </si>
  <si>
    <t>Rate of Growth</t>
  </si>
  <si>
    <t>Net Sales as of:</t>
  </si>
  <si>
    <t>Average Growth Rate Over the Period</t>
  </si>
  <si>
    <t>Correlation measures the linear relationship between Starbucks real sales growth and US real GDP growth.</t>
  </si>
  <si>
    <t>The -2.27%: Under normal circumstances, we would disregard this figure when calcultaing the average growth rate. However, since the growth rate in 2020 was negative due to the effect of the pandemic, whose effects are going to be felt in the upcoming years, we shall include this figure in our calculations.</t>
  </si>
  <si>
    <t>A low correlation means that Starbucks’ sales don’t strongly move with the economy, they are relatively independent of GDP trends. Hence, good argument for NOT using expected growth in GDP approach to forecast sales.</t>
  </si>
  <si>
    <t>The “Real GDP (Start of Year)” numbers are the same no matter which company you are valuing, because they come from official macroeconomic data (BEA/FRED) and represent the entire US economy.</t>
  </si>
  <si>
    <t>Projected Growth Rates</t>
  </si>
  <si>
    <t>Projected Sales</t>
  </si>
  <si>
    <t>FORECAST.LINEAR Approach</t>
  </si>
  <si>
    <t>Forecasts</t>
  </si>
  <si>
    <t>Period</t>
  </si>
  <si>
    <t>Net Real Operating Costs (millions)</t>
  </si>
  <si>
    <t>Net Real Costs (millions)</t>
  </si>
  <si>
    <t>Correlation, Real Costs vs Real Sales</t>
  </si>
  <si>
    <t>Slight post-COVID normalization</t>
  </si>
  <si>
    <t>Excluding year 2020: COVID</t>
  </si>
  <si>
    <t>Growth rate decreasing hereon, Reflects mature company stabilization</t>
  </si>
  <si>
    <t>Correlation</t>
  </si>
  <si>
    <t>Net Real Operating  Costs</t>
  </si>
  <si>
    <t>Costs = f(Revenues) intercept</t>
  </si>
  <si>
    <t>Costs = f(Revenues) slope</t>
  </si>
  <si>
    <t>Revenue</t>
  </si>
  <si>
    <t>Other Revenue</t>
  </si>
  <si>
    <t xml:space="preserve">  Total Revenue</t>
  </si>
  <si>
    <t xml:space="preserve">  Gross Profit</t>
  </si>
  <si>
    <t>Selling General &amp; Admin Exp.</t>
  </si>
  <si>
    <t>Depreciation &amp; Amort.</t>
  </si>
  <si>
    <t xml:space="preserve">  Other Operating Exp., Total</t>
  </si>
  <si>
    <t>Interest Expense</t>
  </si>
  <si>
    <t>Interest and Invest. Income</t>
  </si>
  <si>
    <t xml:space="preserve">  Net Interest Exp.</t>
  </si>
  <si>
    <t>Restructuring Charges</t>
  </si>
  <si>
    <t>Impairment of Goodwill</t>
  </si>
  <si>
    <t>Gain (Loss) On Sale Of Assets</t>
  </si>
  <si>
    <t>Asset Writedown</t>
  </si>
  <si>
    <t>Other Unusual Items</t>
  </si>
  <si>
    <t>Income Tax Expense</t>
  </si>
  <si>
    <t xml:space="preserve">  Net Income to Company</t>
  </si>
  <si>
    <t xml:space="preserve">  Net Income</t>
  </si>
  <si>
    <t xml:space="preserve">  NI to Common Incl Extra Items</t>
  </si>
  <si>
    <t xml:space="preserve">  NI to Common Excl. Extra Items</t>
  </si>
  <si>
    <t>Per Share Items</t>
  </si>
  <si>
    <t>Basic EPS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</si>
  <si>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</si>
  <si>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</si>
  <si>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</si>
  <si>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</si>
  <si>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</si>
  <si>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</si>
  <si>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</si>
  <si>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</si>
  <si>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</si>
  <si>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Supplemental Items</t>
  </si>
  <si>
    <t>EBITDA</t>
  </si>
  <si>
    <t>EBITA</t>
  </si>
  <si>
    <t>EBIT</t>
  </si>
  <si>
    <t>EBITDAR</t>
  </si>
  <si>
    <t>As Reported Total Revenue*</t>
  </si>
  <si>
    <t>NA</t>
  </si>
  <si>
    <t>Effective Tax Rate %</t>
  </si>
  <si>
    <t>Current Domestic Taxes</t>
  </si>
  <si>
    <t>Current Foreign Taxes</t>
  </si>
  <si>
    <t>Total Current Taxes</t>
  </si>
  <si>
    <t>Deferred Domestic Taxes</t>
  </si>
  <si>
    <t>Deferred Foreign Taxes</t>
  </si>
  <si>
    <t>Total Deferred Taxes</t>
  </si>
  <si>
    <t>Normalized Net Income</t>
  </si>
  <si>
    <t>Interest on Long Term Debt</t>
  </si>
  <si>
    <t>Filing Date</t>
  </si>
  <si>
    <t>Restatement Type</t>
  </si>
  <si>
    <t>RC</t>
  </si>
  <si>
    <t>RS</t>
  </si>
  <si>
    <t>Calculation Type</t>
  </si>
  <si>
    <t>REP</t>
  </si>
  <si>
    <t>Supplemental Operating Expense Items</t>
  </si>
  <si>
    <t>Advertising Exp.</t>
  </si>
  <si>
    <t>Net Rental Exp.</t>
  </si>
  <si>
    <t>Imputed Oper. Lease Interest Exp.</t>
  </si>
  <si>
    <t>Imputed Oper. Lease Depreciation</t>
  </si>
  <si>
    <t>Stock-Based Comp., Unallocated</t>
  </si>
  <si>
    <t xml:space="preserve">  Stock-Based Comp., Total</t>
  </si>
  <si>
    <t>Total Liabilities</t>
  </si>
  <si>
    <t xml:space="preserve">
Oct-02-2016</t>
  </si>
  <si>
    <t xml:space="preserve">
Oct-01-2017</t>
  </si>
  <si>
    <t xml:space="preserve">
Sep-30-2018</t>
  </si>
  <si>
    <t xml:space="preserve">
Sep-29-2019</t>
  </si>
  <si>
    <t xml:space="preserve">
Sep-27-2020</t>
  </si>
  <si>
    <t xml:space="preserve">
Oct-03-2021</t>
  </si>
  <si>
    <t xml:space="preserve">
Oct-02-2022</t>
  </si>
  <si>
    <t xml:space="preserve">
Oct-01-2023</t>
  </si>
  <si>
    <t xml:space="preserve">
Sep-29-2024</t>
  </si>
  <si>
    <t>Depreciation and Amortization</t>
  </si>
  <si>
    <t>Expenses:</t>
  </si>
  <si>
    <t>Adjusted Net Operating Costs</t>
  </si>
  <si>
    <t>This means that Net Real Operating Costs increase almost proportionally with Real Revenue.</t>
  </si>
  <si>
    <t>In other words, as Starbucks earns more revenue, its costs rise in a very predictable way.</t>
  </si>
  <si>
    <t>This is exactly what we expect for a stable operating business, revenues and operating expenses are strongly linked.</t>
  </si>
  <si>
    <t>Long-Term Debt</t>
  </si>
  <si>
    <t>Interest on debt</t>
  </si>
  <si>
    <t>Income tax rate</t>
  </si>
  <si>
    <t>Earnings before tax</t>
  </si>
  <si>
    <t>Income tax</t>
  </si>
  <si>
    <t>Tax rate</t>
  </si>
  <si>
    <t>Average tax rate</t>
  </si>
  <si>
    <t>Calculated based on Net Real Revenue (millions) because it accounts for inflation and is correct predictor for valuation</t>
  </si>
  <si>
    <t>Total Revenue (Net Real Revenue)</t>
  </si>
  <si>
    <t>Imputed Rate (Effectove Interest Rate)</t>
  </si>
  <si>
    <t>Doesn’t look like my tax rate had any outliers, including year 2021 and 2022 where there were changes due to Trump's tax policy</t>
  </si>
  <si>
    <t>Normalized effective Tax rate</t>
  </si>
  <si>
    <t>The 31% is normalized / smoothed effective tax rate calculated by CapIQ</t>
  </si>
  <si>
    <t>Analysis of Net Working Capital</t>
  </si>
  <si>
    <t>Operating Costs</t>
  </si>
  <si>
    <t>Receivables</t>
  </si>
  <si>
    <t>Inventory</t>
  </si>
  <si>
    <t>Prepaid Exp.</t>
  </si>
  <si>
    <t>Other Current Assets</t>
  </si>
  <si>
    <t>Current Liabilites</t>
  </si>
  <si>
    <t>Accounts Payable</t>
  </si>
  <si>
    <t>Accrued Exp.</t>
  </si>
  <si>
    <t>Curr. Port. of LT Debt</t>
  </si>
  <si>
    <t>Curr. Port. of Leases</t>
  </si>
  <si>
    <t>Curr. Income Taxes Payable</t>
  </si>
  <si>
    <t>Unearned Revenue, Current</t>
  </si>
  <si>
    <t>Other Current Liabilities</t>
  </si>
  <si>
    <t>Cash and cash equivalents/Sales</t>
  </si>
  <si>
    <t>COGS/Sales</t>
  </si>
  <si>
    <t>Selling General &amp; Admin Exp./Sales</t>
  </si>
  <si>
    <t>Depreciation &amp; Amort./Sales</t>
  </si>
  <si>
    <t>Operating Costs/Sales</t>
  </si>
  <si>
    <t>Prepaid Exp./Sales</t>
  </si>
  <si>
    <t>Other CA/Sales</t>
  </si>
  <si>
    <t>Accrued Exp./Sales</t>
  </si>
  <si>
    <t>Curr. Port. of LT Debt/Sales</t>
  </si>
  <si>
    <t>Curr. Port. of Leases/Sales</t>
  </si>
  <si>
    <t>Curr. Income Taxes Payable/Sales</t>
  </si>
  <si>
    <t>Unearned Revenue, Current/Sales</t>
  </si>
  <si>
    <t>Other Current Liabilities/Sales</t>
  </si>
  <si>
    <t>Receivables turnover</t>
  </si>
  <si>
    <t>Days' sales in receivables</t>
  </si>
  <si>
    <t>Inventory turnover</t>
  </si>
  <si>
    <t>Days' sales in inventory</t>
  </si>
  <si>
    <t>Payables turnover</t>
  </si>
  <si>
    <t>Days' sales in payables</t>
  </si>
  <si>
    <t>NWC turnover</t>
  </si>
  <si>
    <t>Day's sales in NWC</t>
  </si>
  <si>
    <t>Gross Property, Plant &amp; Equipment</t>
  </si>
  <si>
    <t>Pct Change</t>
  </si>
  <si>
    <t>Long-term Investments</t>
  </si>
  <si>
    <t>Other Intangibles</t>
  </si>
  <si>
    <t>Deferred Charges, LT</t>
  </si>
  <si>
    <t>Other Long-Term Assets</t>
  </si>
  <si>
    <t>Dividend Growth Rate</t>
  </si>
  <si>
    <t>Dividend Growth Amount</t>
  </si>
  <si>
    <t>A) Sales Analysis</t>
  </si>
  <si>
    <t>Projected Real Revenue Growth Rate</t>
  </si>
  <si>
    <t>Real revenues</t>
  </si>
  <si>
    <t>Annual inflation rate</t>
  </si>
  <si>
    <t>Given in instructions (and Prof. Adair's best guess)</t>
  </si>
  <si>
    <t>Cummulative adjustment factor</t>
  </si>
  <si>
    <t>Nominal revenues</t>
  </si>
  <si>
    <t>Projected growth in nominal revenue</t>
  </si>
  <si>
    <t>B) PARAMETER ESTIMATES FOR PRO FORMA</t>
  </si>
  <si>
    <t>Nominal revenue Growth Rate</t>
  </si>
  <si>
    <t>Avg from 'Net Working Capital' tab</t>
  </si>
  <si>
    <t>From 'Forecasting Costs' tab</t>
  </si>
  <si>
    <t>Current Existing Long-Term Debt Levels</t>
  </si>
  <si>
    <t>From 2024 Annual Report, indirectly through WACC tab</t>
  </si>
  <si>
    <t>Interest on Current Existing LT Debt</t>
  </si>
  <si>
    <t>Additional LT Debt Amount</t>
  </si>
  <si>
    <t>Additional LT Debt Rate</t>
  </si>
  <si>
    <t>Current rate from A-rated Corp bond issues</t>
  </si>
  <si>
    <t>ST Debt Rate</t>
  </si>
  <si>
    <t>Assumed Commercial Paper Avg Balance</t>
  </si>
  <si>
    <t>From 2024 Annual Report, growing at same rate as sales</t>
  </si>
  <si>
    <t>Effective income tax rate</t>
  </si>
  <si>
    <t>From 'Interest &amp; Taxes' tab</t>
  </si>
  <si>
    <t>Cash and cash equivalents as a percent of revenues</t>
  </si>
  <si>
    <t>Average receivables turnover</t>
  </si>
  <si>
    <t>Average inventory turnover</t>
  </si>
  <si>
    <t>Fixed asset &amp; depreciation growth</t>
  </si>
  <si>
    <t>From 'FA Forecasting' tab</t>
  </si>
  <si>
    <t>Other LT Assets Growth Rate</t>
  </si>
  <si>
    <t>Annual Growth Rate of LT Liabilities</t>
  </si>
  <si>
    <t>Assuming it is equal to inflation rate</t>
  </si>
  <si>
    <t>Number of Shares Outstanding</t>
  </si>
  <si>
    <t>Number of Shares Repurchased</t>
  </si>
  <si>
    <t>Price at Repurchase</t>
  </si>
  <si>
    <t>C) PRO FORMAS</t>
  </si>
  <si>
    <t>INCOME STATEMENTS</t>
  </si>
  <si>
    <t>Calculated from Debt levels and rates listed in Parameters section</t>
  </si>
  <si>
    <t>Dividends</t>
  </si>
  <si>
    <t>Addition to retained earnings</t>
  </si>
  <si>
    <t>Cash And Equivalents</t>
  </si>
  <si>
    <t xml:space="preserve">  Total Cash &amp; ST Investments</t>
  </si>
  <si>
    <t>Total Receivables</t>
  </si>
  <si>
    <t>Started this sequence by growing FAs at same rate as final year, which was ALSO in line with statements in 2024 Annual Report</t>
  </si>
  <si>
    <t>Accumulated Depreciation</t>
  </si>
  <si>
    <t xml:space="preserve">  Net Property, Plant &amp; Equipment</t>
  </si>
  <si>
    <t>Total Assets</t>
  </si>
  <si>
    <t>LIABILITIES</t>
  </si>
  <si>
    <t>Long-Term Leases</t>
  </si>
  <si>
    <t>Unearned Revenue, Non-Current</t>
  </si>
  <si>
    <t>Def. Tax Liability, Non-Curr.</t>
  </si>
  <si>
    <t>Other Non-Current Liabilities</t>
  </si>
  <si>
    <t>Common Stock</t>
  </si>
  <si>
    <t>Additional Paid In Capital</t>
  </si>
  <si>
    <t>Retained Earnings</t>
  </si>
  <si>
    <t>Treasury Stock</t>
  </si>
  <si>
    <t>Comprehensive Inc. and Other</t>
  </si>
  <si>
    <t>Growing these at the same rate as nominal Sales</t>
  </si>
  <si>
    <t>Total Equity</t>
  </si>
  <si>
    <t>Total Liabilities And Equity</t>
  </si>
  <si>
    <t>GAP</t>
  </si>
  <si>
    <t>D/E Ratio</t>
  </si>
  <si>
    <t>(Current portions of LT Debt and LT Leases + LT Debt + LT Leases)/Total Equity</t>
  </si>
  <si>
    <t>Retention Ratio</t>
  </si>
  <si>
    <t>Short-term Investments</t>
  </si>
  <si>
    <t>Net Working Capital</t>
  </si>
  <si>
    <t>Turnovers/Days Metrics</t>
  </si>
  <si>
    <t>Pertinent Ratios as % of Revenue</t>
  </si>
  <si>
    <t>Average</t>
  </si>
  <si>
    <t>Trading Asset Securities</t>
  </si>
  <si>
    <t>Restricted Cash</t>
  </si>
  <si>
    <t>Deferred Tax Assets, LT</t>
  </si>
  <si>
    <t>Short-term Borrowings</t>
  </si>
  <si>
    <t xml:space="preserve">  Total Common Equity</t>
  </si>
  <si>
    <t>Minority Interest</t>
  </si>
  <si>
    <t>Total Shares Out. on Filing Date</t>
  </si>
  <si>
    <t>Total Shares Out. on Balance Sheet Date</t>
  </si>
  <si>
    <t>Book Value/Share</t>
  </si>
  <si>
    <t>Tangible Book Value</t>
  </si>
  <si>
    <t>Tangible Book Value/Share</t>
  </si>
  <si>
    <t>Total Debt</t>
  </si>
  <si>
    <t>Net Debt</t>
  </si>
  <si>
    <t>Debt Equivalent Oper. Leases</t>
  </si>
  <si>
    <t>Total Minority Interest</t>
  </si>
  <si>
    <t>Equity Method Investments</t>
  </si>
  <si>
    <t>Inventory Method</t>
  </si>
  <si>
    <t>Avg Cost</t>
  </si>
  <si>
    <t>Spec. ID</t>
  </si>
  <si>
    <t>Raw Materials Inventory</t>
  </si>
  <si>
    <t>Finished Goods Inventory</t>
  </si>
  <si>
    <t>Land</t>
  </si>
  <si>
    <t>Buildings</t>
  </si>
  <si>
    <t>Machinery</t>
  </si>
  <si>
    <t>Construction in Progress</t>
  </si>
  <si>
    <t>Leasehold Improvements</t>
  </si>
  <si>
    <t>Full Time Employees</t>
  </si>
  <si>
    <t>Accum. Allowance for Doubtful Accts</t>
  </si>
  <si>
    <t>NC</t>
  </si>
  <si>
    <t>O</t>
  </si>
  <si>
    <t>RUP</t>
  </si>
  <si>
    <t>Other Receivable</t>
  </si>
  <si>
    <t>Accounts Receivable, Net</t>
  </si>
  <si>
    <t>Prepaid Expenses</t>
  </si>
  <si>
    <t>Total Cash &amp; ST Investments</t>
  </si>
  <si>
    <t>Total Current Assets</t>
  </si>
  <si>
    <t xml:space="preserve"> Net Property, Plant &amp; Equipment</t>
  </si>
  <si>
    <t>R &amp; D Exp.</t>
  </si>
  <si>
    <t>Other Operating Expense/(Income)</t>
  </si>
  <si>
    <t>Income/(Loss) from Affiliates</t>
  </si>
  <si>
    <t>Currency Exchange Gains (Loss)</t>
  </si>
  <si>
    <t>Merger &amp; Related Restruct. Charges</t>
  </si>
  <si>
    <t>Gain (Loss) On Sale Of Invest.</t>
  </si>
  <si>
    <t>General and Administrative Exp.</t>
  </si>
  <si>
    <t>Stock-Based Comp., G&amp;A Exp.</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</si>
  <si>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</si>
  <si>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</si>
  <si>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r>
      <t xml:space="preserve">  Earnings </t>
    </r>
    <r>
      <rPr>
        <sz val="12"/>
        <color rgb="FF000000"/>
        <rFont val="Aptos Display"/>
        <scheme val="major"/>
      </rPr>
      <t>B</t>
    </r>
    <r>
      <rPr>
        <b/>
        <sz val="12"/>
        <color indexed="8"/>
        <rFont val="Aptos Display"/>
        <scheme val="major"/>
      </rPr>
      <t>efore Taxes (EBT Excl. Unusual Items)</t>
    </r>
  </si>
  <si>
    <t xml:space="preserve">  Earnings Before Interest and Taxes, Operating Income EBIT</t>
  </si>
  <si>
    <t xml:space="preserve">  Net Interest Expense</t>
  </si>
  <si>
    <t xml:space="preserve">  Other Operating Expense, Total</t>
  </si>
  <si>
    <t>Other Non-Operating Inc. (Expense)</t>
  </si>
  <si>
    <t xml:space="preserve"> Earnings Before Taxes (EBT Including  Unusual Items)</t>
  </si>
  <si>
    <t xml:space="preserve">  Earnings from Continued Operations</t>
  </si>
  <si>
    <t>Earnings of Discontinued Operations</t>
  </si>
  <si>
    <t>Extraordinary Item &amp; Account. Change</t>
  </si>
  <si>
    <t>Minority Interest in Earnings</t>
  </si>
  <si>
    <t>Pref. Dividends and Other Adjustment</t>
  </si>
  <si>
    <t>Basic EPS Excluding Extra Items</t>
  </si>
  <si>
    <t>Cost of goods sold</t>
  </si>
  <si>
    <t>Cost of Goods Sold</t>
  </si>
  <si>
    <t>Cash and Cash Equivalents</t>
  </si>
  <si>
    <t>Accrued Expense</t>
  </si>
  <si>
    <t>Total of Short-term Investment/Sales</t>
  </si>
  <si>
    <t>Curr. Unearned Revenue/Sales</t>
  </si>
  <si>
    <t>From 'Real Revenues' and 'Forcasting Sales' Tab</t>
  </si>
  <si>
    <t>From 'Real Revenues' tab, growing with inflation</t>
  </si>
  <si>
    <t>Coefficient of (COGS+SG&amp;A - Depreciation+other expense) to revenue</t>
  </si>
  <si>
    <t>Other Operating Expense/Sales</t>
  </si>
  <si>
    <t>Other Operating Expenses/Sales</t>
  </si>
  <si>
    <t>Avg from 'Net Working Capital' tab, including this because it’s a constant recurring expense</t>
  </si>
  <si>
    <t>Values in absolute amounts</t>
  </si>
  <si>
    <t>Class A Shares</t>
  </si>
  <si>
    <t>Beta</t>
  </si>
  <si>
    <t xml:space="preserve">Riskfree Rate </t>
  </si>
  <si>
    <t>Market Risk Premium</t>
  </si>
  <si>
    <t>Cost of equity</t>
  </si>
  <si>
    <t>Debt Issue</t>
  </si>
  <si>
    <t>Coupon Rate</t>
  </si>
  <si>
    <t>Outstanding</t>
  </si>
  <si>
    <t>Coupon</t>
  </si>
  <si>
    <t>Pretax cost of debt</t>
  </si>
  <si>
    <t>Due 2025-2029</t>
  </si>
  <si>
    <t>Due 2030-2034</t>
  </si>
  <si>
    <t>Due 2035-2039</t>
  </si>
  <si>
    <t>Due 2040-2044</t>
  </si>
  <si>
    <t>Due 2045-2049</t>
  </si>
  <si>
    <t>Total Amount of Financing</t>
  </si>
  <si>
    <t>Weighted Average Coupon</t>
  </si>
  <si>
    <t>tax rate</t>
  </si>
  <si>
    <t>after tax cost of debt</t>
  </si>
  <si>
    <t>Market Value of Equity</t>
  </si>
  <si>
    <t xml:space="preserve">Market Value of Debt </t>
  </si>
  <si>
    <t>Total</t>
  </si>
  <si>
    <t>Weight of Equity</t>
  </si>
  <si>
    <t>Weight of Debt</t>
  </si>
  <si>
    <t>WACC=</t>
  </si>
  <si>
    <t>Derived from CapIQ</t>
  </si>
  <si>
    <t xml:space="preserve">Number of Shares outstanding </t>
  </si>
  <si>
    <t xml:space="preserve">Current Market Price per share </t>
  </si>
  <si>
    <t>Professor Damodaran Equity Risk Premium as of January 2025, https://pages.stern.nyu.edu/~adamodar/New_Home_Page/datafile/ctryprem.html</t>
  </si>
  <si>
    <t>2025–2029</t>
  </si>
  <si>
    <t>2030–2034</t>
  </si>
  <si>
    <t>2045–2049</t>
  </si>
  <si>
    <t>2050+</t>
  </si>
  <si>
    <t>Issuance</t>
  </si>
  <si>
    <t>Face Value (Sep 29, 2024)</t>
  </si>
  <si>
    <t>Estimated Fair Value (Sep 29, 2024)</t>
  </si>
  <si>
    <t>Face Value (Oct 1, 2023)</t>
  </si>
  <si>
    <t>Estimated Fair Value (Oct 1, 2023)</t>
  </si>
  <si>
    <t>Stated Interest Rate</t>
  </si>
  <si>
    <t>Effective Interest Rate</t>
  </si>
  <si>
    <t>October 2023 notes(2)</t>
  </si>
  <si>
    <t>February 2024 notes(3)</t>
  </si>
  <si>
    <t>March 2024 notes(4)</t>
  </si>
  <si>
    <t>August 2025 notes</t>
  </si>
  <si>
    <t>February 2026 notes</t>
  </si>
  <si>
    <t>June 2026 notes</t>
  </si>
  <si>
    <t>February 2027 notes</t>
  </si>
  <si>
    <t>March 2027 notes</t>
  </si>
  <si>
    <t>March 2028 notes</t>
  </si>
  <si>
    <t>November 2028 notes</t>
  </si>
  <si>
    <t>August 2029 notes(2)</t>
  </si>
  <si>
    <t>March 2030 notes</t>
  </si>
  <si>
    <t>November 2030 notes</t>
  </si>
  <si>
    <t>February 2031 notes</t>
  </si>
  <si>
    <t>February 2032 notes</t>
  </si>
  <si>
    <t>February 2033 notes</t>
  </si>
  <si>
    <t>February 2034 notes</t>
  </si>
  <si>
    <t>June 2045 notes</t>
  </si>
  <si>
    <t>December 2047 notes</t>
  </si>
  <si>
    <t>November 2048 notes</t>
  </si>
  <si>
    <t>August 2049 notes</t>
  </si>
  <si>
    <t>March 2050 notes</t>
  </si>
  <si>
    <t>November 2050 notes</t>
  </si>
  <si>
    <t>Aggregate debt issuance costs and unamortized premium/(discount), net</t>
  </si>
  <si>
    <t>Hedge accounting fair value adjustment(2)</t>
  </si>
  <si>
    <t>Due 2050+</t>
  </si>
  <si>
    <t>Long-Term Debt From Note 9, FY2024 10K</t>
  </si>
  <si>
    <t>"Blown-Out" Debt Schedule Also Called Debt Amortization Schedule</t>
  </si>
  <si>
    <t>Maturity Bucket</t>
  </si>
  <si>
    <t>assumed long-term constant until 2049</t>
  </si>
  <si>
    <t>Assumption to continue reducing shares; based on FY 2024 buyback (~12.8 m shares in 2024). Assumption for modeling: Starbucks keeps repurchasing to maintain target D/E ratio.</t>
  </si>
  <si>
    <t>From 'WACC' tab, as provided by CapIQ</t>
  </si>
  <si>
    <t>Assumption for Slow, steady growth reflecting payout policy. Assuming something like 5–7% annual growth per year. Taking 6% as average growth rate</t>
  </si>
  <si>
    <t>Total Short Term Investments</t>
  </si>
  <si>
    <t xml:space="preserve">Revenue </t>
  </si>
  <si>
    <t>From Real Revenue Forecast adjusted for expected inflation (see above). Already takes into account other revenue as seen in the historical income statement</t>
  </si>
  <si>
    <t>From 'WACC' tab, Weighted average coupon from blown-out debt schedule 2025</t>
  </si>
  <si>
    <t>Assumed incremental debt to maintain target D/E. $400M is an assumption to reflect planned incremental debt issuance for 2025. It’s a placeholder for modeling, not an actual reported number. To keep financing needs steady, we increase incremental debt slightly — hence 500.
2027: More repayments happen, financing needs are higher, so we assume 800 of new debt.
Later years: Capex or buybacks grow, so incremental debt needed becomes 3400, 6400, 7300, etc.</t>
  </si>
  <si>
    <t>Current rate from A.1 commercial paper and CP rate</t>
  </si>
  <si>
    <t xml:space="preserve">Shares outstanding * DPS </t>
  </si>
  <si>
    <t>RE= NI-Div</t>
  </si>
  <si>
    <t xml:space="preserve">Common Stock accounts start with values from last balance sheet. Par value of common stock: Assuming $0.10 per share (typical for Starbucks).
Starting balances (FY2024 10-K estimates):
</t>
  </si>
  <si>
    <t>Starting from historical APIC as APICt-1, APICt​=APICt−1​−(Shares repurchased×(Repurchase price – Par))</t>
  </si>
  <si>
    <t>Additional Comments:</t>
  </si>
  <si>
    <t>Additional Commment: I used FORECAST.LINEAR() because the trend is mostly linear beside COVID year where the dip is an outlier. Excluding year 2020 as an outlier, 2020 was a pandemic shock year, not representative of Starbucks’ long-term fundamentals.</t>
  </si>
  <si>
    <t>Calculation of Net Real Operating Costs = COGS + SG&amp;A − Depreciation caused problems:</t>
  </si>
  <si>
    <t xml:space="preserve">Depreciation is non-cash, so subtracting just that made costs artificially small in later years. </t>
  </si>
  <si>
    <t>This led to the weird negative correlation with revenue. To fix this, added other expenses to the calculation</t>
  </si>
  <si>
    <t>Correlation = 0.98 is very high and positive, almost perfect.</t>
  </si>
  <si>
    <t>Shaira Katuwal</t>
  </si>
  <si>
    <t>As a Kelley student, I will act professionally with civility and respect toward others and with honor and integrity in all my work.</t>
  </si>
  <si>
    <t>I have neither given nor received unauthorized aid on this deliverable.</t>
  </si>
  <si>
    <t>Starbucks uses a 52/53-week fiscal year calendar (not a fixed “December 31” calendar year).</t>
  </si>
  <si>
    <t>The extra week usually lands in the last quarter (Q4).</t>
  </si>
  <si>
    <t>Did not adjust these to exactly 365-day years because: The difference between 52 and 53 weeks is only about 2% of a year, which is immaterial in most valuation or forecasting contexts.</t>
  </si>
  <si>
    <t xml:space="preserve">Starbucks Corporation (NasdaqGS:SBUX), 10 Years Valuation </t>
  </si>
  <si>
    <t>Overview:</t>
  </si>
  <si>
    <t>Prepared  by:</t>
  </si>
  <si>
    <t>Kelley Deliverables Affirmation:</t>
  </si>
  <si>
    <t>All values are in $million, USD</t>
  </si>
  <si>
    <t>(All values are in $million USD)</t>
  </si>
  <si>
    <t>Annual Amortization (in million$ USD)</t>
  </si>
  <si>
    <t>Resources used: Capital IQ, AI tools, Professor Damodaran's website</t>
  </si>
  <si>
    <t xml:space="preserve">RE at t​ = RE at t−1​+Net Income at t​−Dividends Paid at t. https://www.retirewithryne.com/newsletter/confused-about-starbucks </t>
  </si>
  <si>
    <t>Starting Comments:</t>
  </si>
  <si>
    <t>positive correlation, this confirms again that Net Real Operating Costs increase almost proportionally with Real Revenue.</t>
  </si>
  <si>
    <t>excluded 2020 here as well for consistency</t>
  </si>
  <si>
    <t>This one is biased by having historics from before flat corporate rate was implemented. May understate future tax burden if Starbucks’ operations or tax policy changes. Going to use 31%</t>
  </si>
  <si>
    <t>All values are in $million USD (unless otherwise stated)</t>
  </si>
  <si>
    <r>
      <t xml:space="preserve">  Earnings </t>
    </r>
    <r>
      <rPr>
        <b/>
        <sz val="12"/>
        <color rgb="FF000000"/>
        <rFont val="Aptos Display"/>
        <scheme val="major"/>
      </rPr>
      <t>B</t>
    </r>
    <r>
      <rPr>
        <b/>
        <sz val="12"/>
        <color indexed="8"/>
        <rFont val="Aptos Display"/>
        <scheme val="major"/>
      </rPr>
      <t>efore Taxes (EBT Excl. Unusual Items)</t>
    </r>
  </si>
  <si>
    <t>Avg from 'Net Working Capital' tab, Total of Short-term investment</t>
  </si>
  <si>
    <t>Bundled a lot of other stuff into Other LTA, as we are unlikely to change them. Including LT Investments, Goodwill, Other Intangibles, Deferred Charges</t>
  </si>
  <si>
    <t>Capital Structure Policy</t>
  </si>
  <si>
    <t>~30 to 45% debt to capital</t>
  </si>
  <si>
    <t>Assumption</t>
  </si>
  <si>
    <t>Dividend per share growth</t>
  </si>
  <si>
    <t>Payout ratio in steady state</t>
  </si>
  <si>
    <t>55-65% of earnings</t>
  </si>
  <si>
    <t>Aggressive share repurchase programs</t>
  </si>
  <si>
    <t>10 million repurchases per year</t>
  </si>
  <si>
    <t xml:space="preserve">$100/share </t>
  </si>
  <si>
    <t>Capex</t>
  </si>
  <si>
    <t>Growing at 2.5-3.5B per year</t>
  </si>
  <si>
    <t>3.0B</t>
  </si>
  <si>
    <t>Capex steady state</t>
  </si>
  <si>
    <t>5% of revenue</t>
  </si>
  <si>
    <t>NWC</t>
  </si>
  <si>
    <t>Negative due to gift-card float</t>
  </si>
  <si>
    <t xml:space="preserve">Terminal growth </t>
  </si>
  <si>
    <t>Assumed incremental debt to maintain target D/E. $400M is an assumption to reflect planned incremental debt issuance for 2025. reasonable, smooth, and reflect Starbucks' real leverage strategy. It’s a placeholder for modeling, not an actual reported number. To keep financing needs steady, we increase incremental debt slightly,  hence 500.
2027: More repayments happen, financing needs are higher, so we assume 800 of new debt.
Later years: transition to long-run stable policy</t>
  </si>
  <si>
    <t>From 2024 Annual Report, indirectly through WACC tab. Descending</t>
  </si>
  <si>
    <t>Excess Cash/Short-Term Investments. Company has generated more cash than needed and stores it.</t>
  </si>
  <si>
    <t xml:space="preserve">Debt / (Debt + Equity) Ratio </t>
  </si>
  <si>
    <t>Change in NWC</t>
  </si>
  <si>
    <t>FCFF</t>
  </si>
  <si>
    <t>NOPAT</t>
  </si>
  <si>
    <t>Operating Cash after non-cash</t>
  </si>
  <si>
    <t>starbucks historically has negative NWC</t>
  </si>
  <si>
    <t>GAP FIX: adding more debt because that is consistent with starbuck's historical performance. Balancing the ratio calculated from WACC</t>
  </si>
  <si>
    <t>GAP FIX: adding more equity. Starbucks has been more debt-heavy, but equity still exists even with negative retained earnings. Balancing the ratio calculated from WACC</t>
  </si>
  <si>
    <t>Terminal WACC based on target debt</t>
  </si>
  <si>
    <t>From 10K</t>
  </si>
  <si>
    <t>For Final Valuation</t>
  </si>
  <si>
    <t>TV using Perpetuity Growth</t>
  </si>
  <si>
    <t>PV</t>
  </si>
  <si>
    <t>Enterprise Value</t>
  </si>
  <si>
    <t xml:space="preserve">CapEx stabilization: Starbucks historically spends ~3–5% of revenue on CapEx after steady expansion. Instead of letting CapEx grow unchecked, assume CapEx grows in line with revenue or stabilizes at about 5% of sales after 2030. </t>
  </si>
  <si>
    <t>FCFF trajectory:</t>
  </si>
  <si>
    <t>This is realistic because CapEx is now stabilized relative to revenue, avoiding negative free cash flows in later years.</t>
  </si>
  <si>
    <t>Terminal Value (TV):</t>
  </si>
  <si>
    <t>Positive and reasonable using a perpetuity growth approach, reflecting a stable long-term growth rate.</t>
  </si>
  <si>
    <t>Present Value (PV) and Enterprise Value (EV):</t>
  </si>
  <si>
    <t>Equity Value</t>
  </si>
  <si>
    <t>EV- Net Debt</t>
  </si>
  <si>
    <t>Long-term debt</t>
  </si>
  <si>
    <t>Current portion of LT Debt</t>
  </si>
  <si>
    <t>Cash and ST Investments</t>
  </si>
  <si>
    <t>Shares Outstanding</t>
  </si>
  <si>
    <t>USD/share</t>
  </si>
  <si>
    <t>FCFF starts smaller after 2025 but recovers and grows steadily, which aligns with a mature, cash-generative company like Starbucks.</t>
  </si>
  <si>
    <t>The PV of FCFF plus PV of terminal value gives a healthy EV of approx. $105B, which is in line with Starbucks’ market capitalization trends (assuming you adjust for net debt later).</t>
  </si>
  <si>
    <t>Additional notes:</t>
  </si>
  <si>
    <t>Implied Price per share</t>
  </si>
  <si>
    <t>GAP from step 2</t>
  </si>
  <si>
    <t>Initial Gap, from Step 1</t>
  </si>
  <si>
    <t>As alternative leverage estimate as Starbucks has negative retained earnings</t>
  </si>
  <si>
    <t>after adding back depreciation</t>
  </si>
  <si>
    <t>FCFF gradually declines as CapEx grows faster than operating cash, which is realistic for a mature company like Starbucks. After 2034, assuming consistent Capex based on sales</t>
  </si>
  <si>
    <t>5-7% per year</t>
  </si>
  <si>
    <t>Final valuation based on the proforma</t>
  </si>
  <si>
    <t>Starbucks is a mature, cash-generating company with stable operating margins.</t>
  </si>
  <si>
    <t>FCFF gradually declines if CapEx grows too quickly relative to operating cash; stabilizing CapEx makes the valuation realistic.</t>
  </si>
  <si>
    <t>Debt levels are consistent with historical leverage, and retained earnings are negative but captured in total equity.</t>
  </si>
  <si>
    <t>The implied share price is slightly below current market price, which may reflect conservative CapEx and growth assumptions.</t>
  </si>
  <si>
    <t>Assumes steady economic environment, no major disruptions, and no large acquisitions.</t>
  </si>
  <si>
    <t>Share repurchases, dividends, or changes in capital structure beyond historical trends are not explicitly modeled.</t>
  </si>
  <si>
    <t>Summary of valuation</t>
  </si>
  <si>
    <t>Key assumptions and adjustments</t>
  </si>
  <si>
    <t>Justification / observations</t>
  </si>
  <si>
    <t>Limitations</t>
  </si>
  <si>
    <t>10 yrs US Treasury Yeild, as of 11/21/2025, https://home.treasury.gov/resource-center/data-chart-center/interest-rates/TextView?type=daily_treasury_yield_curve&amp;field_tdr_date_value=2025</t>
  </si>
  <si>
    <t>Revenue &amp; NOPAT growth: Forecasted based on historical growth trends and Starbucks’ guidance.</t>
  </si>
  <si>
    <t>Net Working Capital (NWC): Historical trend of negative NWC continues, reflecting Starbucks’ operational efficiency.</t>
  </si>
  <si>
    <t>Terminal growth rate: 2%, reflecting a conservative long-term growth assumption for a mature company.</t>
  </si>
  <si>
    <t>Debt and Equity split: Maintained in line with historical Starbucks leverage and the WACC calculation.</t>
  </si>
  <si>
    <t>WACC: 7.02% calculated using a market-based weight of debt (21.15%) and equity (78.85%).</t>
  </si>
  <si>
    <t>Future Price / Target Price: Based on the projected FCFF, balanced pro forma, and PV calculations, the implied share price in 2034 is $78.89, reflecting a modest decline from today’s market price due to ongoing CapEx requirements and moderate growth assumptions. This is calculated based on the current WACC which takes into consideration the increasing risk free rate at 4.71% as of 11/21/2025</t>
  </si>
  <si>
    <t>CapEx stabilization: After 2030, CapEx assumed to stabilize at approx. 4-5% of sales, in line with historical Starbucks performance, to prevent negative FCFF.</t>
  </si>
  <si>
    <t>CapEx and WACC Justification: CapEx was stabilized at 4-5% of revenue after 2030, consistent with Starbucks’ historical post-expansion spending patterns, to avoid negative FCFF and reflect a mature company profile. The WACC of 7.02% reflects the firm’s target capital structure with 79% equity and 21% debt, aligning with Starbucks’ historical leverage and current market conditions.</t>
  </si>
  <si>
    <t>Based on the pro forma financials, Starbucks’ Enterprise Value (EV) is estimated at $105.3B, leading to an Equity Value of $84.5B and an implied share price of $78.89 (based on 1,054.9 million shares outstanding). The valuation uses a Discounted Cash Flow (DCF) approach with forecasted Free Cash Flow to the Firm (FCFF) from 2025-2034 and a terminal value (TV) calculated using a perpetuity growth model.</t>
  </si>
  <si>
    <t>Most fiscal years have 52 weeks. Every 5-6 years, one year has 53 weeks to realign the calendar.</t>
  </si>
  <si>
    <t>Terminal value is a large portion of EV (approx. 70-75%), so valuation is sensitive to growth and discount rate assumptions.</t>
  </si>
  <si>
    <t>Based on our valuation analysis, Starbucks Corporation's implied stock price was determined to be $78.89, compared to the current market price of approximately $85.00. This suggests the stock is currently trading at a slight premium relative to its intrinsic value, indicating that Starbucks is overvalued at its present price. Accordingly, my analysis supports a Sell recommendation for this position. It is worth noting, however, the current market price closer to $85 may be partially explained by the offsetting effects of share repurchases against slow growth in Free Cash Flow to the Firm (FCFF), a factor that investors should consider when interpreting this valuation.</t>
  </si>
  <si>
    <r>
      <t xml:space="preserve">CapEx and WACC Justification:
</t>
    </r>
    <r>
      <rPr>
        <sz val="12"/>
        <color theme="1"/>
        <rFont val="Aptos Narrow"/>
        <scheme val="minor"/>
      </rPr>
      <t xml:space="preserve"> CapEx was stabilized at 4–5% of revenue after 2030, consistent with Starbucks’ historical post-expansion spending patterns, to avoid negative FCFF and reflect a mature company profile. The WACC of 7.02% reflects the firm’s target capital structure with 79% equity and 21% debt, aligning with Starbucks’ historical leverage and current market conditions.</t>
    </r>
  </si>
  <si>
    <r>
      <t xml:space="preserve">Future Price / Target Price:
</t>
    </r>
    <r>
      <rPr>
        <sz val="12"/>
        <color theme="1"/>
        <rFont val="Aptos Narrow"/>
        <scheme val="minor"/>
      </rPr>
      <t xml:space="preserve"> Based on the projected FCFF, balanced pro forma, and PV calculations, the implied share price in 2034 is $78.89, reflecting a modest decline from today’s market price due to ongoing CapEx requirements and moderate growth assumptions.</t>
    </r>
  </si>
  <si>
    <t>Final Recommendation:</t>
  </si>
  <si>
    <t>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</si>
</sst>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_(* #,##0.0_);_(* \(#,##0.0\)_)\ ;_(* 0_)"/>
    <numFmt numFmtId="165" formatCode="mmm\-dd\-yyyy"/>
    <numFmt numFmtId="166" formatCode="_(&quot;$&quot;* #,##0_);_(&quot;$&quot;* \(#,##0\);_(&quot;$&quot;* &quot;-&quot;??_);_(@_)"/>
    <numFmt numFmtId="167" formatCode="0.0000"/>
    <numFmt numFmtId="168" formatCode="&quot;$&quot;#,##0.00"/>
    <numFmt numFmtId="169" formatCode="0.000%"/>
    <numFmt numFmtId="170" formatCode="0.0%"/>
    <numFmt numFmtId="171" formatCode="_(* #,##0_);_(* \(#,##0\);_(* &quot;-&quot;??_);_(@_)"/>
    <numFmt numFmtId="172" formatCode="_([$$-409]* #,##0_);_([$$-409]* \(#,##0\);_([$$-409]* &quot;-&quot;??_);_(@_)"/>
    <numFmt numFmtId="173" formatCode="_([$$-409]* #,##0.00_);_([$$-409]* \(#,##0.00\);_([$$-409]* &quot;-&quot;??_);_(@_)"/>
    <numFmt numFmtId="174" formatCode="_(* #,##0.0_);_(* \(#,##0.0\);_(* &quot;-&quot;??_);_(@_)"/>
    <numFmt numFmtId="175" formatCode="_(&quot;$&quot;* #,##0.0_);_(&quot;$&quot;* \(#,##0.0\);_(&quot;$&quot;* &quot;-&quot;??_);_(@_)"/>
    <numFmt numFmtId="176" formatCode="0.0"/>
  </numFmts>
  <fonts count="55">
    <font>
      <sz val="12"/>
      <color theme="1"/>
      <name val="Aptos Narrow"/>
      <family val="2"/>
      <scheme val="minor"/>
    </font>
    <font>
      <sz val="12"/>
      <color theme="1"/>
      <name val="Aptos Narrow"/>
      <family val="2"/>
      <scheme val="minor"/>
    </font>
    <font>
      <sz val="12"/>
      <color theme="1"/>
      <name val="Aptos Narrow"/>
      <scheme val="minor"/>
    </font>
    <font>
      <sz val="10"/>
      <name val="Arial"/>
      <family val="2"/>
    </font>
    <font>
      <sz val="1"/>
      <color indexed="9"/>
      <name val="Symbol"/>
      <charset val="2"/>
    </font>
    <font>
      <b/>
      <sz val="12"/>
      <color indexed="9"/>
      <name val="Aptos Display"/>
      <scheme val="major"/>
    </font>
    <font>
      <sz val="12"/>
      <color indexed="9"/>
      <name val="Aptos Display"/>
      <scheme val="major"/>
    </font>
    <font>
      <sz val="12"/>
      <name val="Aptos Display"/>
      <scheme val="major"/>
    </font>
    <font>
      <b/>
      <sz val="12"/>
      <color theme="0"/>
      <name val="Aptos Display"/>
      <scheme val="major"/>
    </font>
    <font>
      <sz val="12"/>
      <color theme="0"/>
      <name val="Aptos Display"/>
      <scheme val="major"/>
    </font>
    <font>
      <b/>
      <sz val="12"/>
      <color indexed="8"/>
      <name val="Aptos Display"/>
      <scheme val="major"/>
    </font>
    <font>
      <sz val="12"/>
      <color indexed="8"/>
      <name val="Aptos Display"/>
      <scheme val="major"/>
    </font>
    <font>
      <sz val="12"/>
      <color theme="1"/>
      <name val="Aptos Display"/>
      <scheme val="major"/>
    </font>
    <font>
      <sz val="10"/>
      <color rgb="FF000000"/>
      <name val="Arial"/>
      <family val="2"/>
    </font>
    <font>
      <sz val="10"/>
      <color rgb="FF000000"/>
      <name val="+mn-lt"/>
      <charset val="1"/>
    </font>
    <font>
      <sz val="10"/>
      <color rgb="FF000000"/>
      <name val="Tahoma"/>
      <family val="2"/>
    </font>
    <font>
      <b/>
      <sz val="10"/>
      <color rgb="FF000000"/>
      <name val="Tahoma"/>
      <family val="2"/>
    </font>
    <font>
      <b/>
      <sz val="12"/>
      <color theme="1"/>
      <name val="Aptos Display"/>
      <scheme val="major"/>
    </font>
    <font>
      <b/>
      <sz val="12"/>
      <name val="Aptos Display"/>
      <scheme val="major"/>
    </font>
    <font>
      <sz val="12"/>
      <color rgb="FF000000"/>
      <name val="Aptos Display"/>
      <scheme val="major"/>
    </font>
    <font>
      <sz val="12"/>
      <color theme="4"/>
      <name val="Aptos Display"/>
      <scheme val="major"/>
    </font>
    <font>
      <b/>
      <sz val="12"/>
      <color rgb="FF000000"/>
      <name val="Aptos Display"/>
      <scheme val="major"/>
    </font>
    <font>
      <sz val="8"/>
      <name val="Aptos Narrow"/>
      <family val="2"/>
      <scheme val="minor"/>
    </font>
    <font>
      <u/>
      <sz val="12"/>
      <color theme="10"/>
      <name val="Aptos Narrow"/>
      <family val="2"/>
      <scheme val="minor"/>
    </font>
    <font>
      <b/>
      <sz val="10"/>
      <color rgb="FF000000"/>
      <name val="Aptos Narrow"/>
    </font>
    <font>
      <sz val="10"/>
      <color rgb="FF000000"/>
      <name val="Aptos Narrow"/>
    </font>
    <font>
      <sz val="12"/>
      <color rgb="FFFF0000"/>
      <name val="Aptos Display"/>
      <scheme val="major"/>
    </font>
    <font>
      <sz val="12"/>
      <color rgb="FFFF0000"/>
      <name val="Aptos Narrow"/>
      <scheme val="minor"/>
    </font>
    <font>
      <b/>
      <sz val="12"/>
      <color rgb="FFFF0000"/>
      <name val="Aptos Display"/>
      <scheme val="major"/>
    </font>
    <font>
      <b/>
      <sz val="18"/>
      <color rgb="FF000000"/>
      <name val="Aptos Narrow"/>
    </font>
    <font>
      <sz val="18"/>
      <color rgb="FF000000"/>
      <name val="Aptos Narrow"/>
    </font>
    <font>
      <i/>
      <sz val="12"/>
      <color rgb="FF000000"/>
      <name val="Aptos Display"/>
      <scheme val="major"/>
    </font>
    <font>
      <sz val="12"/>
      <color theme="4" tint="-0.249977111117893"/>
      <name val="Aptos Display"/>
      <scheme val="major"/>
    </font>
    <font>
      <b/>
      <sz val="12"/>
      <color rgb="FF000000"/>
      <name val="Aptos Narrow"/>
      <scheme val="minor"/>
    </font>
    <font>
      <sz val="12"/>
      <color rgb="FF000000"/>
      <name val="Aptos Narrow"/>
      <scheme val="minor"/>
    </font>
    <font>
      <b/>
      <sz val="12"/>
      <color rgb="FFFF0000"/>
      <name val="Aptos Narrow"/>
      <scheme val="minor"/>
    </font>
    <font>
      <u/>
      <sz val="12"/>
      <color rgb="FFFF0000"/>
      <name val="Aptos Narrow"/>
      <scheme val="minor"/>
    </font>
    <font>
      <sz val="12"/>
      <name val="Aptos Narrow"/>
      <scheme val="minor"/>
    </font>
    <font>
      <b/>
      <sz val="12"/>
      <name val="Aptos Narrow"/>
      <scheme val="minor"/>
    </font>
    <font>
      <b/>
      <sz val="18"/>
      <color theme="0"/>
      <name val="Aptos Display"/>
      <scheme val="major"/>
    </font>
    <font>
      <sz val="18"/>
      <color theme="1"/>
      <name val="Aptos Display"/>
      <scheme val="major"/>
    </font>
    <font>
      <sz val="18"/>
      <color theme="0"/>
      <name val="Aptos Display"/>
      <scheme val="major"/>
    </font>
    <font>
      <sz val="12"/>
      <color theme="9"/>
      <name val="Aptos Display"/>
      <scheme val="major"/>
    </font>
    <font>
      <sz val="12"/>
      <color rgb="FF00B050"/>
      <name val="Aptos Display"/>
      <scheme val="major"/>
    </font>
    <font>
      <sz val="12"/>
      <color rgb="FF0070C0"/>
      <name val="Aptos Display"/>
      <scheme val="major"/>
    </font>
    <font>
      <sz val="12"/>
      <color theme="0"/>
      <name val="Aptos Narrow"/>
      <scheme val="minor"/>
    </font>
    <font>
      <b/>
      <sz val="12"/>
      <color theme="0"/>
      <name val="Aptos Narrow"/>
      <scheme val="minor"/>
    </font>
    <font>
      <sz val="12"/>
      <color theme="9"/>
      <name val="Aptos Narrow"/>
      <scheme val="minor"/>
    </font>
    <font>
      <b/>
      <sz val="12"/>
      <color theme="9"/>
      <name val="Aptos Display"/>
      <scheme val="major"/>
    </font>
    <font>
      <sz val="12"/>
      <color rgb="FFFF0000"/>
      <name val="Aptos Narrow"/>
      <family val="2"/>
      <scheme val="minor"/>
    </font>
    <font>
      <sz val="12"/>
      <color theme="9"/>
      <name val="Aptos Narrow"/>
      <family val="2"/>
      <scheme val="minor"/>
    </font>
    <font>
      <b/>
      <sz val="12"/>
      <color theme="1"/>
      <name val="Aptos Narrow"/>
      <scheme val="minor"/>
    </font>
    <font>
      <b/>
      <sz val="12"/>
      <color theme="9"/>
      <name val="Aptos Narrow"/>
      <scheme val="minor"/>
    </font>
    <font>
      <b/>
      <sz val="13.5"/>
      <color theme="1"/>
      <name val="Aptos Narrow"/>
      <family val="2"/>
      <scheme val="minor"/>
    </font>
    <font>
      <b/>
      <sz val="18"/>
      <color theme="1"/>
      <name val="Aptos Display"/>
      <scheme val="major"/>
    </font>
  </fonts>
  <fills count="8">
    <fill>
      <patternFill patternType="none"/>
    </fill>
    <fill>
      <patternFill patternType="gray125"/>
    </fill>
    <fill>
      <patternFill patternType="solid">
        <fgColor indexed="56"/>
        <bgColor indexed="64"/>
      </patternFill>
    </fill>
    <fill>
      <patternFill patternType="solid">
        <fgColor rgb="FF003365"/>
        <bgColor indexed="64"/>
      </patternFill>
    </fill>
    <fill>
      <patternFill patternType="solid">
        <fgColor rgb="FFFFFF00"/>
        <bgColor indexed="64"/>
      </patternFill>
    </fill>
    <fill>
      <patternFill patternType="solid">
        <fgColor rgb="FF007041"/>
        <bgColor indexed="64"/>
      </patternFill>
    </fill>
    <fill>
      <patternFill patternType="solid">
        <fgColor theme="9" tint="0.79998168889431442"/>
        <bgColor indexed="64"/>
      </patternFill>
    </fill>
    <fill>
      <patternFill patternType="solid">
        <fgColor rgb="FF009C59"/>
        <bgColor indexed="64"/>
      </patternFill>
    </fill>
  </fills>
  <borders count="9">
    <border>
      <left/>
      <right/>
      <top/>
      <bottom/>
      <diagonal/>
    </border>
    <border>
      <left/>
      <right/>
      <top/>
      <bottom style="thin">
        <color rgb="FF000000"/>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right/>
      <top style="thin">
        <color indexed="64"/>
      </top>
      <bottom style="medium">
        <color indexed="64"/>
      </bottom>
      <diagonal/>
    </border>
    <border>
      <left/>
      <right/>
      <top/>
      <bottom style="medium">
        <color indexed="64"/>
      </bottom>
      <diagonal/>
    </border>
    <border>
      <left/>
      <right/>
      <top style="thin">
        <color indexed="64"/>
      </top>
      <bottom style="double">
        <color indexed="64"/>
      </bottom>
      <diagonal/>
    </border>
  </borders>
  <cellStyleXfs count="11">
    <xf numFmtId="0" fontId="0" fillId="0" borderId="0"/>
    <xf numFmtId="9" fontId="1" fillId="0" borderId="0" applyFont="0" applyFill="0" applyBorder="0" applyAlignment="0" applyProtection="0"/>
    <xf numFmtId="0" fontId="3" fillId="0" borderId="0"/>
    <xf numFmtId="0" fontId="4" fillId="0" borderId="0" applyAlignment="0"/>
    <xf numFmtId="0" fontId="13" fillId="0" borderId="0"/>
    <xf numFmtId="9"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0" fontId="23" fillId="0" borderId="0" applyNumberFormat="0" applyFill="0" applyBorder="0" applyAlignment="0" applyProtection="0"/>
    <xf numFmtId="44" fontId="1" fillId="0" borderId="0" applyFont="0" applyFill="0" applyBorder="0" applyAlignment="0" applyProtection="0"/>
  </cellStyleXfs>
  <cellXfs count="310">
    <xf numFmtId="0" fontId="0" fillId="0" borderId="0" xfId="0"/>
    <xf numFmtId="0" fontId="2" fillId="0" borderId="0" xfId="0" applyFont="1"/>
    <xf numFmtId="0" fontId="5" fillId="2" borderId="0" xfId="2" applyFont="1" applyFill="1"/>
    <xf numFmtId="0" fontId="6" fillId="0" borderId="0" xfId="3" applyFont="1" applyAlignment="1"/>
    <xf numFmtId="0" fontId="7" fillId="0" borderId="0" xfId="2" applyFont="1"/>
    <xf numFmtId="0" fontId="9" fillId="0" borderId="0" xfId="2" applyFont="1"/>
    <xf numFmtId="0" fontId="9" fillId="0" borderId="0" xfId="0" applyFont="1"/>
    <xf numFmtId="0" fontId="12" fillId="0" borderId="0" xfId="0" applyFont="1"/>
    <xf numFmtId="0" fontId="8" fillId="3" borderId="0" xfId="0" applyFont="1" applyFill="1" applyAlignment="1">
      <alignment wrapText="1"/>
    </xf>
    <xf numFmtId="0" fontId="8" fillId="3" borderId="0" xfId="0" applyFont="1" applyFill="1" applyAlignment="1">
      <alignment horizontal="right" wrapText="1"/>
    </xf>
    <xf numFmtId="0" fontId="10" fillId="0" borderId="0" xfId="0" applyFont="1" applyAlignment="1">
      <alignment horizontal="left" vertical="top"/>
    </xf>
    <xf numFmtId="0" fontId="11" fillId="0" borderId="0" xfId="0" applyFont="1" applyAlignment="1">
      <alignment horizontal="left" vertical="top"/>
    </xf>
    <xf numFmtId="164" fontId="11" fillId="0" borderId="0" xfId="0" applyNumberFormat="1" applyFont="1" applyAlignment="1">
      <alignment horizontal="right" vertical="top" wrapText="1"/>
    </xf>
    <xf numFmtId="164" fontId="10" fillId="0" borderId="0" xfId="0" applyNumberFormat="1" applyFont="1" applyAlignment="1">
      <alignment horizontal="right" vertical="top" wrapText="1"/>
    </xf>
    <xf numFmtId="1" fontId="12" fillId="0" borderId="0" xfId="0" applyNumberFormat="1" applyFont="1" applyAlignment="1">
      <alignment horizontal="left"/>
    </xf>
    <xf numFmtId="0" fontId="12" fillId="0" borderId="0" xfId="0" applyFont="1" applyAlignment="1">
      <alignment horizontal="left"/>
    </xf>
    <xf numFmtId="10" fontId="12" fillId="0" borderId="0" xfId="1" applyNumberFormat="1" applyFont="1" applyFill="1" applyAlignment="1">
      <alignment horizontal="left"/>
    </xf>
    <xf numFmtId="0" fontId="17" fillId="0" borderId="0" xfId="0" applyFont="1"/>
    <xf numFmtId="0" fontId="17" fillId="0" borderId="0" xfId="0" applyFont="1" applyAlignment="1">
      <alignment horizontal="center"/>
    </xf>
    <xf numFmtId="0" fontId="18" fillId="0" borderId="0" xfId="0" applyFont="1"/>
    <xf numFmtId="0" fontId="18" fillId="0" borderId="0" xfId="0" applyFont="1" applyAlignment="1">
      <alignment horizontal="center"/>
    </xf>
    <xf numFmtId="0" fontId="7" fillId="0" borderId="0" xfId="0" applyFont="1" applyAlignment="1">
      <alignment horizontal="center"/>
    </xf>
    <xf numFmtId="2" fontId="7" fillId="0" borderId="0" xfId="0" applyNumberFormat="1" applyFont="1" applyAlignment="1">
      <alignment horizontal="center"/>
    </xf>
    <xf numFmtId="167" fontId="7" fillId="0" borderId="0" xfId="0" applyNumberFormat="1" applyFont="1" applyAlignment="1">
      <alignment horizontal="center"/>
    </xf>
    <xf numFmtId="10" fontId="7" fillId="0" borderId="0" xfId="0" applyNumberFormat="1" applyFont="1"/>
    <xf numFmtId="0" fontId="19" fillId="0" borderId="0" xfId="0" applyFont="1"/>
    <xf numFmtId="169" fontId="7" fillId="0" borderId="0" xfId="0" applyNumberFormat="1" applyFont="1" applyAlignment="1">
      <alignment horizontal="left"/>
    </xf>
    <xf numFmtId="2" fontId="7" fillId="0" borderId="0" xfId="0" applyNumberFormat="1" applyFont="1" applyAlignment="1">
      <alignment horizontal="left"/>
    </xf>
    <xf numFmtId="0" fontId="20" fillId="0" borderId="0" xfId="0" applyFont="1" applyAlignment="1">
      <alignment horizontal="left" vertical="center" readingOrder="1"/>
    </xf>
    <xf numFmtId="10" fontId="7" fillId="0" borderId="0" xfId="0" applyNumberFormat="1" applyFont="1" applyAlignment="1">
      <alignment horizontal="left"/>
    </xf>
    <xf numFmtId="168" fontId="12" fillId="0" borderId="0" xfId="0" applyNumberFormat="1" applyFont="1"/>
    <xf numFmtId="0" fontId="12" fillId="0" borderId="0" xfId="0" applyFont="1" applyAlignment="1">
      <alignment horizontal="right"/>
    </xf>
    <xf numFmtId="0" fontId="19" fillId="0" borderId="0" xfId="0" applyFont="1" applyAlignment="1">
      <alignment horizontal="left" vertical="center" readingOrder="1"/>
    </xf>
    <xf numFmtId="165" fontId="11" fillId="0" borderId="0" xfId="2" applyNumberFormat="1" applyFont="1" applyAlignment="1">
      <alignment horizontal="left" vertical="top"/>
    </xf>
    <xf numFmtId="0" fontId="18" fillId="0" borderId="0" xfId="2" applyFont="1"/>
    <xf numFmtId="0" fontId="10" fillId="0" borderId="0" xfId="2" applyFont="1" applyAlignment="1">
      <alignment horizontal="left" vertical="top"/>
    </xf>
    <xf numFmtId="0" fontId="11" fillId="0" borderId="0" xfId="2" applyFont="1" applyAlignment="1">
      <alignment horizontal="left" vertical="top"/>
    </xf>
    <xf numFmtId="0" fontId="11" fillId="0" borderId="0" xfId="2" applyFont="1" applyAlignment="1">
      <alignment horizontal="center" vertical="center"/>
    </xf>
    <xf numFmtId="0" fontId="19" fillId="0" borderId="0" xfId="0" applyFont="1" applyAlignment="1">
      <alignment horizontal="left" vertical="top" indent="1"/>
    </xf>
    <xf numFmtId="0" fontId="11" fillId="0" borderId="0" xfId="2" applyFont="1" applyAlignment="1">
      <alignment horizontal="left" vertical="top" indent="1"/>
    </xf>
    <xf numFmtId="0" fontId="11" fillId="0" borderId="0" xfId="0" applyFont="1" applyAlignment="1">
      <alignment horizontal="left" vertical="top" indent="1"/>
    </xf>
    <xf numFmtId="43" fontId="12" fillId="0" borderId="0" xfId="8" applyFont="1"/>
    <xf numFmtId="0" fontId="7" fillId="0" borderId="0" xfId="0" applyFont="1" applyAlignment="1">
      <alignment horizontal="left"/>
    </xf>
    <xf numFmtId="2" fontId="12" fillId="0" borderId="0" xfId="0" applyNumberFormat="1" applyFont="1" applyAlignment="1">
      <alignment horizontal="left"/>
    </xf>
    <xf numFmtId="0" fontId="26" fillId="0" borderId="0" xfId="0" applyFont="1"/>
    <xf numFmtId="0" fontId="26" fillId="0" borderId="0" xfId="0" applyFont="1" applyAlignment="1">
      <alignment horizontal="left" vertical="center" readingOrder="1"/>
    </xf>
    <xf numFmtId="10" fontId="12" fillId="0" borderId="0" xfId="5" applyNumberFormat="1" applyFont="1" applyBorder="1" applyAlignment="1">
      <alignment horizontal="left"/>
    </xf>
    <xf numFmtId="10" fontId="12" fillId="0" borderId="0" xfId="5" applyNumberFormat="1" applyFont="1"/>
    <xf numFmtId="0" fontId="21" fillId="0" borderId="0" xfId="4" applyFont="1"/>
    <xf numFmtId="0" fontId="19" fillId="0" borderId="0" xfId="4" applyFont="1"/>
    <xf numFmtId="0" fontId="18" fillId="0" borderId="0" xfId="4" applyFont="1" applyAlignment="1">
      <alignment horizontal="center"/>
    </xf>
    <xf numFmtId="0" fontId="17" fillId="0" borderId="0" xfId="4" applyFont="1"/>
    <xf numFmtId="0" fontId="7" fillId="0" borderId="0" xfId="4" applyFont="1" applyAlignment="1">
      <alignment horizontal="center"/>
    </xf>
    <xf numFmtId="166" fontId="12" fillId="0" borderId="0" xfId="4" applyNumberFormat="1" applyFont="1"/>
    <xf numFmtId="0" fontId="12" fillId="0" borderId="0" xfId="4" applyFont="1"/>
    <xf numFmtId="0" fontId="12" fillId="0" borderId="0" xfId="4" applyFont="1" applyAlignment="1">
      <alignment horizontal="left"/>
    </xf>
    <xf numFmtId="166" fontId="17" fillId="0" borderId="0" xfId="4" applyNumberFormat="1" applyFont="1"/>
    <xf numFmtId="166" fontId="19" fillId="0" borderId="0" xfId="4" applyNumberFormat="1" applyFont="1"/>
    <xf numFmtId="10" fontId="12" fillId="0" borderId="0" xfId="4" applyNumberFormat="1" applyFont="1"/>
    <xf numFmtId="43" fontId="12" fillId="0" borderId="0" xfId="7" applyFont="1"/>
    <xf numFmtId="166" fontId="12" fillId="0" borderId="0" xfId="6" applyNumberFormat="1" applyFont="1"/>
    <xf numFmtId="10" fontId="7" fillId="0" borderId="0" xfId="4" applyNumberFormat="1" applyFont="1"/>
    <xf numFmtId="0" fontId="19" fillId="0" borderId="0" xfId="4" applyFont="1" applyAlignment="1">
      <alignment horizontal="left"/>
    </xf>
    <xf numFmtId="0" fontId="7" fillId="0" borderId="0" xfId="4" applyFont="1" applyAlignment="1">
      <alignment horizontal="left"/>
    </xf>
    <xf numFmtId="168" fontId="12" fillId="0" borderId="0" xfId="4" applyNumberFormat="1" applyFont="1"/>
    <xf numFmtId="2" fontId="12" fillId="0" borderId="0" xfId="4" applyNumberFormat="1" applyFont="1" applyAlignment="1">
      <alignment horizontal="center"/>
    </xf>
    <xf numFmtId="167" fontId="12" fillId="0" borderId="0" xfId="4" applyNumberFormat="1" applyFont="1" applyAlignment="1">
      <alignment horizontal="center"/>
    </xf>
    <xf numFmtId="0" fontId="26" fillId="0" borderId="0" xfId="4" applyFont="1"/>
    <xf numFmtId="0" fontId="12" fillId="0" borderId="0" xfId="4" applyFont="1" applyAlignment="1">
      <alignment horizontal="right"/>
    </xf>
    <xf numFmtId="0" fontId="17" fillId="0" borderId="0" xfId="4" applyFont="1" applyAlignment="1">
      <alignment horizontal="left"/>
    </xf>
    <xf numFmtId="0" fontId="31" fillId="0" borderId="0" xfId="4" applyFont="1" applyAlignment="1">
      <alignment horizontal="centerContinuous"/>
    </xf>
    <xf numFmtId="0" fontId="32" fillId="0" borderId="0" xfId="4" applyFont="1"/>
    <xf numFmtId="166" fontId="19" fillId="0" borderId="0" xfId="4" applyNumberFormat="1" applyFont="1" applyAlignment="1">
      <alignment horizontal="left"/>
    </xf>
    <xf numFmtId="10" fontId="32" fillId="0" borderId="0" xfId="5" applyNumberFormat="1" applyFont="1" applyBorder="1"/>
    <xf numFmtId="166" fontId="32" fillId="0" borderId="0" xfId="6" applyNumberFormat="1" applyFont="1" applyBorder="1"/>
    <xf numFmtId="0" fontId="31" fillId="0" borderId="0" xfId="4" applyFont="1" applyAlignment="1">
      <alignment horizontal="center"/>
    </xf>
    <xf numFmtId="2" fontId="19" fillId="0" borderId="0" xfId="4" applyNumberFormat="1" applyFont="1"/>
    <xf numFmtId="0" fontId="19" fillId="0" borderId="0" xfId="4" quotePrefix="1" applyFont="1"/>
    <xf numFmtId="2" fontId="19" fillId="4" borderId="0" xfId="4" applyNumberFormat="1" applyFont="1" applyFill="1"/>
    <xf numFmtId="10" fontId="2" fillId="0" borderId="0" xfId="5" applyNumberFormat="1" applyFont="1"/>
    <xf numFmtId="0" fontId="33" fillId="0" borderId="0" xfId="4" applyFont="1"/>
    <xf numFmtId="0" fontId="34" fillId="0" borderId="0" xfId="4" applyFont="1"/>
    <xf numFmtId="0" fontId="2" fillId="0" borderId="0" xfId="4" applyFont="1"/>
    <xf numFmtId="10" fontId="34" fillId="0" borderId="0" xfId="4" applyNumberFormat="1" applyFont="1"/>
    <xf numFmtId="10" fontId="33" fillId="4" borderId="0" xfId="4" applyNumberFormat="1" applyFont="1" applyFill="1" applyAlignment="1">
      <alignment horizontal="center"/>
    </xf>
    <xf numFmtId="0" fontId="27" fillId="0" borderId="0" xfId="4" applyFont="1"/>
    <xf numFmtId="0" fontId="34" fillId="0" borderId="3" xfId="4" applyFont="1" applyBorder="1"/>
    <xf numFmtId="10" fontId="33" fillId="0" borderId="0" xfId="4" applyNumberFormat="1" applyFont="1" applyAlignment="1">
      <alignment horizontal="center"/>
    </xf>
    <xf numFmtId="9" fontId="33" fillId="4" borderId="0" xfId="4" applyNumberFormat="1" applyFont="1" applyFill="1"/>
    <xf numFmtId="9" fontId="34" fillId="0" borderId="0" xfId="4" applyNumberFormat="1" applyFont="1"/>
    <xf numFmtId="0" fontId="35" fillId="0" borderId="0" xfId="0" applyFont="1" applyAlignment="1">
      <alignment vertical="center" readingOrder="1"/>
    </xf>
    <xf numFmtId="0" fontId="27" fillId="0" borderId="0" xfId="0" applyFont="1" applyAlignment="1">
      <alignment vertical="center" readingOrder="1"/>
    </xf>
    <xf numFmtId="0" fontId="19" fillId="0" borderId="3" xfId="4" applyFont="1" applyBorder="1"/>
    <xf numFmtId="43" fontId="19" fillId="0" borderId="0" xfId="8" applyFont="1" applyAlignment="1">
      <alignment horizontal="right"/>
    </xf>
    <xf numFmtId="9" fontId="19" fillId="0" borderId="0" xfId="4" applyNumberFormat="1" applyFont="1"/>
    <xf numFmtId="10" fontId="19" fillId="0" borderId="0" xfId="4" applyNumberFormat="1" applyFont="1"/>
    <xf numFmtId="0" fontId="28" fillId="0" borderId="0" xfId="4" applyFont="1" applyAlignment="1">
      <alignment horizontal="center"/>
    </xf>
    <xf numFmtId="44" fontId="12" fillId="0" borderId="0" xfId="4" applyNumberFormat="1" applyFont="1"/>
    <xf numFmtId="167" fontId="12" fillId="0" borderId="0" xfId="4" applyNumberFormat="1" applyFont="1"/>
    <xf numFmtId="0" fontId="28" fillId="0" borderId="0" xfId="4" applyFont="1" applyAlignment="1">
      <alignment horizontal="left"/>
    </xf>
    <xf numFmtId="0" fontId="26" fillId="0" borderId="0" xfId="4" applyFont="1" applyAlignment="1">
      <alignment horizontal="left"/>
    </xf>
    <xf numFmtId="173" fontId="19" fillId="0" borderId="0" xfId="4" applyNumberFormat="1" applyFont="1"/>
    <xf numFmtId="172" fontId="19" fillId="0" borderId="0" xfId="4" applyNumberFormat="1" applyFont="1"/>
    <xf numFmtId="171" fontId="2" fillId="0" borderId="0" xfId="7" applyNumberFormat="1" applyFont="1"/>
    <xf numFmtId="0" fontId="37" fillId="0" borderId="0" xfId="4" applyFont="1"/>
    <xf numFmtId="168" fontId="34" fillId="0" borderId="0" xfId="4" applyNumberFormat="1" applyFont="1"/>
    <xf numFmtId="10" fontId="34" fillId="4" borderId="0" xfId="4" applyNumberFormat="1" applyFont="1" applyFill="1"/>
    <xf numFmtId="0" fontId="38" fillId="0" borderId="0" xfId="4" applyFont="1"/>
    <xf numFmtId="0" fontId="33" fillId="0" borderId="0" xfId="4" applyFont="1" applyAlignment="1">
      <alignment horizontal="right"/>
    </xf>
    <xf numFmtId="166" fontId="34" fillId="0" borderId="0" xfId="4" applyNumberFormat="1" applyFont="1"/>
    <xf numFmtId="43" fontId="34" fillId="0" borderId="0" xfId="8" applyFont="1"/>
    <xf numFmtId="0" fontId="36" fillId="0" borderId="0" xfId="9" applyFont="1" applyFill="1"/>
    <xf numFmtId="171" fontId="2" fillId="0" borderId="0" xfId="8" applyNumberFormat="1" applyFont="1"/>
    <xf numFmtId="171" fontId="34" fillId="0" borderId="0" xfId="8" applyNumberFormat="1" applyFont="1"/>
    <xf numFmtId="169" fontId="34" fillId="4" borderId="0" xfId="4" applyNumberFormat="1" applyFont="1" applyFill="1"/>
    <xf numFmtId="166" fontId="33" fillId="4" borderId="0" xfId="4" applyNumberFormat="1" applyFont="1" applyFill="1"/>
    <xf numFmtId="0" fontId="8" fillId="5" borderId="0" xfId="0" applyFont="1" applyFill="1"/>
    <xf numFmtId="0" fontId="5" fillId="5" borderId="0" xfId="2" applyFont="1" applyFill="1"/>
    <xf numFmtId="0" fontId="8" fillId="5" borderId="0" xfId="2" applyFont="1" applyFill="1" applyAlignment="1">
      <alignment wrapText="1"/>
    </xf>
    <xf numFmtId="165" fontId="8" fillId="5" borderId="0" xfId="2" applyNumberFormat="1" applyFont="1" applyFill="1" applyAlignment="1">
      <alignment horizontal="right" wrapText="1"/>
    </xf>
    <xf numFmtId="0" fontId="8" fillId="5" borderId="0" xfId="2" applyFont="1" applyFill="1"/>
    <xf numFmtId="0" fontId="10" fillId="0" borderId="6" xfId="0" applyFont="1" applyBorder="1" applyAlignment="1">
      <alignment horizontal="left" vertical="top"/>
    </xf>
    <xf numFmtId="164" fontId="11" fillId="0" borderId="0" xfId="2" applyNumberFormat="1" applyFont="1" applyAlignment="1">
      <alignment horizontal="right" vertical="top" wrapText="1"/>
    </xf>
    <xf numFmtId="0" fontId="39" fillId="5" borderId="0" xfId="0" applyFont="1" applyFill="1"/>
    <xf numFmtId="0" fontId="40" fillId="5" borderId="0" xfId="0" applyFont="1" applyFill="1"/>
    <xf numFmtId="0" fontId="41" fillId="5" borderId="0" xfId="0" applyFont="1" applyFill="1"/>
    <xf numFmtId="0" fontId="39" fillId="5" borderId="5" xfId="0" applyFont="1" applyFill="1" applyBorder="1"/>
    <xf numFmtId="0" fontId="41" fillId="5" borderId="5" xfId="0" applyFont="1" applyFill="1" applyBorder="1"/>
    <xf numFmtId="9" fontId="41" fillId="5" borderId="5" xfId="0" applyNumberFormat="1" applyFont="1" applyFill="1" applyBorder="1"/>
    <xf numFmtId="0" fontId="41" fillId="5" borderId="0" xfId="0" applyFont="1" applyFill="1" applyAlignment="1">
      <alignment horizontal="left"/>
    </xf>
    <xf numFmtId="16" fontId="41" fillId="5" borderId="0" xfId="0" applyNumberFormat="1" applyFont="1" applyFill="1" applyAlignment="1">
      <alignment horizontal="left"/>
    </xf>
    <xf numFmtId="0" fontId="40" fillId="0" borderId="0" xfId="0" applyFont="1"/>
    <xf numFmtId="44" fontId="10" fillId="0" borderId="6" xfId="10" applyFont="1" applyBorder="1" applyAlignment="1">
      <alignment horizontal="left" vertical="top"/>
    </xf>
    <xf numFmtId="44" fontId="10" fillId="0" borderId="6" xfId="10" applyFont="1" applyBorder="1" applyAlignment="1">
      <alignment horizontal="right" vertical="top" wrapText="1"/>
    </xf>
    <xf numFmtId="0" fontId="8" fillId="5" borderId="0" xfId="0" applyFont="1" applyFill="1" applyAlignment="1">
      <alignment wrapText="1"/>
    </xf>
    <xf numFmtId="0" fontId="8" fillId="5" borderId="0" xfId="0" applyFont="1" applyFill="1" applyAlignment="1">
      <alignment horizontal="right" wrapText="1"/>
    </xf>
    <xf numFmtId="174" fontId="11" fillId="0" borderId="0" xfId="8" applyNumberFormat="1" applyFont="1" applyAlignment="1">
      <alignment horizontal="right" vertical="top" wrapText="1"/>
    </xf>
    <xf numFmtId="174" fontId="19" fillId="0" borderId="0" xfId="8" applyNumberFormat="1" applyFont="1" applyAlignment="1">
      <alignment horizontal="right" vertical="top" wrapText="1"/>
    </xf>
    <xf numFmtId="174" fontId="10" fillId="0" borderId="0" xfId="8" applyNumberFormat="1" applyFont="1" applyAlignment="1">
      <alignment horizontal="right" vertical="top" wrapText="1"/>
    </xf>
    <xf numFmtId="174" fontId="10" fillId="0" borderId="0" xfId="8" applyNumberFormat="1" applyFont="1" applyBorder="1" applyAlignment="1">
      <alignment horizontal="right" vertical="top" wrapText="1"/>
    </xf>
    <xf numFmtId="174" fontId="11" fillId="0" borderId="0" xfId="8" applyNumberFormat="1" applyFont="1" applyAlignment="1">
      <alignment horizontal="left" vertical="top"/>
    </xf>
    <xf numFmtId="44" fontId="11" fillId="0" borderId="0" xfId="10" applyFont="1" applyBorder="1" applyAlignment="1">
      <alignment horizontal="right" vertical="top" wrapText="1"/>
    </xf>
    <xf numFmtId="175" fontId="10" fillId="0" borderId="6" xfId="10" applyNumberFormat="1" applyFont="1" applyBorder="1" applyAlignment="1">
      <alignment horizontal="right" vertical="top" wrapText="1"/>
    </xf>
    <xf numFmtId="176" fontId="11" fillId="0" borderId="0" xfId="0" applyNumberFormat="1" applyFont="1" applyAlignment="1">
      <alignment horizontal="left" vertical="top"/>
    </xf>
    <xf numFmtId="176" fontId="11" fillId="0" borderId="0" xfId="10" applyNumberFormat="1" applyFont="1" applyBorder="1" applyAlignment="1">
      <alignment horizontal="right" vertical="top" wrapText="1"/>
    </xf>
    <xf numFmtId="176" fontId="10" fillId="0" borderId="0" xfId="0" applyNumberFormat="1" applyFont="1" applyAlignment="1">
      <alignment horizontal="left" vertical="top"/>
    </xf>
    <xf numFmtId="176" fontId="10" fillId="0" borderId="0" xfId="10" applyNumberFormat="1" applyFont="1" applyBorder="1" applyAlignment="1">
      <alignment horizontal="right" vertical="top" wrapText="1"/>
    </xf>
    <xf numFmtId="176" fontId="10" fillId="0" borderId="6" xfId="10" applyNumberFormat="1" applyFont="1" applyBorder="1" applyAlignment="1">
      <alignment horizontal="right" vertical="top" wrapText="1"/>
    </xf>
    <xf numFmtId="176" fontId="11" fillId="0" borderId="0" xfId="10" applyNumberFormat="1" applyFont="1" applyBorder="1" applyAlignment="1">
      <alignment horizontal="left" vertical="top"/>
    </xf>
    <xf numFmtId="176" fontId="7" fillId="0" borderId="0" xfId="0" applyNumberFormat="1" applyFont="1" applyAlignment="1">
      <alignment vertical="top"/>
    </xf>
    <xf numFmtId="176" fontId="7" fillId="0" borderId="0" xfId="0" applyNumberFormat="1" applyFont="1" applyAlignment="1">
      <alignment vertical="top" wrapText="1"/>
    </xf>
    <xf numFmtId="176" fontId="7" fillId="0" borderId="0" xfId="0" applyNumberFormat="1" applyFont="1"/>
    <xf numFmtId="176" fontId="11" fillId="0" borderId="0" xfId="0" applyNumberFormat="1" applyFont="1" applyAlignment="1">
      <alignment horizontal="center" vertical="center"/>
    </xf>
    <xf numFmtId="175" fontId="10" fillId="0" borderId="6" xfId="10" applyNumberFormat="1" applyFont="1" applyBorder="1" applyAlignment="1">
      <alignment horizontal="left" vertical="top"/>
    </xf>
    <xf numFmtId="176" fontId="10" fillId="0" borderId="6" xfId="0" applyNumberFormat="1" applyFont="1" applyBorder="1" applyAlignment="1">
      <alignment horizontal="left" vertical="top"/>
    </xf>
    <xf numFmtId="43" fontId="42" fillId="0" borderId="0" xfId="8" applyFont="1"/>
    <xf numFmtId="0" fontId="8" fillId="5" borderId="1" xfId="0" applyFont="1" applyFill="1" applyBorder="1" applyAlignment="1">
      <alignment horizontal="center"/>
    </xf>
    <xf numFmtId="0" fontId="8" fillId="5" borderId="1" xfId="0" applyFont="1" applyFill="1" applyBorder="1"/>
    <xf numFmtId="0" fontId="8" fillId="5" borderId="2" xfId="0" applyFont="1" applyFill="1" applyBorder="1" applyAlignment="1">
      <alignment horizontal="center"/>
    </xf>
    <xf numFmtId="0" fontId="8" fillId="5" borderId="1" xfId="8" applyNumberFormat="1" applyFont="1" applyFill="1" applyBorder="1" applyAlignment="1">
      <alignment horizontal="center"/>
    </xf>
    <xf numFmtId="174" fontId="43" fillId="0" borderId="0" xfId="8" applyNumberFormat="1" applyFont="1" applyAlignment="1">
      <alignment horizontal="center"/>
    </xf>
    <xf numFmtId="170" fontId="12" fillId="0" borderId="0" xfId="0" applyNumberFormat="1" applyFont="1" applyAlignment="1">
      <alignment horizontal="left"/>
    </xf>
    <xf numFmtId="170" fontId="12" fillId="0" borderId="0" xfId="1" applyNumberFormat="1" applyFont="1" applyFill="1" applyAlignment="1">
      <alignment horizontal="left"/>
    </xf>
    <xf numFmtId="170" fontId="7" fillId="0" borderId="0" xfId="0" applyNumberFormat="1" applyFont="1" applyAlignment="1">
      <alignment horizontal="left"/>
    </xf>
    <xf numFmtId="176" fontId="12" fillId="0" borderId="0" xfId="0" applyNumberFormat="1" applyFont="1" applyAlignment="1">
      <alignment horizontal="left"/>
    </xf>
    <xf numFmtId="0" fontId="8" fillId="5" borderId="0" xfId="0" applyFont="1" applyFill="1" applyAlignment="1">
      <alignment horizontal="left"/>
    </xf>
    <xf numFmtId="0" fontId="9" fillId="5" borderId="0" xfId="4" applyFont="1" applyFill="1"/>
    <xf numFmtId="0" fontId="8" fillId="5" borderId="0" xfId="4" applyFont="1" applyFill="1" applyAlignment="1">
      <alignment horizontal="center"/>
    </xf>
    <xf numFmtId="0" fontId="8" fillId="5" borderId="0" xfId="4" applyFont="1" applyFill="1"/>
    <xf numFmtId="0" fontId="8" fillId="5" borderId="1" xfId="4" applyFont="1" applyFill="1" applyBorder="1" applyAlignment="1">
      <alignment horizontal="center"/>
    </xf>
    <xf numFmtId="0" fontId="8" fillId="5" borderId="1" xfId="4" applyFont="1" applyFill="1" applyBorder="1"/>
    <xf numFmtId="0" fontId="8" fillId="5" borderId="2" xfId="4" applyFont="1" applyFill="1" applyBorder="1" applyAlignment="1">
      <alignment horizontal="center"/>
    </xf>
    <xf numFmtId="0" fontId="8" fillId="5" borderId="2" xfId="4" applyFont="1" applyFill="1" applyBorder="1" applyAlignment="1">
      <alignment horizontal="left"/>
    </xf>
    <xf numFmtId="10" fontId="7" fillId="0" borderId="0" xfId="4" applyNumberFormat="1" applyFont="1" applyAlignment="1">
      <alignment horizontal="left"/>
    </xf>
    <xf numFmtId="176" fontId="12" fillId="0" borderId="0" xfId="4" applyNumberFormat="1" applyFont="1" applyAlignment="1">
      <alignment horizontal="left"/>
    </xf>
    <xf numFmtId="44" fontId="17" fillId="0" borderId="6" xfId="10" applyFont="1" applyBorder="1"/>
    <xf numFmtId="175" fontId="17" fillId="0" borderId="6" xfId="10" applyNumberFormat="1" applyFont="1" applyBorder="1"/>
    <xf numFmtId="174" fontId="12" fillId="0" borderId="0" xfId="8" applyNumberFormat="1" applyFont="1"/>
    <xf numFmtId="174" fontId="19" fillId="0" borderId="0" xfId="8" applyNumberFormat="1" applyFont="1"/>
    <xf numFmtId="174" fontId="12" fillId="0" borderId="0" xfId="8" applyNumberFormat="1" applyFont="1" applyAlignment="1">
      <alignment horizontal="center"/>
    </xf>
    <xf numFmtId="170" fontId="12" fillId="0" borderId="0" xfId="4" applyNumberFormat="1" applyFont="1" applyAlignment="1">
      <alignment horizontal="left"/>
    </xf>
    <xf numFmtId="174" fontId="42" fillId="0" borderId="0" xfId="8" applyNumberFormat="1" applyFont="1"/>
    <xf numFmtId="174" fontId="42" fillId="0" borderId="0" xfId="8" applyNumberFormat="1" applyFont="1" applyAlignment="1">
      <alignment horizontal="center"/>
    </xf>
    <xf numFmtId="174" fontId="7" fillId="0" borderId="0" xfId="8" applyNumberFormat="1" applyFont="1" applyAlignment="1">
      <alignment horizontal="left"/>
    </xf>
    <xf numFmtId="174" fontId="19" fillId="0" borderId="0" xfId="8" applyNumberFormat="1" applyFont="1" applyAlignment="1">
      <alignment horizontal="left"/>
    </xf>
    <xf numFmtId="0" fontId="8" fillId="5" borderId="0" xfId="4" applyFont="1" applyFill="1" applyAlignment="1">
      <alignment horizontal="left"/>
    </xf>
    <xf numFmtId="174" fontId="44" fillId="0" borderId="0" xfId="8" applyNumberFormat="1" applyFont="1" applyFill="1" applyAlignment="1">
      <alignment horizontal="left"/>
    </xf>
    <xf numFmtId="10" fontId="44" fillId="0" borderId="0" xfId="5" applyNumberFormat="1" applyFont="1" applyFill="1" applyAlignment="1">
      <alignment horizontal="right"/>
    </xf>
    <xf numFmtId="174" fontId="32" fillId="0" borderId="0" xfId="8" applyNumberFormat="1" applyFont="1" applyAlignment="1">
      <alignment horizontal="left"/>
    </xf>
    <xf numFmtId="174" fontId="12" fillId="0" borderId="0" xfId="8" applyNumberFormat="1" applyFont="1" applyAlignment="1">
      <alignment horizontal="left"/>
    </xf>
    <xf numFmtId="174" fontId="44" fillId="0" borderId="0" xfId="8" applyNumberFormat="1" applyFont="1" applyAlignment="1">
      <alignment horizontal="left"/>
    </xf>
    <xf numFmtId="0" fontId="45" fillId="5" borderId="0" xfId="4" applyFont="1" applyFill="1"/>
    <xf numFmtId="0" fontId="46" fillId="5" borderId="0" xfId="4" applyFont="1" applyFill="1" applyAlignment="1">
      <alignment horizontal="center"/>
    </xf>
    <xf numFmtId="174" fontId="34" fillId="0" borderId="0" xfId="8" applyNumberFormat="1" applyFont="1" applyBorder="1" applyAlignment="1">
      <alignment horizontal="center"/>
    </xf>
    <xf numFmtId="0" fontId="34" fillId="0" borderId="6" xfId="4" applyFont="1" applyBorder="1"/>
    <xf numFmtId="10" fontId="34" fillId="0" borderId="6" xfId="4" applyNumberFormat="1" applyFont="1" applyBorder="1" applyAlignment="1">
      <alignment horizontal="center"/>
    </xf>
    <xf numFmtId="174" fontId="47" fillId="0" borderId="0" xfId="8" applyNumberFormat="1" applyFont="1" applyAlignment="1">
      <alignment horizontal="center"/>
    </xf>
    <xf numFmtId="174" fontId="47" fillId="0" borderId="0" xfId="8" applyNumberFormat="1" applyFont="1" applyBorder="1" applyAlignment="1">
      <alignment horizontal="center"/>
    </xf>
    <xf numFmtId="174" fontId="47" fillId="0" borderId="3" xfId="8" applyNumberFormat="1" applyFont="1" applyBorder="1" applyAlignment="1">
      <alignment horizontal="center"/>
    </xf>
    <xf numFmtId="0" fontId="2" fillId="0" borderId="6" xfId="4" applyFont="1" applyBorder="1"/>
    <xf numFmtId="10" fontId="2" fillId="0" borderId="6" xfId="5" applyNumberFormat="1" applyFont="1" applyBorder="1"/>
    <xf numFmtId="0" fontId="19" fillId="0" borderId="6" xfId="4" applyFont="1" applyBorder="1"/>
    <xf numFmtId="0" fontId="21" fillId="0" borderId="6" xfId="4" applyFont="1" applyBorder="1"/>
    <xf numFmtId="10" fontId="17" fillId="0" borderId="6" xfId="5" applyNumberFormat="1" applyFont="1" applyBorder="1"/>
    <xf numFmtId="10" fontId="17" fillId="0" borderId="6" xfId="5" applyNumberFormat="1" applyFont="1" applyFill="1" applyBorder="1"/>
    <xf numFmtId="10" fontId="11" fillId="0" borderId="0" xfId="1" applyNumberFormat="1" applyFont="1" applyBorder="1" applyAlignment="1">
      <alignment horizontal="right" vertical="top" wrapText="1"/>
    </xf>
    <xf numFmtId="44" fontId="42" fillId="0" borderId="0" xfId="4" applyNumberFormat="1" applyFont="1"/>
    <xf numFmtId="10" fontId="42" fillId="0" borderId="0" xfId="1" applyNumberFormat="1" applyFont="1"/>
    <xf numFmtId="10" fontId="12" fillId="0" borderId="3" xfId="5" applyNumberFormat="1" applyFont="1" applyBorder="1"/>
    <xf numFmtId="44" fontId="12" fillId="0" borderId="6" xfId="6" applyFont="1" applyBorder="1"/>
    <xf numFmtId="43" fontId="42" fillId="0" borderId="0" xfId="8" applyFont="1" applyAlignment="1">
      <alignment horizontal="right"/>
    </xf>
    <xf numFmtId="44" fontId="21" fillId="0" borderId="6" xfId="10" applyFont="1" applyBorder="1"/>
    <xf numFmtId="174" fontId="42" fillId="0" borderId="3" xfId="8" applyNumberFormat="1" applyFont="1" applyBorder="1" applyAlignment="1">
      <alignment horizontal="right"/>
    </xf>
    <xf numFmtId="174" fontId="42" fillId="0" borderId="0" xfId="8" applyNumberFormat="1" applyFont="1" applyAlignment="1">
      <alignment horizontal="right"/>
    </xf>
    <xf numFmtId="175" fontId="48" fillId="0" borderId="6" xfId="10" applyNumberFormat="1" applyFont="1" applyBorder="1" applyAlignment="1">
      <alignment horizontal="right"/>
    </xf>
    <xf numFmtId="0" fontId="17" fillId="0" borderId="6" xfId="4" applyFont="1" applyBorder="1"/>
    <xf numFmtId="44" fontId="17" fillId="0" borderId="6" xfId="10" applyFont="1" applyFill="1" applyBorder="1" applyAlignment="1">
      <alignment horizontal="right"/>
    </xf>
    <xf numFmtId="10" fontId="21" fillId="0" borderId="0" xfId="4" applyNumberFormat="1" applyFont="1"/>
    <xf numFmtId="43" fontId="17" fillId="0" borderId="0" xfId="7" applyFont="1" applyFill="1"/>
    <xf numFmtId="10" fontId="42" fillId="0" borderId="0" xfId="4" applyNumberFormat="1" applyFont="1"/>
    <xf numFmtId="2" fontId="42" fillId="0" borderId="0" xfId="4" applyNumberFormat="1" applyFont="1"/>
    <xf numFmtId="10" fontId="42" fillId="0" borderId="0" xfId="5" applyNumberFormat="1" applyFont="1" applyFill="1"/>
    <xf numFmtId="43" fontId="42" fillId="0" borderId="0" xfId="4" applyNumberFormat="1" applyFont="1"/>
    <xf numFmtId="174" fontId="42" fillId="0" borderId="0" xfId="8" applyNumberFormat="1" applyFont="1" applyFill="1"/>
    <xf numFmtId="43" fontId="12" fillId="0" borderId="0" xfId="8" applyFont="1" applyFill="1"/>
    <xf numFmtId="174" fontId="44" fillId="0" borderId="0" xfId="8" applyNumberFormat="1" applyFont="1" applyFill="1"/>
    <xf numFmtId="10" fontId="44" fillId="0" borderId="0" xfId="5" applyNumberFormat="1" applyFont="1" applyFill="1"/>
    <xf numFmtId="10" fontId="44" fillId="0" borderId="0" xfId="4" applyNumberFormat="1" applyFont="1"/>
    <xf numFmtId="171" fontId="12" fillId="0" borderId="0" xfId="4" applyNumberFormat="1" applyFont="1" applyAlignment="1">
      <alignment horizontal="left"/>
    </xf>
    <xf numFmtId="171" fontId="42" fillId="0" borderId="0" xfId="8" applyNumberFormat="1" applyFont="1" applyFill="1"/>
    <xf numFmtId="44" fontId="42" fillId="0" borderId="0" xfId="4" applyNumberFormat="1" applyFont="1" applyAlignment="1">
      <alignment horizontal="left"/>
    </xf>
    <xf numFmtId="174" fontId="19" fillId="0" borderId="0" xfId="8" applyNumberFormat="1" applyFont="1" applyAlignment="1"/>
    <xf numFmtId="174" fontId="19" fillId="0" borderId="0" xfId="8" applyNumberFormat="1" applyFont="1" applyBorder="1"/>
    <xf numFmtId="174" fontId="21" fillId="0" borderId="0" xfId="8" applyNumberFormat="1" applyFont="1" applyBorder="1"/>
    <xf numFmtId="174" fontId="19" fillId="0" borderId="0" xfId="8" applyNumberFormat="1" applyFont="1" applyFill="1" applyBorder="1"/>
    <xf numFmtId="174" fontId="12" fillId="0" borderId="0" xfId="8" applyNumberFormat="1" applyFont="1" applyBorder="1"/>
    <xf numFmtId="9" fontId="12" fillId="0" borderId="0" xfId="5" applyFont="1" applyBorder="1"/>
    <xf numFmtId="0" fontId="12" fillId="0" borderId="6" xfId="4" applyFont="1" applyBorder="1"/>
    <xf numFmtId="0" fontId="8" fillId="5" borderId="0" xfId="8" applyNumberFormat="1" applyFont="1" applyFill="1" applyBorder="1" applyAlignment="1">
      <alignment horizontal="center"/>
    </xf>
    <xf numFmtId="44" fontId="17" fillId="0" borderId="0" xfId="10" applyFont="1" applyBorder="1"/>
    <xf numFmtId="0" fontId="28" fillId="0" borderId="0" xfId="4" applyFont="1"/>
    <xf numFmtId="0" fontId="28" fillId="0" borderId="6" xfId="4" applyFont="1" applyBorder="1"/>
    <xf numFmtId="0" fontId="26" fillId="0" borderId="6" xfId="4" applyFont="1" applyBorder="1"/>
    <xf numFmtId="44" fontId="28" fillId="0" borderId="6" xfId="10" applyFont="1" applyBorder="1" applyAlignment="1"/>
    <xf numFmtId="44" fontId="28" fillId="0" borderId="0" xfId="10" applyFont="1" applyBorder="1" applyAlignment="1"/>
    <xf numFmtId="174" fontId="42" fillId="0" borderId="0" xfId="8" applyNumberFormat="1" applyFont="1" applyFill="1" applyBorder="1"/>
    <xf numFmtId="9" fontId="19" fillId="0" borderId="0" xfId="5" applyFont="1" applyFill="1" applyBorder="1"/>
    <xf numFmtId="44" fontId="28" fillId="0" borderId="3" xfId="10" applyFont="1" applyFill="1" applyBorder="1" applyAlignment="1"/>
    <xf numFmtId="44" fontId="17" fillId="0" borderId="3" xfId="10" applyFont="1" applyFill="1" applyBorder="1"/>
    <xf numFmtId="44" fontId="21" fillId="0" borderId="3" xfId="10" applyFont="1" applyFill="1" applyBorder="1"/>
    <xf numFmtId="44" fontId="28" fillId="0" borderId="7" xfId="10" applyFont="1" applyFill="1" applyBorder="1" applyAlignment="1"/>
    <xf numFmtId="44" fontId="21" fillId="0" borderId="7" xfId="10" applyFont="1" applyFill="1" applyBorder="1"/>
    <xf numFmtId="44" fontId="17" fillId="0" borderId="7" xfId="10" applyFont="1" applyBorder="1"/>
    <xf numFmtId="44" fontId="28" fillId="0" borderId="6" xfId="10" applyFont="1" applyFill="1" applyBorder="1" applyAlignment="1"/>
    <xf numFmtId="44" fontId="21" fillId="0" borderId="6" xfId="10" applyFont="1" applyFill="1" applyBorder="1"/>
    <xf numFmtId="44" fontId="17" fillId="0" borderId="3" xfId="10" applyFont="1" applyBorder="1"/>
    <xf numFmtId="172" fontId="42" fillId="0" borderId="0" xfId="4" applyNumberFormat="1" applyFont="1"/>
    <xf numFmtId="0" fontId="46" fillId="5" borderId="2" xfId="4" applyFont="1" applyFill="1" applyBorder="1"/>
    <xf numFmtId="0" fontId="46" fillId="5" borderId="0" xfId="4" applyFont="1" applyFill="1"/>
    <xf numFmtId="0" fontId="46" fillId="5" borderId="0" xfId="0" applyFont="1" applyFill="1"/>
    <xf numFmtId="0" fontId="45" fillId="5" borderId="2" xfId="4" applyFont="1" applyFill="1" applyBorder="1"/>
    <xf numFmtId="0" fontId="45" fillId="5" borderId="4" xfId="4" applyFont="1" applyFill="1" applyBorder="1"/>
    <xf numFmtId="10" fontId="45" fillId="5" borderId="4" xfId="4" applyNumberFormat="1" applyFont="1" applyFill="1" applyBorder="1"/>
    <xf numFmtId="171" fontId="2" fillId="0" borderId="0" xfId="8" applyNumberFormat="1" applyFont="1" applyFill="1"/>
    <xf numFmtId="171" fontId="34" fillId="0" borderId="0" xfId="8" applyNumberFormat="1" applyFont="1" applyFill="1"/>
    <xf numFmtId="10" fontId="2" fillId="0" borderId="0" xfId="5" applyNumberFormat="1" applyFont="1" applyFill="1"/>
    <xf numFmtId="0" fontId="34" fillId="0" borderId="0" xfId="4" applyFont="1" applyAlignment="1">
      <alignment horizontal="right"/>
    </xf>
    <xf numFmtId="174" fontId="34" fillId="0" borderId="0" xfId="8" applyNumberFormat="1" applyFont="1"/>
    <xf numFmtId="44" fontId="33" fillId="0" borderId="0" xfId="10" applyFont="1" applyAlignment="1">
      <alignment horizontal="left"/>
    </xf>
    <xf numFmtId="44" fontId="33" fillId="0" borderId="0" xfId="10" applyFont="1" applyAlignment="1">
      <alignment horizontal="right"/>
    </xf>
    <xf numFmtId="44" fontId="33" fillId="0" borderId="6" xfId="10" applyFont="1" applyBorder="1"/>
    <xf numFmtId="44" fontId="46" fillId="5" borderId="2" xfId="10" applyFont="1" applyFill="1" applyBorder="1"/>
    <xf numFmtId="44" fontId="34" fillId="0" borderId="0" xfId="10" applyFont="1" applyFill="1"/>
    <xf numFmtId="0" fontId="26" fillId="0" borderId="0" xfId="4" applyFont="1" applyAlignment="1">
      <alignment horizontal="left" vertical="top"/>
    </xf>
    <xf numFmtId="0" fontId="49" fillId="0" borderId="0" xfId="0" applyFont="1"/>
    <xf numFmtId="174" fontId="21" fillId="0" borderId="0" xfId="8" applyNumberFormat="1" applyFont="1" applyFill="1" applyBorder="1"/>
    <xf numFmtId="0" fontId="27" fillId="0" borderId="0" xfId="0" applyFont="1"/>
    <xf numFmtId="9" fontId="49" fillId="0" borderId="0" xfId="0" applyNumberFormat="1" applyFont="1"/>
    <xf numFmtId="10" fontId="49" fillId="0" borderId="0" xfId="0" applyNumberFormat="1" applyFont="1"/>
    <xf numFmtId="44" fontId="28" fillId="0" borderId="0" xfId="10" applyFont="1" applyFill="1" applyBorder="1" applyAlignment="1"/>
    <xf numFmtId="44" fontId="21" fillId="0" borderId="0" xfId="10" applyFont="1" applyFill="1" applyBorder="1"/>
    <xf numFmtId="44" fontId="50" fillId="0" borderId="0" xfId="10" applyFont="1"/>
    <xf numFmtId="0" fontId="49" fillId="0" borderId="2" xfId="0" applyFont="1" applyBorder="1"/>
    <xf numFmtId="0" fontId="51" fillId="0" borderId="8" xfId="0" applyFont="1" applyBorder="1"/>
    <xf numFmtId="44" fontId="51" fillId="0" borderId="8" xfId="10" applyFont="1" applyBorder="1"/>
    <xf numFmtId="0" fontId="51" fillId="0" borderId="0" xfId="0" applyFont="1"/>
    <xf numFmtId="176" fontId="50" fillId="0" borderId="0" xfId="0" applyNumberFormat="1" applyFont="1"/>
    <xf numFmtId="176" fontId="0" fillId="0" borderId="0" xfId="0" applyNumberFormat="1"/>
    <xf numFmtId="176" fontId="2" fillId="0" borderId="0" xfId="0" applyNumberFormat="1" applyFont="1"/>
    <xf numFmtId="0" fontId="26" fillId="0" borderId="2" xfId="4" applyFont="1" applyBorder="1"/>
    <xf numFmtId="176" fontId="52" fillId="0" borderId="8" xfId="0" applyNumberFormat="1" applyFont="1" applyBorder="1"/>
    <xf numFmtId="176" fontId="51" fillId="0" borderId="0" xfId="0" applyNumberFormat="1" applyFont="1"/>
    <xf numFmtId="44" fontId="21" fillId="0" borderId="8" xfId="10" applyFont="1" applyBorder="1"/>
    <xf numFmtId="44" fontId="17" fillId="0" borderId="8" xfId="10" applyFont="1" applyBorder="1"/>
    <xf numFmtId="176" fontId="48" fillId="0" borderId="0" xfId="10" applyNumberFormat="1" applyFont="1" applyFill="1" applyBorder="1"/>
    <xf numFmtId="44" fontId="27" fillId="0" borderId="8" xfId="10" applyFont="1" applyBorder="1" applyAlignment="1"/>
    <xf numFmtId="0" fontId="53" fillId="0" borderId="0" xfId="0" applyFont="1"/>
    <xf numFmtId="0" fontId="54" fillId="6" borderId="0" xfId="0" applyFont="1" applyFill="1"/>
    <xf numFmtId="0" fontId="40" fillId="6" borderId="0" xfId="0" applyFont="1" applyFill="1"/>
    <xf numFmtId="44" fontId="17" fillId="7" borderId="0" xfId="10" applyFont="1" applyFill="1" applyBorder="1"/>
    <xf numFmtId="44" fontId="28" fillId="7" borderId="0" xfId="10" applyFont="1" applyFill="1" applyBorder="1" applyAlignment="1"/>
    <xf numFmtId="44" fontId="21" fillId="7" borderId="0" xfId="10" applyFont="1" applyFill="1" applyBorder="1"/>
    <xf numFmtId="0" fontId="40" fillId="6" borderId="0" xfId="0" applyFont="1" applyFill="1" applyAlignment="1">
      <alignment horizontal="left" vertical="top" wrapText="1"/>
    </xf>
    <xf numFmtId="0" fontId="8" fillId="5" borderId="0" xfId="4" applyFont="1" applyFill="1" applyAlignment="1">
      <alignment horizontal="left"/>
    </xf>
    <xf numFmtId="0" fontId="32" fillId="0" borderId="0" xfId="4" applyFont="1" applyAlignment="1">
      <alignment horizontal="center"/>
    </xf>
    <xf numFmtId="0" fontId="26" fillId="0" borderId="0" xfId="4" applyFont="1" applyAlignment="1">
      <alignment wrapText="1"/>
    </xf>
    <xf numFmtId="0" fontId="2" fillId="4" borderId="0" xfId="0" applyFont="1" applyFill="1" applyAlignment="1">
      <alignment horizontal="left" vertical="center" wrapText="1"/>
    </xf>
    <xf numFmtId="0" fontId="51" fillId="0" borderId="0" xfId="0" applyFont="1" applyBorder="1"/>
    <xf numFmtId="44" fontId="51" fillId="0" borderId="0" xfId="10" applyFont="1" applyBorder="1"/>
    <xf numFmtId="0" fontId="51" fillId="0" borderId="0" xfId="0" applyFont="1" applyFill="1" applyBorder="1"/>
  </cellXfs>
  <cellStyles count="11">
    <cellStyle name="Comma" xfId="8" builtinId="3"/>
    <cellStyle name="Comma 2" xfId="7" xr:uid="{6102235B-9E84-DD42-A213-58A59F23305B}"/>
    <cellStyle name="Currency" xfId="10" builtinId="4"/>
    <cellStyle name="Currency 2" xfId="6" xr:uid="{24DF7DDF-1FB8-0C48-BA06-F4990C83D821}"/>
    <cellStyle name="Hyperlink" xfId="9" builtinId="8"/>
    <cellStyle name="Invisible" xfId="3" xr:uid="{159FF721-6145-1D4E-9636-FE6852A604A0}"/>
    <cellStyle name="Normal" xfId="0" builtinId="0"/>
    <cellStyle name="Normal 2" xfId="2" xr:uid="{E84AEAAA-A6FB-8446-AD4D-88BA0BE1507C}"/>
    <cellStyle name="Normal 3" xfId="4" xr:uid="{15F909ED-4D1C-9B48-806D-80816BF8870F}"/>
    <cellStyle name="Percent" xfId="1" builtinId="5"/>
    <cellStyle name="Percent 2" xfId="5" xr:uid="{E37836E1-89AB-A845-9B8C-0DA4E0D0F081}"/>
  </cellStyles>
  <dxfs count="39">
    <dxf>
      <font>
        <strike val="0"/>
        <outline val="0"/>
        <shadow val="0"/>
        <u val="none"/>
        <vertAlign val="baseline"/>
        <sz val="12"/>
        <name val="Aptos Display"/>
        <scheme val="major"/>
      </font>
    </dxf>
    <dxf>
      <font>
        <strike val="0"/>
        <outline val="0"/>
        <shadow val="0"/>
        <u val="none"/>
        <vertAlign val="baseline"/>
        <sz val="12"/>
        <name val="Aptos Display"/>
        <scheme val="major"/>
      </font>
    </dxf>
    <dxf>
      <font>
        <strike val="0"/>
        <outline val="0"/>
        <shadow val="0"/>
        <u val="none"/>
        <vertAlign val="baseline"/>
        <sz val="12"/>
        <name val="Aptos Display"/>
        <scheme val="major"/>
      </font>
    </dxf>
    <dxf>
      <font>
        <strike val="0"/>
        <outline val="0"/>
        <shadow val="0"/>
        <u val="none"/>
        <vertAlign val="baseline"/>
        <sz val="12"/>
        <name val="Aptos Display"/>
        <scheme val="major"/>
      </font>
    </dxf>
    <dxf>
      <font>
        <strike val="0"/>
        <outline val="0"/>
        <shadow val="0"/>
        <u val="none"/>
        <vertAlign val="baseline"/>
        <sz val="12"/>
        <name val="Aptos Display"/>
        <scheme val="major"/>
      </font>
    </dxf>
    <dxf>
      <font>
        <strike val="0"/>
        <outline val="0"/>
        <shadow val="0"/>
        <u val="none"/>
        <vertAlign val="baseline"/>
        <sz val="12"/>
        <name val="Aptos Display"/>
        <scheme val="major"/>
      </font>
    </dxf>
    <dxf>
      <font>
        <strike val="0"/>
        <outline val="0"/>
        <shadow val="0"/>
        <u val="none"/>
        <vertAlign val="baseline"/>
        <sz val="12"/>
        <name val="Aptos Display"/>
        <scheme val="major"/>
      </font>
    </dxf>
    <dxf>
      <font>
        <strike val="0"/>
        <outline val="0"/>
        <shadow val="0"/>
        <u val="none"/>
        <vertAlign val="baseline"/>
        <sz val="12"/>
        <name val="Aptos Display"/>
        <scheme val="major"/>
      </font>
    </dxf>
    <dxf>
      <font>
        <strike val="0"/>
        <outline val="0"/>
        <shadow val="0"/>
        <u val="none"/>
        <vertAlign val="baseline"/>
        <sz val="12"/>
        <name val="Aptos Display"/>
        <scheme val="major"/>
      </font>
    </dxf>
    <dxf>
      <font>
        <strike val="0"/>
        <outline val="0"/>
        <shadow val="0"/>
        <u val="none"/>
        <vertAlign val="baseline"/>
        <sz val="12"/>
        <name val="Aptos Display"/>
        <scheme val="major"/>
      </font>
    </dxf>
    <dxf>
      <font>
        <b val="0"/>
        <i val="0"/>
        <strike val="0"/>
        <condense val="0"/>
        <extend val="0"/>
        <outline val="0"/>
        <shadow val="0"/>
        <u val="none"/>
        <vertAlign val="baseline"/>
        <sz val="12"/>
        <color indexed="8"/>
        <name val="Aptos Display"/>
        <scheme val="major"/>
      </font>
      <alignment horizontal="left" vertical="top" textRotation="0" wrapText="0" indent="0" justifyLastLine="0" shrinkToFit="0" readingOrder="0"/>
    </dxf>
    <dxf>
      <font>
        <strike val="0"/>
        <outline val="0"/>
        <shadow val="0"/>
        <u val="none"/>
        <vertAlign val="baseline"/>
        <sz val="12"/>
        <name val="Aptos Display"/>
        <scheme val="major"/>
      </font>
    </dxf>
    <dxf>
      <font>
        <b/>
        <i val="0"/>
        <strike val="0"/>
        <condense val="0"/>
        <extend val="0"/>
        <outline val="0"/>
        <shadow val="0"/>
        <u val="none"/>
        <vertAlign val="baseline"/>
        <sz val="12"/>
        <color theme="0"/>
        <name val="Aptos Display"/>
        <scheme val="major"/>
      </font>
      <fill>
        <patternFill patternType="solid">
          <fgColor indexed="64"/>
          <bgColor rgb="FF003365"/>
        </patternFill>
      </fill>
      <alignment horizontal="right" vertical="bottom"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left" vertical="top" textRotation="0" wrapText="0" indent="0" justifyLastLine="0" shrinkToFit="0" readingOrder="0"/>
    </dxf>
    <dxf>
      <font>
        <b val="0"/>
        <i val="0"/>
        <strike val="0"/>
        <condense val="0"/>
        <extend val="0"/>
        <outline val="0"/>
        <shadow val="0"/>
        <u val="none"/>
        <vertAlign val="baseline"/>
        <sz val="12"/>
        <color indexed="8"/>
        <name val="Aptos Display"/>
        <scheme val="major"/>
      </font>
      <numFmt numFmtId="176" formatCode="0.0"/>
      <alignment horizontal="right" vertical="top" textRotation="0" wrapText="1" indent="0" justifyLastLine="0" shrinkToFit="0" readingOrder="0"/>
    </dxf>
    <dxf>
      <font>
        <b/>
        <i val="0"/>
        <strike val="0"/>
        <condense val="0"/>
        <extend val="0"/>
        <outline val="0"/>
        <shadow val="0"/>
        <u val="none"/>
        <vertAlign val="baseline"/>
        <sz val="12"/>
        <color theme="0"/>
        <name val="Aptos Display"/>
        <scheme val="major"/>
      </font>
      <fill>
        <patternFill patternType="solid">
          <fgColor indexed="64"/>
          <bgColor rgb="FF007041"/>
        </patternFill>
      </fill>
      <alignment horizontal="right" vertical="bottom"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numFmt numFmtId="164" formatCode="_(* #,##0.0_);_(* \(#,##0.0\)_)\ ;_(* 0_)"/>
      <alignment horizontal="right" vertical="top" textRotation="0" wrapText="1" indent="0" justifyLastLine="0" shrinkToFit="0" readingOrder="0"/>
    </dxf>
    <dxf>
      <font>
        <b val="0"/>
        <i val="0"/>
        <strike val="0"/>
        <condense val="0"/>
        <extend val="0"/>
        <outline val="0"/>
        <shadow val="0"/>
        <u val="none"/>
        <vertAlign val="baseline"/>
        <sz val="12"/>
        <color indexed="8"/>
        <name val="Aptos Display"/>
        <scheme val="major"/>
      </font>
      <alignment horizontal="left" vertical="top" textRotation="0" wrapText="0" indent="0" justifyLastLine="0" shrinkToFit="0" readingOrder="0"/>
    </dxf>
    <dxf>
      <font>
        <b val="0"/>
        <i val="0"/>
        <strike val="0"/>
        <condense val="0"/>
        <extend val="0"/>
        <outline val="0"/>
        <shadow val="0"/>
        <u val="none"/>
        <vertAlign val="baseline"/>
        <sz val="12"/>
        <color indexed="8"/>
        <name val="Aptos Display"/>
        <scheme val="major"/>
      </font>
      <numFmt numFmtId="165" formatCode="mmm\-dd\-yyyy"/>
      <alignment horizontal="right" vertical="top" textRotation="0" wrapText="1" indent="0" justifyLastLine="0" shrinkToFit="0" readingOrder="0"/>
    </dxf>
    <dxf>
      <font>
        <b/>
        <i val="0"/>
        <strike val="0"/>
        <condense val="0"/>
        <extend val="0"/>
        <outline val="0"/>
        <shadow val="0"/>
        <u val="none"/>
        <vertAlign val="baseline"/>
        <sz val="12"/>
        <color theme="0"/>
        <name val="Aptos Display"/>
        <scheme val="major"/>
      </font>
      <numFmt numFmtId="165" formatCode="mmm\-dd\-yyyy"/>
      <fill>
        <patternFill patternType="solid">
          <fgColor indexed="64"/>
          <bgColor rgb="FF007041"/>
        </patternFill>
      </fill>
      <alignment horizontal="right" vertical="bottom" textRotation="0" wrapText="1" indent="0" justifyLastLine="0" shrinkToFit="0" readingOrder="0"/>
    </dxf>
  </dxfs>
  <tableStyles count="0" defaultTableStyle="TableStyleMedium2" defaultPivotStyle="PivotStyleLight16"/>
  <colors>
    <mruColors>
      <color rgb="FF007041"/>
      <color rgb="FF009C59"/>
      <color rgb="FF0033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mj-lt"/>
              </a:rPr>
              <a:t>Real Revenues and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'Forecasting Sales'!$A$3</c:f>
              <c:strCache>
                <c:ptCount val="1"/>
                <c:pt idx="0">
                  <c:v>Net Real Revenue (millions)</c:v>
                </c:pt>
              </c:strCache>
            </c:strRef>
          </c:tx>
          <c:spPr>
            <a:ln w="25400" cap="rnd">
              <a:noFill/>
              <a:round/>
            </a:ln>
            <a:effectLst/>
          </c:spPr>
          <c:marker>
            <c:symbol val="circle"/>
            <c:size val="5"/>
            <c:spPr>
              <a:solidFill>
                <a:schemeClr val="accent2"/>
              </a:solidFill>
              <a:ln w="9525">
                <a:solidFill>
                  <a:schemeClr val="accent2"/>
                </a:solidFill>
              </a:ln>
              <a:effectLst/>
            </c:spPr>
          </c:marker>
          <c:xVal>
            <c:numRef>
              <c:f>'Forecasting Sales'!$B$2:$K$2</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'Forecasting Sales'!$B$3:$K$3</c:f>
              <c:numCache>
                <c:formatCode>_(* #,##0.0_);_(* \(#,##0.0\);_(* "-"??_);_(@_)</c:formatCode>
                <c:ptCount val="10"/>
                <c:pt idx="0">
                  <c:v>25569.575873586306</c:v>
                </c:pt>
                <c:pt idx="1">
                  <c:v>27864.593838016499</c:v>
                </c:pt>
                <c:pt idx="2">
                  <c:v>28660.033157015139</c:v>
                </c:pt>
                <c:pt idx="3">
                  <c:v>31053.236626955859</c:v>
                </c:pt>
                <c:pt idx="4">
                  <c:v>32556.782799038039</c:v>
                </c:pt>
                <c:pt idx="5">
                  <c:v>28495.73619631902</c:v>
                </c:pt>
                <c:pt idx="6">
                  <c:v>32896.71760962977</c:v>
                </c:pt>
                <c:pt idx="7">
                  <c:v>34293.998697763112</c:v>
                </c:pt>
                <c:pt idx="8">
                  <c:v>37014.595913231147</c:v>
                </c:pt>
                <c:pt idx="9">
                  <c:v>36176.199999999997</c:v>
                </c:pt>
              </c:numCache>
            </c:numRef>
          </c:yVal>
          <c:smooth val="0"/>
          <c:extLst>
            <c:ext xmlns:c16="http://schemas.microsoft.com/office/drawing/2014/chart" uri="{C3380CC4-5D6E-409C-BE32-E72D297353CC}">
              <c16:uniqueId val="{00000000-69F7-1648-9239-94362CA89E13}"/>
            </c:ext>
          </c:extLst>
        </c:ser>
        <c:ser>
          <c:idx val="2"/>
          <c:order val="1"/>
          <c:tx>
            <c:strRef>
              <c:f>'Forecasting Sales'!$A$4</c:f>
              <c:strCache>
                <c:ptCount val="1"/>
                <c:pt idx="0">
                  <c:v>Net Real Operating Costs (millions)</c:v>
                </c:pt>
              </c:strCache>
            </c:strRef>
          </c:tx>
          <c:spPr>
            <a:ln w="25400" cap="rnd">
              <a:noFill/>
              <a:round/>
            </a:ln>
            <a:effectLst/>
          </c:spPr>
          <c:marker>
            <c:symbol val="circle"/>
            <c:size val="5"/>
            <c:spPr>
              <a:solidFill>
                <a:schemeClr val="accent3"/>
              </a:solidFill>
              <a:ln w="9525">
                <a:solidFill>
                  <a:schemeClr val="accent3"/>
                </a:solidFill>
              </a:ln>
              <a:effectLst/>
            </c:spPr>
          </c:marker>
          <c:xVal>
            <c:numRef>
              <c:f>'Forecasting Sales'!$B$2:$K$2</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'Forecasting Sales'!$B$4:$K$4</c:f>
              <c:numCache>
                <c:formatCode>_(* #,##0.0_);_(* \(#,##0.0\);_(* "-"??_);_(@_)</c:formatCode>
                <c:ptCount val="10"/>
                <c:pt idx="0">
                  <c:v>18712.531017862806</c:v>
                </c:pt>
                <c:pt idx="1">
                  <c:v>20262.711086351439</c:v>
                </c:pt>
                <c:pt idx="2">
                  <c:v>21081.641771186583</c:v>
                </c:pt>
                <c:pt idx="3">
                  <c:v>23133.873006332771</c:v>
                </c:pt>
                <c:pt idx="4">
                  <c:v>24364.592026819835</c:v>
                </c:pt>
                <c:pt idx="5">
                  <c:v>23088.719325153375</c:v>
                </c:pt>
                <c:pt idx="6">
                  <c:v>24310.466703969123</c:v>
                </c:pt>
                <c:pt idx="7">
                  <c:v>26489.076212023705</c:v>
                </c:pt>
                <c:pt idx="8">
                  <c:v>28524.993647838935</c:v>
                </c:pt>
                <c:pt idx="9">
                  <c:v>28020.1</c:v>
                </c:pt>
              </c:numCache>
            </c:numRef>
          </c:yVal>
          <c:smooth val="0"/>
          <c:extLst>
            <c:ext xmlns:c16="http://schemas.microsoft.com/office/drawing/2014/chart" uri="{C3380CC4-5D6E-409C-BE32-E72D297353CC}">
              <c16:uniqueId val="{00000001-69F7-1648-9239-94362CA89E13}"/>
            </c:ext>
          </c:extLst>
        </c:ser>
        <c:dLbls>
          <c:showLegendKey val="0"/>
          <c:showVal val="0"/>
          <c:showCatName val="0"/>
          <c:showSerName val="0"/>
          <c:showPercent val="0"/>
          <c:showBubbleSize val="0"/>
        </c:dLbls>
        <c:axId val="2031795567"/>
        <c:axId val="2031790287"/>
      </c:scatterChart>
      <c:valAx>
        <c:axId val="20317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90287"/>
        <c:crosses val="autoZero"/>
        <c:crossBetween val="midCat"/>
      </c:valAx>
      <c:valAx>
        <c:axId val="2031790287"/>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955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mj-lt"/>
              </a:rPr>
              <a:t>Real Revenues and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'Forecasting Costs'!$A$3</c:f>
              <c:strCache>
                <c:ptCount val="1"/>
                <c:pt idx="0">
                  <c:v>Net Real Revenue (millions)</c:v>
                </c:pt>
              </c:strCache>
            </c:strRef>
          </c:tx>
          <c:spPr>
            <a:ln w="25400" cap="rnd">
              <a:noFill/>
              <a:round/>
            </a:ln>
            <a:effectLst/>
          </c:spPr>
          <c:marker>
            <c:symbol val="circle"/>
            <c:size val="5"/>
            <c:spPr>
              <a:solidFill>
                <a:schemeClr val="accent2"/>
              </a:solidFill>
              <a:ln w="9525">
                <a:solidFill>
                  <a:schemeClr val="accent2"/>
                </a:solidFill>
              </a:ln>
              <a:effectLst/>
            </c:spPr>
          </c:marker>
          <c:xVal>
            <c:numRef>
              <c:f>'Forecasting Costs'!$B$2:$K$2</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'Forecasting Costs'!$B$3:$K$3</c:f>
              <c:numCache>
                <c:formatCode>_(* #,##0.0_);_(* \(#,##0.0\);_(* "-"??_);_(@_)</c:formatCode>
                <c:ptCount val="10"/>
                <c:pt idx="0">
                  <c:v>25569.575873586306</c:v>
                </c:pt>
                <c:pt idx="1">
                  <c:v>27864.593838016499</c:v>
                </c:pt>
                <c:pt idx="2">
                  <c:v>28660.033157015139</c:v>
                </c:pt>
                <c:pt idx="3">
                  <c:v>31053.236626955859</c:v>
                </c:pt>
                <c:pt idx="4">
                  <c:v>32556.782799038039</c:v>
                </c:pt>
                <c:pt idx="5">
                  <c:v>28495.73619631902</c:v>
                </c:pt>
                <c:pt idx="6">
                  <c:v>32896.71760962977</c:v>
                </c:pt>
                <c:pt idx="7">
                  <c:v>34293.998697763112</c:v>
                </c:pt>
                <c:pt idx="8">
                  <c:v>37014.595913231147</c:v>
                </c:pt>
                <c:pt idx="9">
                  <c:v>36176.199999999997</c:v>
                </c:pt>
              </c:numCache>
            </c:numRef>
          </c:yVal>
          <c:smooth val="0"/>
          <c:extLst>
            <c:ext xmlns:c16="http://schemas.microsoft.com/office/drawing/2014/chart" uri="{C3380CC4-5D6E-409C-BE32-E72D297353CC}">
              <c16:uniqueId val="{00000000-7482-E34A-A5BE-D2D70735C712}"/>
            </c:ext>
          </c:extLst>
        </c:ser>
        <c:ser>
          <c:idx val="2"/>
          <c:order val="1"/>
          <c:tx>
            <c:strRef>
              <c:f>'Forecasting Costs'!$A$4</c:f>
              <c:strCache>
                <c:ptCount val="1"/>
                <c:pt idx="0">
                  <c:v>Net Real Operating Costs (millions)</c:v>
                </c:pt>
              </c:strCache>
            </c:strRef>
          </c:tx>
          <c:spPr>
            <a:ln w="25400" cap="rnd">
              <a:noFill/>
              <a:round/>
            </a:ln>
            <a:effectLst/>
          </c:spPr>
          <c:marker>
            <c:symbol val="circle"/>
            <c:size val="5"/>
            <c:spPr>
              <a:solidFill>
                <a:schemeClr val="accent3"/>
              </a:solidFill>
              <a:ln w="9525">
                <a:solidFill>
                  <a:schemeClr val="accent3"/>
                </a:solidFill>
              </a:ln>
              <a:effectLst/>
            </c:spPr>
          </c:marker>
          <c:xVal>
            <c:numRef>
              <c:f>'Forecasting Costs'!$B$2:$K$2</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xVal>
          <c:yVal>
            <c:numRef>
              <c:f>'Forecasting Costs'!$B$4:$K$4</c:f>
              <c:numCache>
                <c:formatCode>_(* #,##0.0_);_(* \(#,##0.0\);_(* "-"??_);_(@_)</c:formatCode>
                <c:ptCount val="10"/>
                <c:pt idx="0">
                  <c:v>18712.531017862806</c:v>
                </c:pt>
                <c:pt idx="1">
                  <c:v>20262.711086351439</c:v>
                </c:pt>
                <c:pt idx="2">
                  <c:v>21081.641771186583</c:v>
                </c:pt>
                <c:pt idx="3">
                  <c:v>23133.873006332771</c:v>
                </c:pt>
                <c:pt idx="4">
                  <c:v>24364.592026819835</c:v>
                </c:pt>
                <c:pt idx="5">
                  <c:v>23088.719325153375</c:v>
                </c:pt>
                <c:pt idx="6">
                  <c:v>24310.466703969123</c:v>
                </c:pt>
                <c:pt idx="7">
                  <c:v>26489.076212023705</c:v>
                </c:pt>
                <c:pt idx="8">
                  <c:v>28524.993647838935</c:v>
                </c:pt>
                <c:pt idx="9">
                  <c:v>28020.1</c:v>
                </c:pt>
              </c:numCache>
            </c:numRef>
          </c:yVal>
          <c:smooth val="0"/>
          <c:extLst>
            <c:ext xmlns:c16="http://schemas.microsoft.com/office/drawing/2014/chart" uri="{C3380CC4-5D6E-409C-BE32-E72D297353CC}">
              <c16:uniqueId val="{00000001-7482-E34A-A5BE-D2D70735C712}"/>
            </c:ext>
          </c:extLst>
        </c:ser>
        <c:dLbls>
          <c:showLegendKey val="0"/>
          <c:showVal val="0"/>
          <c:showCatName val="0"/>
          <c:showSerName val="0"/>
          <c:showPercent val="0"/>
          <c:showBubbleSize val="0"/>
        </c:dLbls>
        <c:axId val="2031795567"/>
        <c:axId val="2031790287"/>
      </c:scatterChart>
      <c:valAx>
        <c:axId val="20317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90287"/>
        <c:crosses val="autoZero"/>
        <c:crossBetween val="midCat"/>
      </c:valAx>
      <c:valAx>
        <c:axId val="2031790287"/>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955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latin typeface="+mj-lt"/>
              </a:rPr>
              <a:t>Net Real Operating Costs as a Function of Net Real Revenues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'Forecasting Costs'!$C$21</c:f>
              <c:strCache>
                <c:ptCount val="1"/>
                <c:pt idx="0">
                  <c:v>Net Real Operating  Costs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'Forecasting Costs'!$B$22:$B$40</c:f>
              <c:numCache>
                <c:formatCode>_(* #,##0.0_);_(* \(#,##0.0\);_(* "-"??_);_(@_)</c:formatCode>
                <c:ptCount val="19"/>
                <c:pt idx="0">
                  <c:v>25569.575873586306</c:v>
                </c:pt>
                <c:pt idx="1">
                  <c:v>27864.593838016506</c:v>
                </c:pt>
                <c:pt idx="2">
                  <c:v>28660.033157015139</c:v>
                </c:pt>
                <c:pt idx="3">
                  <c:v>31053.236626955859</c:v>
                </c:pt>
                <c:pt idx="4">
                  <c:v>32556.782799038036</c:v>
                </c:pt>
                <c:pt idx="5">
                  <c:v>32896.71760962977</c:v>
                </c:pt>
                <c:pt idx="6">
                  <c:v>34293.998697763112</c:v>
                </c:pt>
                <c:pt idx="7">
                  <c:v>37014.595913231147</c:v>
                </c:pt>
                <c:pt idx="8">
                  <c:v>36176.199999999997</c:v>
                </c:pt>
                <c:pt idx="9">
                  <c:v>38288.669488809071</c:v>
                </c:pt>
                <c:pt idx="10">
                  <c:v>39458.915306489915</c:v>
                </c:pt>
                <c:pt idx="11">
                  <c:v>40629.161124170758</c:v>
                </c:pt>
                <c:pt idx="12">
                  <c:v>41799.406941851601</c:v>
                </c:pt>
                <c:pt idx="13">
                  <c:v>42969.652759532444</c:v>
                </c:pt>
                <c:pt idx="14">
                  <c:v>44139.898577213753</c:v>
                </c:pt>
                <c:pt idx="15">
                  <c:v>45310.144394894596</c:v>
                </c:pt>
                <c:pt idx="16">
                  <c:v>46480.390212575439</c:v>
                </c:pt>
                <c:pt idx="17">
                  <c:v>47650.636030256283</c:v>
                </c:pt>
                <c:pt idx="18">
                  <c:v>48820.881847937126</c:v>
                </c:pt>
              </c:numCache>
            </c:numRef>
          </c:xVal>
          <c:yVal>
            <c:numRef>
              <c:f>'Forecasting Costs'!$C$22:$C$40</c:f>
              <c:numCache>
                <c:formatCode>_(* #,##0.0_);_(* \(#,##0.0\);_(* "-"??_);_(@_)</c:formatCode>
                <c:ptCount val="19"/>
                <c:pt idx="0">
                  <c:v>10795.218820420676</c:v>
                </c:pt>
                <c:pt idx="1">
                  <c:v>11682.76552196892</c:v>
                </c:pt>
                <c:pt idx="2">
                  <c:v>9554.027169768462</c:v>
                </c:pt>
                <c:pt idx="3">
                  <c:v>579.37064796424045</c:v>
                </c:pt>
                <c:pt idx="4">
                  <c:v>548.74156140309913</c:v>
                </c:pt>
                <c:pt idx="5">
                  <c:v>555.7008002094675</c:v>
                </c:pt>
                <c:pt idx="6">
                  <c:v>621.11436604817425</c:v>
                </c:pt>
                <c:pt idx="7">
                  <c:v>1109.8534732319254</c:v>
                </c:pt>
                <c:pt idx="8">
                  <c:v>1010.7000000000003</c:v>
                </c:pt>
                <c:pt idx="9">
                  <c:v>-3070.8667830840932</c:v>
                </c:pt>
                <c:pt idx="10">
                  <c:v>-4352.7726512594527</c:v>
                </c:pt>
                <c:pt idx="11">
                  <c:v>-5634.6785194348122</c:v>
                </c:pt>
                <c:pt idx="12">
                  <c:v>-6916.5843876101644</c:v>
                </c:pt>
                <c:pt idx="13">
                  <c:v>-8198.4902557855239</c:v>
                </c:pt>
                <c:pt idx="14">
                  <c:v>-9480.3961239613927</c:v>
                </c:pt>
                <c:pt idx="15">
                  <c:v>-10762.301992136752</c:v>
                </c:pt>
                <c:pt idx="16">
                  <c:v>-12044.207860312104</c:v>
                </c:pt>
                <c:pt idx="17">
                  <c:v>-13326.113728487464</c:v>
                </c:pt>
                <c:pt idx="18">
                  <c:v>-14608.019596662823</c:v>
                </c:pt>
              </c:numCache>
            </c:numRef>
          </c:yVal>
          <c:smooth val="0"/>
          <c:extLst>
            <c:ext xmlns:c16="http://schemas.microsoft.com/office/drawing/2014/chart" uri="{C3380CC4-5D6E-409C-BE32-E72D297353CC}">
              <c16:uniqueId val="{00000000-D5C3-DC4C-923A-5DEA34D434E5}"/>
            </c:ext>
          </c:extLst>
        </c:ser>
        <c:dLbls>
          <c:showLegendKey val="0"/>
          <c:showVal val="0"/>
          <c:showCatName val="0"/>
          <c:showSerName val="0"/>
          <c:showPercent val="0"/>
          <c:showBubbleSize val="0"/>
        </c:dLbls>
        <c:axId val="534331648"/>
        <c:axId val="534333360"/>
      </c:scatterChart>
      <c:valAx>
        <c:axId val="534331648"/>
        <c:scaling>
          <c:orientation val="minMax"/>
        </c:scaling>
        <c:delete val="0"/>
        <c:axPos val="b"/>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33360"/>
        <c:crosses val="autoZero"/>
        <c:crossBetween val="midCat"/>
      </c:valAx>
      <c:valAx>
        <c:axId val="534333360"/>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31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7623156</xdr:colOff>
      <xdr:row>1</xdr:row>
      <xdr:rowOff>281250</xdr:rowOff>
    </xdr:from>
    <xdr:to>
      <xdr:col>3</xdr:col>
      <xdr:colOff>9385300</xdr:colOff>
      <xdr:row>6</xdr:row>
      <xdr:rowOff>260991</xdr:rowOff>
    </xdr:to>
    <xdr:pic>
      <xdr:nvPicPr>
        <xdr:cNvPr id="2" name="Picture 1">
          <a:extLst>
            <a:ext uri="{FF2B5EF4-FFF2-40B4-BE49-F238E27FC236}">
              <a16:creationId xmlns:a16="http://schemas.microsoft.com/office/drawing/2014/main" id="{94025905-5502-F9C4-8255-FCE92708F5E8}"/>
            </a:ext>
          </a:extLst>
        </xdr:cNvPr>
        <xdr:cNvPicPr>
          <a:picLocks noChangeAspect="1"/>
        </xdr:cNvPicPr>
      </xdr:nvPicPr>
      <xdr:blipFill>
        <a:blip xmlns:r="http://schemas.openxmlformats.org/officeDocument/2006/relationships" r:embed="rId1"/>
        <a:stretch>
          <a:fillRect/>
        </a:stretch>
      </xdr:blipFill>
      <xdr:spPr>
        <a:xfrm>
          <a:off x="16043256" y="471750"/>
          <a:ext cx="1762144" cy="15037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5</xdr:row>
      <xdr:rowOff>53974</xdr:rowOff>
    </xdr:from>
    <xdr:to>
      <xdr:col>8</xdr:col>
      <xdr:colOff>558800</xdr:colOff>
      <xdr:row>19</xdr:row>
      <xdr:rowOff>126999</xdr:rowOff>
    </xdr:to>
    <xdr:graphicFrame macro="">
      <xdr:nvGraphicFramePr>
        <xdr:cNvPr id="2" name="Chart 1">
          <a:extLst>
            <a:ext uri="{FF2B5EF4-FFF2-40B4-BE49-F238E27FC236}">
              <a16:creationId xmlns:a16="http://schemas.microsoft.com/office/drawing/2014/main" id="{1F9DB6AA-9B85-6140-9311-BA86B32B1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5</xdr:row>
      <xdr:rowOff>104775</xdr:rowOff>
    </xdr:from>
    <xdr:to>
      <xdr:col>9</xdr:col>
      <xdr:colOff>112712</xdr:colOff>
      <xdr:row>18</xdr:row>
      <xdr:rowOff>130175</xdr:rowOff>
    </xdr:to>
    <xdr:graphicFrame macro="">
      <xdr:nvGraphicFramePr>
        <xdr:cNvPr id="2" name="Chart 1">
          <a:extLst>
            <a:ext uri="{FF2B5EF4-FFF2-40B4-BE49-F238E27FC236}">
              <a16:creationId xmlns:a16="http://schemas.microsoft.com/office/drawing/2014/main" id="{F855A246-4313-634E-AAA6-802E2CA42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476250</xdr:colOff>
      <xdr:row>23</xdr:row>
      <xdr:rowOff>158750</xdr:rowOff>
    </xdr:from>
    <xdr:to>
      <xdr:col>12</xdr:col>
      <xdr:colOff>330200</xdr:colOff>
      <xdr:row>41</xdr:row>
      <xdr:rowOff>50800</xdr:rowOff>
    </xdr:to>
    <xdr:graphicFrame macro="">
      <xdr:nvGraphicFramePr>
        <xdr:cNvPr id="4" name="Chart 3">
          <a:extLst>
            <a:ext uri="{FF2B5EF4-FFF2-40B4-BE49-F238E27FC236}">
              <a16:creationId xmlns:a16="http://schemas.microsoft.com/office/drawing/2014/main" id="{44A94D38-CD9E-FD1E-608F-C1EC20F42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18143</xdr:colOff>
      <xdr:row>26</xdr:row>
      <xdr:rowOff>27214</xdr:rowOff>
    </xdr:from>
    <xdr:to>
      <xdr:col>14</xdr:col>
      <xdr:colOff>137885</xdr:colOff>
      <xdr:row>60</xdr:row>
      <xdr:rowOff>107042</xdr:rowOff>
    </xdr:to>
    <xdr:pic>
      <xdr:nvPicPr>
        <xdr:cNvPr id="2" name="Picture 1">
          <a:extLst>
            <a:ext uri="{FF2B5EF4-FFF2-40B4-BE49-F238E27FC236}">
              <a16:creationId xmlns:a16="http://schemas.microsoft.com/office/drawing/2014/main" id="{AEE46892-9E1D-40A1-F7FD-1AC65992F31D}"/>
            </a:ext>
          </a:extLst>
        </xdr:cNvPr>
        <xdr:cNvPicPr>
          <a:picLocks noChangeAspect="1"/>
        </xdr:cNvPicPr>
      </xdr:nvPicPr>
      <xdr:blipFill>
        <a:blip xmlns:r="http://schemas.openxmlformats.org/officeDocument/2006/relationships" r:embed="rId1"/>
        <a:stretch>
          <a:fillRect/>
        </a:stretch>
      </xdr:blipFill>
      <xdr:spPr>
        <a:xfrm>
          <a:off x="10468429" y="4853214"/>
          <a:ext cx="7594600" cy="68834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555E36-FAD1-D44D-B665-442E626EA36A}" name="Table2" displayName="Table2" ref="A3:K85" totalsRowShown="0" headerRowDxfId="38" dataDxfId="37" headerRowCellStyle="Normal 2" dataCellStyle="Normal 2">
  <tableColumns count="11">
    <tableColumn id="1" xr3:uid="{85142C9E-3287-7942-AF1A-B93BB4B605E0}" name="Balance Sheet as of:_x000a_" dataDxfId="36" dataCellStyle="Normal 2"/>
    <tableColumn id="2" xr3:uid="{6C04F2E5-4CD6-2146-9019-F8D9A1757B1F}" name="Sep-27-2015" dataDxfId="35" dataCellStyle="Normal 2"/>
    <tableColumn id="3" xr3:uid="{43E0DC0F-641D-B641-9A06-575B7169738F}" name="Oct-02-2016" dataDxfId="34" dataCellStyle="Normal 2"/>
    <tableColumn id="4" xr3:uid="{8D25473B-D9D7-DF42-8232-61BBAE9C41EE}" name="Oct-01-2017" dataDxfId="33" dataCellStyle="Normal 2"/>
    <tableColumn id="5" xr3:uid="{CD970446-78A9-2D4D-BC8A-95714C3B2580}" name="Sep-30-2018" dataDxfId="32" dataCellStyle="Normal 2"/>
    <tableColumn id="6" xr3:uid="{1E0D3C7C-E24F-EC41-A84D-74EC5BAD3B9B}" name="Sep-29-2019" dataDxfId="31" dataCellStyle="Normal 2"/>
    <tableColumn id="7" xr3:uid="{6E2A5849-3150-5E4A-88A9-F794B728C371}" name="Sep-27-2020" dataDxfId="30" dataCellStyle="Normal 2"/>
    <tableColumn id="8" xr3:uid="{A5B953AA-9760-D343-8510-F44A27AFDDBA}" name="Oct-03-2021" dataDxfId="29" dataCellStyle="Normal 2"/>
    <tableColumn id="9" xr3:uid="{9EACD87F-40F4-454E-A2AC-79C575C0CED1}" name="Oct-02-2022" dataDxfId="28" dataCellStyle="Normal 2"/>
    <tableColumn id="10" xr3:uid="{25134F41-1FBB-3A48-A4CD-79376FCCE371}" name="Oct-01-2023" dataDxfId="27" dataCellStyle="Normal 2"/>
    <tableColumn id="11" xr3:uid="{B2F26CD2-1633-FC46-BF49-B2E95053EBFA}" name="Sep-29-2024" dataDxfId="26"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7BDD52-65A1-154C-B8DB-2BD18269F178}" name="Table4" displayName="Table4" ref="A3:K91" totalsRowShown="0" headerRowDxfId="25" dataDxfId="24">
  <tableColumns count="11">
    <tableColumn id="1" xr3:uid="{CA0FDD1C-61AC-674B-8B21-472F9E399D96}" name="Income Statement For the Fiscal Period Ending_x000a_" dataDxfId="23"/>
    <tableColumn id="2" xr3:uid="{F502F12D-B445-704E-8556-344776BBA240}" name="Sep-27-2015" dataDxfId="22"/>
    <tableColumn id="3" xr3:uid="{6FB76C50-4A89-064E-8097-DFE473318D52}" name="_x000a_Oct-02-2016" dataDxfId="21"/>
    <tableColumn id="4" xr3:uid="{B7BE4D15-6EB2-994C-B3EF-DF852BF479F3}" name="_x000a_Oct-01-2017" dataDxfId="20"/>
    <tableColumn id="5" xr3:uid="{526FD4A7-D3B2-4C4F-8656-C6E297063DA2}" name="_x000a_Sep-30-2018" dataDxfId="19"/>
    <tableColumn id="6" xr3:uid="{AE0E6968-25BC-9143-8CE8-536424DD9368}" name="_x000a_Sep-29-2019" dataDxfId="18"/>
    <tableColumn id="7" xr3:uid="{DB975783-8981-BC42-9B8E-7574148C86D7}" name="_x000a_Sep-27-2020" dataDxfId="17"/>
    <tableColumn id="8" xr3:uid="{52982392-F57C-5D45-A0A9-79BD30664F83}" name="_x000a_Oct-03-2021" dataDxfId="16"/>
    <tableColumn id="9" xr3:uid="{42C9ACCE-2412-4D44-9C5A-F9CFCE5E2726}" name="_x000a_Oct-02-2022" dataDxfId="15"/>
    <tableColumn id="10" xr3:uid="{79082790-BF14-D046-A9BE-D71E4FA7AF40}" name="_x000a_Oct-01-2023" dataDxfId="14"/>
    <tableColumn id="11" xr3:uid="{9EBC9254-2EB9-5645-85F2-50EF456514DE}" name="_x000a_Sep-29-2024" data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1A2744-11BD-204C-B558-281A6EA17253}" name="Table5" displayName="Table5" ref="A3:K62" totalsRowShown="0" headerRowDxfId="12" dataDxfId="11">
  <tableColumns count="11">
    <tableColumn id="1" xr3:uid="{A69A0FF3-B17B-B04B-8CBD-BFA22185D479}" name="Cash Flow Statement For the Fiscal Period Ending_x000a_" dataDxfId="10"/>
    <tableColumn id="2" xr3:uid="{36B73C0B-B4D7-2348-98DA-14A5C24D20CB}" name="12 months_x000a_Sep-27-2015" dataDxfId="9"/>
    <tableColumn id="3" xr3:uid="{94565E51-5B88-CA41-8AF1-783324CA1628}" name="12 months_x000a_Oct-02-2016" dataDxfId="8"/>
    <tableColumn id="4" xr3:uid="{60E370BB-DBA2-1E4A-8E57-B08FB3C72583}" name="12 months_x000a_Oct-01-2017" dataDxfId="7"/>
    <tableColumn id="5" xr3:uid="{5E4D8C03-1BAB-1C4B-95DD-94D223986600}" name="12 months_x000a_Sep-30-2018" dataDxfId="6"/>
    <tableColumn id="6" xr3:uid="{A0B12E34-1291-0342-AB71-0288F9C6CD22}" name="12 months_x000a_Sep-29-2019" dataDxfId="5"/>
    <tableColumn id="7" xr3:uid="{A4929DD2-2BE4-2847-9C96-19432001E657}" name="12 months_x000a_Sep-27-2020" dataDxfId="4"/>
    <tableColumn id="8" xr3:uid="{4FF7D904-505C-0B46-A161-19495CA29C39}" name="12 months_x000a_Oct-03-2021" dataDxfId="3"/>
    <tableColumn id="9" xr3:uid="{3A214CF5-A713-B545-B051-3E5C0048AFB3}" name="12 months_x000a_Oct-02-2022" dataDxfId="2"/>
    <tableColumn id="10" xr3:uid="{F7608E46-2B3C-574F-873B-05585CCED961}" name="12 months_x000a_Oct-01-2023" dataDxfId="1"/>
    <tableColumn id="11" xr3:uid="{99C70ED5-DE97-C648-82E7-444E8799D11F}" name="12 months_x000a_Sep-29-202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pages.stern.nyu.edu/~adamodar/New_Home_Page/datafile/ctryprem.html"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0A65-4873-AB45-842E-B8E17897A7BC}">
  <dimension ref="B2:D44"/>
  <sheetViews>
    <sheetView showGridLines="0" tabSelected="1" zoomScaleNormal="100" workbookViewId="0">
      <selection activeCell="E6" sqref="E6"/>
    </sheetView>
  </sheetViews>
  <sheetFormatPr baseColWidth="10" defaultRowHeight="15"/>
  <cols>
    <col min="1" max="1" width="6" style="7" customWidth="1"/>
    <col min="2" max="2" width="31.1640625" style="7" customWidth="1"/>
    <col min="3" max="3" width="73.33203125" style="7" customWidth="1"/>
    <col min="4" max="4" width="125.83203125" style="7" customWidth="1"/>
    <col min="5" max="16384" width="10.83203125" style="7"/>
  </cols>
  <sheetData>
    <row r="2" spans="2:4" ht="24">
      <c r="B2" s="123" t="s">
        <v>500</v>
      </c>
      <c r="C2" s="124"/>
      <c r="D2" s="124"/>
    </row>
    <row r="3" spans="2:4" ht="24">
      <c r="B3" s="123" t="s">
        <v>502</v>
      </c>
      <c r="C3" s="125"/>
      <c r="D3" s="125"/>
    </row>
    <row r="4" spans="2:4" ht="24">
      <c r="B4" s="125" t="s">
        <v>494</v>
      </c>
      <c r="C4" s="125"/>
      <c r="D4" s="125"/>
    </row>
    <row r="5" spans="2:4" ht="24">
      <c r="B5" s="125"/>
      <c r="C5" s="125"/>
      <c r="D5" s="125"/>
    </row>
    <row r="6" spans="2:4" ht="24">
      <c r="B6" s="123" t="s">
        <v>503</v>
      </c>
      <c r="C6" s="125"/>
      <c r="D6" s="125"/>
    </row>
    <row r="7" spans="2:4" ht="24">
      <c r="B7" s="125" t="s">
        <v>495</v>
      </c>
      <c r="C7" s="125"/>
      <c r="D7" s="125"/>
    </row>
    <row r="8" spans="2:4" ht="24">
      <c r="B8" s="125" t="s">
        <v>496</v>
      </c>
      <c r="C8" s="125"/>
      <c r="D8" s="125"/>
    </row>
    <row r="9" spans="2:4" ht="24">
      <c r="B9" s="125"/>
      <c r="C9" s="125"/>
      <c r="D9" s="125"/>
    </row>
    <row r="10" spans="2:4" ht="24">
      <c r="B10" s="123" t="s">
        <v>501</v>
      </c>
      <c r="C10" s="125"/>
      <c r="D10" s="125"/>
    </row>
    <row r="11" spans="2:4" ht="24">
      <c r="B11" s="126" t="s">
        <v>1</v>
      </c>
      <c r="C11" s="126" t="s">
        <v>0</v>
      </c>
      <c r="D11" s="126" t="s">
        <v>2</v>
      </c>
    </row>
    <row r="12" spans="2:4" ht="24">
      <c r="B12" s="127" t="s">
        <v>3</v>
      </c>
      <c r="C12" s="127" t="s">
        <v>4</v>
      </c>
      <c r="D12" s="128">
        <v>0.73</v>
      </c>
    </row>
    <row r="13" spans="2:4" ht="24">
      <c r="B13" s="127" t="s">
        <v>5</v>
      </c>
      <c r="C13" s="127" t="s">
        <v>6</v>
      </c>
      <c r="D13" s="128">
        <v>0.23</v>
      </c>
    </row>
    <row r="14" spans="2:4" ht="24">
      <c r="B14" s="127" t="s">
        <v>7</v>
      </c>
      <c r="C14" s="127" t="s">
        <v>8</v>
      </c>
      <c r="D14" s="128">
        <v>0.04</v>
      </c>
    </row>
    <row r="15" spans="2:4" ht="24">
      <c r="B15" s="125"/>
      <c r="C15" s="125"/>
      <c r="D15" s="129"/>
    </row>
    <row r="16" spans="2:4" ht="24">
      <c r="B16" s="123" t="s">
        <v>509</v>
      </c>
      <c r="C16" s="125"/>
      <c r="D16" s="129"/>
    </row>
    <row r="17" spans="2:4" ht="24">
      <c r="B17" s="125" t="s">
        <v>497</v>
      </c>
      <c r="C17" s="125"/>
      <c r="D17" s="130"/>
    </row>
    <row r="18" spans="2:4" ht="24">
      <c r="B18" s="125" t="s">
        <v>595</v>
      </c>
      <c r="C18" s="125"/>
      <c r="D18" s="129"/>
    </row>
    <row r="19" spans="2:4" ht="24">
      <c r="B19" s="125" t="s">
        <v>498</v>
      </c>
      <c r="C19" s="125"/>
      <c r="D19" s="125"/>
    </row>
    <row r="20" spans="2:4" ht="24">
      <c r="B20" s="125" t="s">
        <v>499</v>
      </c>
      <c r="C20" s="125"/>
      <c r="D20" s="125"/>
    </row>
    <row r="21" spans="2:4" ht="24">
      <c r="B21" s="125" t="s">
        <v>507</v>
      </c>
      <c r="C21" s="125"/>
      <c r="D21" s="125"/>
    </row>
    <row r="22" spans="2:4" ht="24">
      <c r="B22" s="131"/>
      <c r="C22" s="131"/>
      <c r="D22" s="131"/>
    </row>
    <row r="23" spans="2:4" ht="24">
      <c r="B23" s="297" t="s">
        <v>581</v>
      </c>
      <c r="C23" s="298"/>
      <c r="D23" s="298"/>
    </row>
    <row r="24" spans="2:4" ht="87" customHeight="1">
      <c r="B24" s="302" t="s">
        <v>594</v>
      </c>
      <c r="C24" s="302"/>
      <c r="D24" s="302"/>
    </row>
    <row r="25" spans="2:4" ht="24">
      <c r="B25" s="297" t="s">
        <v>582</v>
      </c>
      <c r="C25" s="298"/>
      <c r="D25" s="298"/>
    </row>
    <row r="26" spans="2:4" ht="24">
      <c r="B26" s="298" t="s">
        <v>586</v>
      </c>
      <c r="C26" s="298"/>
      <c r="D26" s="298"/>
    </row>
    <row r="27" spans="2:4" ht="24">
      <c r="B27" s="298" t="s">
        <v>592</v>
      </c>
      <c r="C27" s="298"/>
      <c r="D27" s="298"/>
    </row>
    <row r="28" spans="2:4" ht="24">
      <c r="B28" s="298" t="s">
        <v>587</v>
      </c>
      <c r="C28" s="298"/>
      <c r="D28" s="298"/>
    </row>
    <row r="29" spans="2:4" ht="24">
      <c r="B29" s="298" t="s">
        <v>590</v>
      </c>
      <c r="C29" s="298"/>
      <c r="D29" s="298"/>
    </row>
    <row r="30" spans="2:4" ht="24">
      <c r="B30" s="298" t="s">
        <v>588</v>
      </c>
      <c r="C30" s="298"/>
      <c r="D30" s="298"/>
    </row>
    <row r="31" spans="2:4" ht="24">
      <c r="B31" s="298" t="s">
        <v>589</v>
      </c>
      <c r="C31" s="298"/>
      <c r="D31" s="298"/>
    </row>
    <row r="32" spans="2:4" ht="24">
      <c r="B32" s="298"/>
      <c r="C32" s="298"/>
      <c r="D32" s="298"/>
    </row>
    <row r="33" spans="2:4" ht="24">
      <c r="B33" s="297" t="s">
        <v>583</v>
      </c>
      <c r="C33" s="298"/>
      <c r="D33" s="298"/>
    </row>
    <row r="34" spans="2:4" ht="24">
      <c r="B34" s="298" t="s">
        <v>575</v>
      </c>
      <c r="C34" s="298"/>
      <c r="D34" s="298"/>
    </row>
    <row r="35" spans="2:4" ht="24">
      <c r="B35" s="298" t="s">
        <v>576</v>
      </c>
      <c r="C35" s="298"/>
      <c r="D35" s="298"/>
    </row>
    <row r="36" spans="2:4" ht="24">
      <c r="B36" s="298" t="s">
        <v>577</v>
      </c>
      <c r="C36" s="298"/>
      <c r="D36" s="298"/>
    </row>
    <row r="37" spans="2:4" ht="24">
      <c r="B37" s="298" t="s">
        <v>578</v>
      </c>
      <c r="C37" s="298"/>
      <c r="D37" s="298"/>
    </row>
    <row r="38" spans="2:4" ht="78" customHeight="1">
      <c r="B38" s="302" t="s">
        <v>593</v>
      </c>
      <c r="C38" s="302"/>
      <c r="D38" s="302"/>
    </row>
    <row r="39" spans="2:4" ht="72" customHeight="1">
      <c r="B39" s="302" t="s">
        <v>591</v>
      </c>
      <c r="C39" s="302"/>
      <c r="D39" s="302"/>
    </row>
    <row r="40" spans="2:4" ht="24">
      <c r="B40" s="298"/>
      <c r="C40" s="298"/>
      <c r="D40" s="298"/>
    </row>
    <row r="41" spans="2:4" ht="24">
      <c r="B41" s="297" t="s">
        <v>584</v>
      </c>
      <c r="C41" s="298"/>
      <c r="D41" s="298"/>
    </row>
    <row r="42" spans="2:4" ht="24">
      <c r="B42" s="298" t="s">
        <v>579</v>
      </c>
      <c r="C42" s="298"/>
      <c r="D42" s="298"/>
    </row>
    <row r="43" spans="2:4" ht="24">
      <c r="B43" s="298" t="s">
        <v>596</v>
      </c>
      <c r="C43" s="298"/>
      <c r="D43" s="298"/>
    </row>
    <row r="44" spans="2:4" ht="24">
      <c r="B44" s="298" t="s">
        <v>580</v>
      </c>
      <c r="C44" s="298"/>
      <c r="D44" s="298"/>
    </row>
  </sheetData>
  <mergeCells count="3">
    <mergeCell ref="B24:D24"/>
    <mergeCell ref="B38:D38"/>
    <mergeCell ref="B39:D39"/>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34E7-1BFC-DD45-AF7A-C6585848DB1E}">
  <sheetPr>
    <outlinePr summaryBelow="0" summaryRight="0"/>
    <pageSetUpPr autoPageBreaks="0"/>
  </sheetPr>
  <dimension ref="A2:ID87"/>
  <sheetViews>
    <sheetView showGridLines="0" workbookViewId="0">
      <pane xSplit="1" topLeftCell="B1" activePane="topRight" state="frozen"/>
      <selection pane="topRight" activeCell="K64" sqref="K64"/>
    </sheetView>
  </sheetViews>
  <sheetFormatPr baseColWidth="10" defaultRowHeight="15"/>
  <cols>
    <col min="1" max="1" width="45.83203125" style="4" customWidth="1"/>
    <col min="2" max="2" width="11.6640625" style="4" bestFit="1" customWidth="1"/>
    <col min="3" max="10" width="14.83203125" style="4" customWidth="1"/>
    <col min="11" max="11" width="15.5" style="4" customWidth="1"/>
    <col min="12" max="239" width="8.83203125" style="4" customWidth="1"/>
    <col min="240" max="16384" width="10.83203125" style="4"/>
  </cols>
  <sheetData>
    <row r="2" spans="1:238">
      <c r="A2" s="120" t="s">
        <v>38</v>
      </c>
      <c r="B2" s="120"/>
      <c r="C2" s="120"/>
      <c r="D2" s="120"/>
      <c r="E2" s="120"/>
      <c r="F2" s="120"/>
      <c r="G2" s="120"/>
      <c r="H2" s="120"/>
      <c r="I2" s="120"/>
      <c r="J2" s="120"/>
      <c r="K2" s="120"/>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row>
    <row r="3" spans="1:238" s="5" customFormat="1" ht="32">
      <c r="A3" s="118" t="s">
        <v>27</v>
      </c>
      <c r="B3" s="119" t="s">
        <v>28</v>
      </c>
      <c r="C3" s="119" t="s">
        <v>29</v>
      </c>
      <c r="D3" s="119" t="s">
        <v>30</v>
      </c>
      <c r="E3" s="119" t="s">
        <v>31</v>
      </c>
      <c r="F3" s="119" t="s">
        <v>32</v>
      </c>
      <c r="G3" s="119" t="s">
        <v>33</v>
      </c>
      <c r="H3" s="119" t="s">
        <v>34</v>
      </c>
      <c r="I3" s="119" t="s">
        <v>35</v>
      </c>
      <c r="J3" s="119" t="s">
        <v>36</v>
      </c>
      <c r="K3" s="119" t="s">
        <v>37</v>
      </c>
    </row>
    <row r="4" spans="1:238" s="5" customFormat="1">
      <c r="A4" s="10" t="s">
        <v>13</v>
      </c>
      <c r="B4" s="122"/>
      <c r="C4" s="122"/>
      <c r="D4" s="122"/>
      <c r="E4" s="122"/>
      <c r="F4" s="122"/>
      <c r="G4" s="122"/>
      <c r="H4" s="122"/>
      <c r="I4" s="122"/>
      <c r="J4" s="122"/>
      <c r="K4" s="122"/>
    </row>
    <row r="5" spans="1:238">
      <c r="A5" s="35" t="s">
        <v>26</v>
      </c>
      <c r="B5" s="36"/>
      <c r="C5" s="36"/>
      <c r="D5" s="36"/>
      <c r="E5" s="36"/>
      <c r="F5" s="36"/>
      <c r="G5" s="36"/>
      <c r="H5" s="36"/>
      <c r="I5" s="36"/>
      <c r="J5" s="36"/>
      <c r="K5" s="36"/>
    </row>
    <row r="6" spans="1:238">
      <c r="A6" s="36" t="s">
        <v>25</v>
      </c>
      <c r="B6" s="136">
        <v>1530.1</v>
      </c>
      <c r="C6" s="136">
        <v>2128.8000000000002</v>
      </c>
      <c r="D6" s="136">
        <v>2462.3000000000002</v>
      </c>
      <c r="E6" s="136">
        <v>8756.2999999999993</v>
      </c>
      <c r="F6" s="136">
        <v>2686.6</v>
      </c>
      <c r="G6" s="136">
        <v>4350.8999999999996</v>
      </c>
      <c r="H6" s="136">
        <v>6455.7</v>
      </c>
      <c r="I6" s="136">
        <v>2818.4</v>
      </c>
      <c r="J6" s="136">
        <v>3551.5</v>
      </c>
      <c r="K6" s="136">
        <v>3286.2</v>
      </c>
    </row>
    <row r="7" spans="1:238">
      <c r="A7" s="36" t="s">
        <v>24</v>
      </c>
      <c r="B7" s="136">
        <v>81.3</v>
      </c>
      <c r="C7" s="136">
        <v>134.4</v>
      </c>
      <c r="D7" s="136">
        <v>228.6</v>
      </c>
      <c r="E7" s="136">
        <v>181.5</v>
      </c>
      <c r="F7" s="136">
        <v>70.5</v>
      </c>
      <c r="G7" s="136">
        <v>281.2</v>
      </c>
      <c r="H7" s="136">
        <v>162.19999999999999</v>
      </c>
      <c r="I7" s="136">
        <v>364.5</v>
      </c>
      <c r="J7" s="136">
        <v>401.5</v>
      </c>
      <c r="K7" s="136">
        <v>257</v>
      </c>
    </row>
    <row r="8" spans="1:238">
      <c r="A8" s="38" t="s">
        <v>333</v>
      </c>
      <c r="B8" s="137">
        <v>0</v>
      </c>
      <c r="C8" s="137">
        <v>0</v>
      </c>
      <c r="D8" s="137">
        <v>0</v>
      </c>
      <c r="E8" s="137">
        <v>0</v>
      </c>
      <c r="F8" s="137">
        <v>0</v>
      </c>
      <c r="G8" s="137">
        <v>0</v>
      </c>
      <c r="H8" s="137">
        <v>0</v>
      </c>
      <c r="I8" s="137">
        <v>0</v>
      </c>
      <c r="J8" s="137">
        <v>0.4</v>
      </c>
      <c r="K8" s="137">
        <v>0</v>
      </c>
    </row>
    <row r="9" spans="1:238" s="34" customFormat="1">
      <c r="A9" s="10" t="s">
        <v>367</v>
      </c>
      <c r="B9" s="138">
        <f>SUM(B6:B8)</f>
        <v>1611.3999999999999</v>
      </c>
      <c r="C9" s="138">
        <f t="shared" ref="C9:K9" si="0">SUM(C6:C8)</f>
        <v>2263.2000000000003</v>
      </c>
      <c r="D9" s="138">
        <f t="shared" si="0"/>
        <v>2690.9</v>
      </c>
      <c r="E9" s="138">
        <f t="shared" si="0"/>
        <v>8937.7999999999993</v>
      </c>
      <c r="F9" s="138">
        <f t="shared" si="0"/>
        <v>2757.1</v>
      </c>
      <c r="G9" s="138">
        <f t="shared" si="0"/>
        <v>4632.0999999999995</v>
      </c>
      <c r="H9" s="138">
        <f t="shared" si="0"/>
        <v>6617.9</v>
      </c>
      <c r="I9" s="138">
        <f t="shared" si="0"/>
        <v>3182.9</v>
      </c>
      <c r="J9" s="138">
        <f t="shared" si="0"/>
        <v>3953.4</v>
      </c>
      <c r="K9" s="138">
        <f t="shared" si="0"/>
        <v>3543.2</v>
      </c>
    </row>
    <row r="10" spans="1:238">
      <c r="A10" s="39" t="s">
        <v>365</v>
      </c>
      <c r="B10" s="136">
        <v>719</v>
      </c>
      <c r="C10" s="136">
        <v>768.8</v>
      </c>
      <c r="D10" s="136">
        <v>870.4</v>
      </c>
      <c r="E10" s="136">
        <v>693.1</v>
      </c>
      <c r="F10" s="136">
        <v>879.2</v>
      </c>
      <c r="G10" s="136">
        <v>883.4</v>
      </c>
      <c r="H10" s="136">
        <v>940</v>
      </c>
      <c r="I10" s="136">
        <v>1175.5</v>
      </c>
      <c r="J10" s="136">
        <v>1184.0999999999999</v>
      </c>
      <c r="K10" s="136">
        <v>1213.8</v>
      </c>
    </row>
    <row r="11" spans="1:238">
      <c r="A11" s="39" t="s">
        <v>364</v>
      </c>
      <c r="B11" s="136">
        <v>0</v>
      </c>
      <c r="C11" s="136">
        <v>0</v>
      </c>
      <c r="D11" s="136">
        <v>68</v>
      </c>
      <c r="E11" s="136">
        <v>955.4</v>
      </c>
      <c r="F11" s="136">
        <v>141.1</v>
      </c>
      <c r="G11" s="136">
        <v>512</v>
      </c>
      <c r="H11" s="136">
        <v>193.1</v>
      </c>
      <c r="I11" s="136">
        <v>69.400000000000006</v>
      </c>
      <c r="J11" s="136">
        <v>0</v>
      </c>
      <c r="K11" s="136">
        <v>0</v>
      </c>
    </row>
    <row r="12" spans="1:238">
      <c r="A12" s="35" t="s">
        <v>306</v>
      </c>
      <c r="B12" s="138">
        <f>SUM(B10:B11)</f>
        <v>719</v>
      </c>
      <c r="C12" s="138">
        <f t="shared" ref="C12:K12" si="1">SUM(C10:C11)</f>
        <v>768.8</v>
      </c>
      <c r="D12" s="138">
        <f t="shared" si="1"/>
        <v>938.4</v>
      </c>
      <c r="E12" s="138">
        <f t="shared" si="1"/>
        <v>1648.5</v>
      </c>
      <c r="F12" s="138">
        <f t="shared" si="1"/>
        <v>1020.3000000000001</v>
      </c>
      <c r="G12" s="138">
        <f t="shared" si="1"/>
        <v>1395.4</v>
      </c>
      <c r="H12" s="138">
        <f t="shared" si="1"/>
        <v>1133.0999999999999</v>
      </c>
      <c r="I12" s="138">
        <f t="shared" si="1"/>
        <v>1244.9000000000001</v>
      </c>
      <c r="J12" s="138">
        <f t="shared" si="1"/>
        <v>1184.0999999999999</v>
      </c>
      <c r="K12" s="138">
        <f t="shared" si="1"/>
        <v>1213.8</v>
      </c>
    </row>
    <row r="13" spans="1:238">
      <c r="A13" s="36" t="s">
        <v>23</v>
      </c>
      <c r="B13" s="136">
        <v>1306.4000000000001</v>
      </c>
      <c r="C13" s="136">
        <v>1378.5</v>
      </c>
      <c r="D13" s="136">
        <v>1364</v>
      </c>
      <c r="E13" s="136">
        <v>1400.5</v>
      </c>
      <c r="F13" s="136">
        <v>1529.4</v>
      </c>
      <c r="G13" s="136">
        <v>1551.4</v>
      </c>
      <c r="H13" s="136">
        <v>1603.9</v>
      </c>
      <c r="I13" s="136">
        <v>2176.6</v>
      </c>
      <c r="J13" s="136">
        <v>1806.4</v>
      </c>
      <c r="K13" s="136">
        <v>1777.3</v>
      </c>
    </row>
    <row r="14" spans="1:238">
      <c r="A14" s="39" t="s">
        <v>366</v>
      </c>
      <c r="B14" s="136">
        <v>283.39999999999998</v>
      </c>
      <c r="C14" s="136">
        <v>319.7</v>
      </c>
      <c r="D14" s="136">
        <v>276.7</v>
      </c>
      <c r="E14" s="136">
        <v>482.9</v>
      </c>
      <c r="F14" s="136">
        <v>334.5</v>
      </c>
      <c r="G14" s="136">
        <v>211.9</v>
      </c>
      <c r="H14" s="136">
        <v>253.9</v>
      </c>
      <c r="I14" s="136">
        <v>339.2</v>
      </c>
      <c r="J14" s="136">
        <v>298.3</v>
      </c>
      <c r="K14" s="136">
        <v>292</v>
      </c>
    </row>
    <row r="15" spans="1:238">
      <c r="A15" s="39" t="s">
        <v>334</v>
      </c>
      <c r="B15" s="136">
        <v>0</v>
      </c>
      <c r="C15" s="136">
        <v>0</v>
      </c>
      <c r="D15" s="136">
        <v>0</v>
      </c>
      <c r="E15" s="136">
        <v>0</v>
      </c>
      <c r="F15" s="136">
        <v>0</v>
      </c>
      <c r="G15" s="136">
        <v>0</v>
      </c>
      <c r="H15" s="136">
        <v>0</v>
      </c>
      <c r="I15" s="136">
        <v>0</v>
      </c>
      <c r="J15" s="136">
        <v>20.6</v>
      </c>
      <c r="K15" s="136">
        <v>12.4</v>
      </c>
    </row>
    <row r="16" spans="1:238">
      <c r="A16" s="39" t="s">
        <v>227</v>
      </c>
      <c r="B16" s="136">
        <v>50.8</v>
      </c>
      <c r="C16" s="136">
        <v>27.7</v>
      </c>
      <c r="D16" s="136">
        <v>13.4</v>
      </c>
      <c r="E16" s="136">
        <v>24.5</v>
      </c>
      <c r="F16" s="136">
        <v>12.6</v>
      </c>
      <c r="G16" s="136">
        <v>15.6</v>
      </c>
      <c r="H16" s="136">
        <v>147.6</v>
      </c>
      <c r="I16" s="136">
        <v>75.099999999999994</v>
      </c>
      <c r="J16" s="136">
        <v>40.6</v>
      </c>
      <c r="K16" s="136">
        <v>8.6999999999999993</v>
      </c>
    </row>
    <row r="17" spans="1:11">
      <c r="A17" s="35" t="s">
        <v>368</v>
      </c>
      <c r="B17" s="139">
        <f t="shared" ref="B17:K17" si="2">B9+B12+SUM(B13:B16)</f>
        <v>3971</v>
      </c>
      <c r="C17" s="139">
        <f t="shared" si="2"/>
        <v>4757.8999999999996</v>
      </c>
      <c r="D17" s="139">
        <f t="shared" si="2"/>
        <v>5283.4000000000005</v>
      </c>
      <c r="E17" s="139">
        <f t="shared" si="2"/>
        <v>12494.199999999999</v>
      </c>
      <c r="F17" s="139">
        <f t="shared" si="2"/>
        <v>5653.9</v>
      </c>
      <c r="G17" s="139">
        <f t="shared" si="2"/>
        <v>7806.4</v>
      </c>
      <c r="H17" s="139">
        <f t="shared" si="2"/>
        <v>9756.4</v>
      </c>
      <c r="I17" s="139">
        <f t="shared" si="2"/>
        <v>7018.7</v>
      </c>
      <c r="J17" s="139">
        <f t="shared" si="2"/>
        <v>7303.4</v>
      </c>
      <c r="K17" s="139">
        <f t="shared" si="2"/>
        <v>6847.4</v>
      </c>
    </row>
    <row r="18" spans="1:11">
      <c r="A18" s="36"/>
      <c r="B18" s="140"/>
      <c r="C18" s="140"/>
      <c r="D18" s="140"/>
      <c r="E18" s="140"/>
      <c r="F18" s="140"/>
      <c r="G18" s="140"/>
      <c r="H18" s="140"/>
      <c r="I18" s="140"/>
      <c r="J18" s="140"/>
      <c r="K18" s="140"/>
    </row>
    <row r="19" spans="1:11">
      <c r="A19" s="35" t="s">
        <v>20</v>
      </c>
      <c r="B19" s="140"/>
      <c r="C19" s="140"/>
      <c r="D19" s="140"/>
      <c r="E19" s="140"/>
      <c r="F19" s="140"/>
      <c r="G19" s="140"/>
      <c r="H19" s="140"/>
      <c r="I19" s="140"/>
      <c r="J19" s="140"/>
      <c r="K19" s="140"/>
    </row>
    <row r="20" spans="1:11">
      <c r="A20" s="40" t="s">
        <v>257</v>
      </c>
      <c r="B20" s="136">
        <v>9641.7999999999993</v>
      </c>
      <c r="C20" s="136">
        <v>10573.3</v>
      </c>
      <c r="D20" s="136">
        <v>11584</v>
      </c>
      <c r="E20" s="136">
        <v>13197.1</v>
      </c>
      <c r="F20" s="136">
        <v>14273.5</v>
      </c>
      <c r="G20" s="136">
        <v>22289.4</v>
      </c>
      <c r="H20" s="136">
        <v>23064.799999999999</v>
      </c>
      <c r="I20" s="136">
        <v>23625.4</v>
      </c>
      <c r="J20" s="136">
        <v>25722.799999999999</v>
      </c>
      <c r="K20" s="136">
        <v>28727.200000000001</v>
      </c>
    </row>
    <row r="21" spans="1:11">
      <c r="A21" s="40" t="s">
        <v>308</v>
      </c>
      <c r="B21" s="136">
        <v>5553.5</v>
      </c>
      <c r="C21" s="136">
        <v>6039.5</v>
      </c>
      <c r="D21" s="136">
        <v>6664.5</v>
      </c>
      <c r="E21" s="136">
        <v>7268</v>
      </c>
      <c r="F21" s="136">
        <v>7841.8</v>
      </c>
      <c r="G21" s="136">
        <v>7913.9</v>
      </c>
      <c r="H21" s="136">
        <v>8459.2999999999993</v>
      </c>
      <c r="I21" s="136">
        <v>9049.2999999999993</v>
      </c>
      <c r="J21" s="136">
        <v>9923.1</v>
      </c>
      <c r="K21" s="136">
        <v>10775.5</v>
      </c>
    </row>
    <row r="22" spans="1:11">
      <c r="A22" s="10" t="s">
        <v>369</v>
      </c>
      <c r="B22" s="138">
        <f>B20-B21</f>
        <v>4088.2999999999993</v>
      </c>
      <c r="C22" s="138">
        <f t="shared" ref="C22:K22" si="3">C20-C21</f>
        <v>4533.7999999999993</v>
      </c>
      <c r="D22" s="138">
        <f t="shared" si="3"/>
        <v>4919.5</v>
      </c>
      <c r="E22" s="138">
        <f t="shared" si="3"/>
        <v>5929.1</v>
      </c>
      <c r="F22" s="138">
        <f t="shared" si="3"/>
        <v>6431.7</v>
      </c>
      <c r="G22" s="138">
        <f t="shared" si="3"/>
        <v>14375.500000000002</v>
      </c>
      <c r="H22" s="138">
        <f t="shared" si="3"/>
        <v>14605.5</v>
      </c>
      <c r="I22" s="138">
        <f t="shared" si="3"/>
        <v>14576.100000000002</v>
      </c>
      <c r="J22" s="138">
        <f t="shared" si="3"/>
        <v>15799.699999999999</v>
      </c>
      <c r="K22" s="138">
        <f t="shared" si="3"/>
        <v>17951.7</v>
      </c>
    </row>
    <row r="23" spans="1:11">
      <c r="A23" s="11"/>
      <c r="B23" s="140"/>
      <c r="C23" s="140"/>
      <c r="D23" s="140"/>
      <c r="E23" s="140"/>
      <c r="F23" s="140"/>
      <c r="G23" s="140"/>
      <c r="H23" s="140"/>
      <c r="I23" s="140"/>
      <c r="J23" s="140"/>
      <c r="K23" s="140"/>
    </row>
    <row r="24" spans="1:11">
      <c r="A24" s="11" t="s">
        <v>259</v>
      </c>
      <c r="B24" s="136">
        <v>664.5</v>
      </c>
      <c r="C24" s="136">
        <v>1496.2</v>
      </c>
      <c r="D24" s="136">
        <v>1023.9</v>
      </c>
      <c r="E24" s="136">
        <v>602.4</v>
      </c>
      <c r="F24" s="136">
        <v>634.29999999999995</v>
      </c>
      <c r="G24" s="136">
        <v>730.6</v>
      </c>
      <c r="H24" s="136">
        <v>572.9</v>
      </c>
      <c r="I24" s="136">
        <v>590.29999999999995</v>
      </c>
      <c r="J24" s="136">
        <v>687.3</v>
      </c>
      <c r="K24" s="136">
        <v>739.9</v>
      </c>
    </row>
    <row r="25" spans="1:11">
      <c r="A25" s="11" t="s">
        <v>12</v>
      </c>
      <c r="B25" s="136">
        <v>1575.4</v>
      </c>
      <c r="C25" s="136">
        <v>1719.6</v>
      </c>
      <c r="D25" s="136">
        <v>1539.2</v>
      </c>
      <c r="E25" s="136">
        <v>3541.6</v>
      </c>
      <c r="F25" s="136">
        <v>3490.8</v>
      </c>
      <c r="G25" s="136">
        <v>3597.2</v>
      </c>
      <c r="H25" s="136">
        <v>3677.3</v>
      </c>
      <c r="I25" s="136">
        <v>3283.5</v>
      </c>
      <c r="J25" s="136">
        <v>3218.3</v>
      </c>
      <c r="K25" s="136">
        <v>3315.7</v>
      </c>
    </row>
    <row r="26" spans="1:11">
      <c r="A26" s="11" t="s">
        <v>260</v>
      </c>
      <c r="B26" s="136">
        <v>520.4</v>
      </c>
      <c r="C26" s="136">
        <v>516.29999999999995</v>
      </c>
      <c r="D26" s="136">
        <v>441.4</v>
      </c>
      <c r="E26" s="136">
        <v>1042.2</v>
      </c>
      <c r="F26" s="136">
        <v>781.8</v>
      </c>
      <c r="G26" s="136">
        <v>552.1</v>
      </c>
      <c r="H26" s="136">
        <v>349.9</v>
      </c>
      <c r="I26" s="136">
        <v>155.9</v>
      </c>
      <c r="J26" s="136">
        <v>120.5</v>
      </c>
      <c r="K26" s="136">
        <v>100.9</v>
      </c>
    </row>
    <row r="27" spans="1:11">
      <c r="A27" s="11" t="s">
        <v>335</v>
      </c>
      <c r="B27" s="136">
        <v>1180.8</v>
      </c>
      <c r="C27" s="136">
        <v>885.4</v>
      </c>
      <c r="D27" s="136">
        <v>795.4</v>
      </c>
      <c r="E27" s="136">
        <v>134.69999999999999</v>
      </c>
      <c r="F27" s="136">
        <v>1765.8</v>
      </c>
      <c r="G27" s="136">
        <v>1789.9</v>
      </c>
      <c r="H27" s="136">
        <v>1874.8</v>
      </c>
      <c r="I27" s="136">
        <v>1799.7</v>
      </c>
      <c r="J27" s="136">
        <v>1769.8</v>
      </c>
      <c r="K27" s="136">
        <v>1766.7</v>
      </c>
    </row>
    <row r="28" spans="1:11">
      <c r="A28" s="11" t="s">
        <v>262</v>
      </c>
      <c r="B28" s="136">
        <v>415.9</v>
      </c>
      <c r="C28" s="136">
        <v>403.3</v>
      </c>
      <c r="D28" s="136">
        <v>362.8</v>
      </c>
      <c r="E28" s="136">
        <v>412.2</v>
      </c>
      <c r="F28" s="136">
        <v>461.3</v>
      </c>
      <c r="G28" s="136">
        <v>522.79999999999995</v>
      </c>
      <c r="H28" s="136">
        <v>555.79999999999995</v>
      </c>
      <c r="I28" s="136">
        <v>554.20000000000005</v>
      </c>
      <c r="J28" s="136">
        <v>546.5</v>
      </c>
      <c r="K28" s="136">
        <v>617</v>
      </c>
    </row>
    <row r="29" spans="1:11" ht="16" thickBot="1">
      <c r="A29" s="132" t="s">
        <v>310</v>
      </c>
      <c r="B29" s="133">
        <f>B17+SUM(B24:B28)+B22</f>
        <v>12416.3</v>
      </c>
      <c r="C29" s="133">
        <f>C17+SUM(C24:C28)+C22</f>
        <v>14312.5</v>
      </c>
      <c r="D29" s="133">
        <f t="shared" ref="D29:K29" si="4">D17+SUM(D24:D28)+D22</f>
        <v>14365.6</v>
      </c>
      <c r="E29" s="133">
        <f t="shared" si="4"/>
        <v>24156.400000000001</v>
      </c>
      <c r="F29" s="133">
        <f t="shared" si="4"/>
        <v>19219.600000000002</v>
      </c>
      <c r="G29" s="133">
        <f t="shared" si="4"/>
        <v>29374.5</v>
      </c>
      <c r="H29" s="133">
        <f t="shared" si="4"/>
        <v>31392.6</v>
      </c>
      <c r="I29" s="133">
        <f t="shared" si="4"/>
        <v>27978.400000000001</v>
      </c>
      <c r="J29" s="133">
        <f t="shared" si="4"/>
        <v>29445.5</v>
      </c>
      <c r="K29" s="133">
        <f t="shared" si="4"/>
        <v>31339.3</v>
      </c>
    </row>
    <row r="30" spans="1:11">
      <c r="A30" s="11"/>
      <c r="B30" s="140"/>
      <c r="C30" s="140"/>
      <c r="D30" s="140"/>
      <c r="E30" s="140"/>
      <c r="F30" s="140"/>
      <c r="G30" s="140"/>
      <c r="H30" s="140"/>
      <c r="I30" s="140"/>
      <c r="J30" s="140"/>
      <c r="K30" s="140"/>
    </row>
    <row r="31" spans="1:11">
      <c r="A31" s="10" t="s">
        <v>311</v>
      </c>
      <c r="B31" s="140"/>
      <c r="C31" s="140"/>
      <c r="D31" s="140"/>
      <c r="E31" s="140"/>
      <c r="F31" s="140"/>
      <c r="G31" s="140"/>
      <c r="H31" s="140"/>
      <c r="I31" s="140"/>
      <c r="J31" s="140"/>
      <c r="K31" s="140"/>
    </row>
    <row r="32" spans="1:11">
      <c r="A32" s="11" t="s">
        <v>229</v>
      </c>
      <c r="B32" s="136">
        <v>684.2</v>
      </c>
      <c r="C32" s="136">
        <v>730.6</v>
      </c>
      <c r="D32" s="136">
        <v>782.5</v>
      </c>
      <c r="E32" s="136">
        <v>1179.3</v>
      </c>
      <c r="F32" s="136">
        <v>1189.7</v>
      </c>
      <c r="G32" s="136">
        <v>997.9</v>
      </c>
      <c r="H32" s="136">
        <v>1211.5999999999999</v>
      </c>
      <c r="I32" s="136">
        <v>1441.4</v>
      </c>
      <c r="J32" s="136">
        <v>1544.3</v>
      </c>
      <c r="K32" s="136">
        <v>1595.5</v>
      </c>
    </row>
    <row r="33" spans="1:11">
      <c r="A33" s="11" t="s">
        <v>230</v>
      </c>
      <c r="B33" s="136">
        <v>884.3</v>
      </c>
      <c r="C33" s="136">
        <v>894.3</v>
      </c>
      <c r="D33" s="136">
        <v>891</v>
      </c>
      <c r="E33" s="136">
        <v>1218.5</v>
      </c>
      <c r="F33" s="136">
        <v>1228.7</v>
      </c>
      <c r="G33" s="136">
        <v>1179.5</v>
      </c>
      <c r="H33" s="136">
        <v>1326.7</v>
      </c>
      <c r="I33" s="136">
        <v>1273.2</v>
      </c>
      <c r="J33" s="136">
        <v>1361.2</v>
      </c>
      <c r="K33" s="136">
        <v>1323.8</v>
      </c>
    </row>
    <row r="34" spans="1:11">
      <c r="A34" s="11" t="s">
        <v>336</v>
      </c>
      <c r="B34" s="136">
        <v>0</v>
      </c>
      <c r="C34" s="136">
        <v>0</v>
      </c>
      <c r="D34" s="136">
        <v>0</v>
      </c>
      <c r="E34" s="136">
        <v>0</v>
      </c>
      <c r="F34" s="136">
        <v>0</v>
      </c>
      <c r="G34" s="136">
        <v>438.8</v>
      </c>
      <c r="H34" s="136">
        <v>0</v>
      </c>
      <c r="I34" s="136">
        <v>175</v>
      </c>
      <c r="J34" s="136">
        <v>33.5</v>
      </c>
      <c r="K34" s="136">
        <v>0</v>
      </c>
    </row>
    <row r="35" spans="1:11">
      <c r="A35" s="11" t="s">
        <v>231</v>
      </c>
      <c r="B35" s="136">
        <v>0</v>
      </c>
      <c r="C35" s="136">
        <v>399.9</v>
      </c>
      <c r="D35" s="136">
        <v>0</v>
      </c>
      <c r="E35" s="136">
        <v>349.9</v>
      </c>
      <c r="F35" s="136">
        <v>0</v>
      </c>
      <c r="G35" s="136">
        <v>1249.9000000000001</v>
      </c>
      <c r="H35" s="136">
        <v>998.9</v>
      </c>
      <c r="I35" s="136">
        <v>1761</v>
      </c>
      <c r="J35" s="136">
        <v>1818.6</v>
      </c>
      <c r="K35" s="136">
        <v>1248.9000000000001</v>
      </c>
    </row>
    <row r="36" spans="1:11">
      <c r="A36" s="11" t="s">
        <v>232</v>
      </c>
      <c r="B36" s="136">
        <v>0</v>
      </c>
      <c r="C36" s="136">
        <v>0</v>
      </c>
      <c r="D36" s="136">
        <v>0</v>
      </c>
      <c r="E36" s="136">
        <v>0</v>
      </c>
      <c r="F36" s="136">
        <v>0</v>
      </c>
      <c r="G36" s="136">
        <v>1248.8</v>
      </c>
      <c r="H36" s="136">
        <v>1251.3</v>
      </c>
      <c r="I36" s="136">
        <v>1245.7</v>
      </c>
      <c r="J36" s="136">
        <v>1275.3</v>
      </c>
      <c r="K36" s="136">
        <v>1463.1</v>
      </c>
    </row>
    <row r="37" spans="1:11">
      <c r="A37" s="11" t="s">
        <v>233</v>
      </c>
      <c r="B37" s="136">
        <v>259</v>
      </c>
      <c r="C37" s="136">
        <v>368.4</v>
      </c>
      <c r="D37" s="136">
        <v>226.6</v>
      </c>
      <c r="E37" s="136">
        <v>102.8</v>
      </c>
      <c r="F37" s="136">
        <v>1291.7</v>
      </c>
      <c r="G37" s="136">
        <v>98.2</v>
      </c>
      <c r="H37" s="136">
        <v>348</v>
      </c>
      <c r="I37" s="136">
        <v>139.19999999999999</v>
      </c>
      <c r="J37" s="136">
        <v>189.3</v>
      </c>
      <c r="K37" s="136">
        <v>123.5</v>
      </c>
    </row>
    <row r="38" spans="1:11">
      <c r="A38" s="11" t="s">
        <v>234</v>
      </c>
      <c r="B38" s="136">
        <v>983.8</v>
      </c>
      <c r="C38" s="136">
        <v>1171.2</v>
      </c>
      <c r="D38" s="136">
        <v>1288.5</v>
      </c>
      <c r="E38" s="136">
        <v>1642.9</v>
      </c>
      <c r="F38" s="136">
        <v>1269</v>
      </c>
      <c r="G38" s="136">
        <v>1456.5</v>
      </c>
      <c r="H38" s="136">
        <v>1596.1</v>
      </c>
      <c r="I38" s="136">
        <v>1641.9</v>
      </c>
      <c r="J38" s="136">
        <v>1700.2</v>
      </c>
      <c r="K38" s="136">
        <v>1781.2</v>
      </c>
    </row>
    <row r="39" spans="1:11">
      <c r="A39" s="11" t="s">
        <v>235</v>
      </c>
      <c r="B39" s="136">
        <v>836.8</v>
      </c>
      <c r="C39" s="136">
        <v>982.4</v>
      </c>
      <c r="D39" s="136">
        <v>1032.0999999999999</v>
      </c>
      <c r="E39" s="136">
        <v>1190.8</v>
      </c>
      <c r="F39" s="136">
        <v>1189.5999999999999</v>
      </c>
      <c r="G39" s="136">
        <v>677.2</v>
      </c>
      <c r="H39" s="136">
        <v>1418.8</v>
      </c>
      <c r="I39" s="136">
        <v>1474.4</v>
      </c>
      <c r="J39" s="136">
        <v>1422.9</v>
      </c>
      <c r="K39" s="136">
        <v>1534</v>
      </c>
    </row>
    <row r="40" spans="1:11">
      <c r="A40" s="10" t="s">
        <v>18</v>
      </c>
      <c r="B40" s="138">
        <f>SUM(B32:B39)</f>
        <v>3648.1000000000004</v>
      </c>
      <c r="C40" s="138">
        <f>SUM(C32:C39)</f>
        <v>4546.8</v>
      </c>
      <c r="D40" s="138">
        <f t="shared" ref="D40:K40" si="5">SUM(D32:D39)</f>
        <v>4220.7</v>
      </c>
      <c r="E40" s="138">
        <f t="shared" si="5"/>
        <v>5684.2000000000007</v>
      </c>
      <c r="F40" s="138">
        <f t="shared" si="5"/>
        <v>6168.7000000000007</v>
      </c>
      <c r="G40" s="138">
        <f t="shared" si="5"/>
        <v>7346.8</v>
      </c>
      <c r="H40" s="138">
        <f t="shared" si="5"/>
        <v>8151.4000000000005</v>
      </c>
      <c r="I40" s="138">
        <f t="shared" si="5"/>
        <v>9151.7999999999993</v>
      </c>
      <c r="J40" s="138">
        <f t="shared" si="5"/>
        <v>9345.3000000000011</v>
      </c>
      <c r="K40" s="138">
        <f t="shared" si="5"/>
        <v>9070</v>
      </c>
    </row>
    <row r="41" spans="1:11">
      <c r="A41" s="11"/>
      <c r="B41" s="140"/>
      <c r="C41" s="140"/>
      <c r="D41" s="140"/>
      <c r="E41" s="140"/>
      <c r="F41" s="140"/>
      <c r="G41" s="140"/>
      <c r="H41" s="140"/>
      <c r="I41" s="140"/>
      <c r="J41" s="140"/>
      <c r="K41" s="140"/>
    </row>
    <row r="42" spans="1:11">
      <c r="A42" s="11" t="s">
        <v>209</v>
      </c>
      <c r="B42" s="136">
        <v>2347.5</v>
      </c>
      <c r="C42" s="136">
        <v>3185.3</v>
      </c>
      <c r="D42" s="136">
        <v>3932.6</v>
      </c>
      <c r="E42" s="136">
        <v>9122.7000000000007</v>
      </c>
      <c r="F42" s="136">
        <v>11169.6</v>
      </c>
      <c r="G42" s="136">
        <v>14728.9</v>
      </c>
      <c r="H42" s="136">
        <v>13618.2</v>
      </c>
      <c r="I42" s="136">
        <v>13153.9</v>
      </c>
      <c r="J42" s="136">
        <v>13589</v>
      </c>
      <c r="K42" s="136">
        <v>14338.7</v>
      </c>
    </row>
    <row r="43" spans="1:11">
      <c r="A43" s="11" t="s">
        <v>312</v>
      </c>
      <c r="B43" s="136">
        <v>0</v>
      </c>
      <c r="C43" s="136">
        <v>0</v>
      </c>
      <c r="D43" s="136">
        <v>0</v>
      </c>
      <c r="E43" s="136">
        <v>0</v>
      </c>
      <c r="F43" s="136">
        <v>0</v>
      </c>
      <c r="G43" s="136">
        <v>7661.7</v>
      </c>
      <c r="H43" s="136">
        <v>7738</v>
      </c>
      <c r="I43" s="136">
        <v>7515.2</v>
      </c>
      <c r="J43" s="136">
        <v>7924.8</v>
      </c>
      <c r="K43" s="136">
        <v>8771.6</v>
      </c>
    </row>
    <row r="44" spans="1:11">
      <c r="A44" s="11" t="s">
        <v>313</v>
      </c>
      <c r="B44" s="136">
        <v>0</v>
      </c>
      <c r="C44" s="136">
        <v>0</v>
      </c>
      <c r="D44" s="136">
        <v>4.4000000000000004</v>
      </c>
      <c r="E44" s="136">
        <v>6775.7</v>
      </c>
      <c r="F44" s="136">
        <v>6744.4</v>
      </c>
      <c r="G44" s="136">
        <v>6598.5</v>
      </c>
      <c r="H44" s="136">
        <v>6463</v>
      </c>
      <c r="I44" s="136">
        <v>6279.7</v>
      </c>
      <c r="J44" s="136">
        <v>6101.8</v>
      </c>
      <c r="K44" s="136">
        <v>5963.6</v>
      </c>
    </row>
    <row r="45" spans="1:11">
      <c r="A45" s="11" t="s">
        <v>314</v>
      </c>
      <c r="B45" s="136">
        <v>43.4</v>
      </c>
      <c r="C45" s="136">
        <v>14.7</v>
      </c>
      <c r="D45" s="136">
        <v>6.3</v>
      </c>
      <c r="E45" s="136">
        <v>270.2</v>
      </c>
      <c r="F45" s="136">
        <v>186.4</v>
      </c>
      <c r="G45" s="136">
        <v>158.1</v>
      </c>
      <c r="H45" s="136">
        <v>148.5</v>
      </c>
      <c r="I45" s="136">
        <v>118.6</v>
      </c>
      <c r="J45" s="136">
        <v>14.6</v>
      </c>
      <c r="K45" s="136">
        <v>21.1</v>
      </c>
    </row>
    <row r="46" spans="1:11">
      <c r="A46" s="11" t="s">
        <v>315</v>
      </c>
      <c r="B46" s="136">
        <v>557.5</v>
      </c>
      <c r="C46" s="136">
        <v>675</v>
      </c>
      <c r="D46" s="136">
        <v>744.6</v>
      </c>
      <c r="E46" s="136">
        <v>1127.8</v>
      </c>
      <c r="F46" s="136">
        <v>1181.5</v>
      </c>
      <c r="G46" s="136">
        <v>679.9</v>
      </c>
      <c r="H46" s="136">
        <v>588</v>
      </c>
      <c r="I46" s="136">
        <v>457.9</v>
      </c>
      <c r="J46" s="136">
        <v>457.8</v>
      </c>
      <c r="K46" s="136">
        <v>615.9</v>
      </c>
    </row>
    <row r="47" spans="1:11" ht="16" thickBot="1">
      <c r="A47" s="132" t="s">
        <v>193</v>
      </c>
      <c r="B47" s="133">
        <v>6596.5</v>
      </c>
      <c r="C47" s="133">
        <v>8421.7999999999993</v>
      </c>
      <c r="D47" s="133">
        <v>8908.6</v>
      </c>
      <c r="E47" s="133">
        <v>22980.6</v>
      </c>
      <c r="F47" s="133">
        <v>25450.6</v>
      </c>
      <c r="G47" s="133">
        <v>37173.9</v>
      </c>
      <c r="H47" s="133">
        <v>36707.1</v>
      </c>
      <c r="I47" s="133">
        <v>36677.1</v>
      </c>
      <c r="J47" s="133">
        <v>37433.300000000003</v>
      </c>
      <c r="K47" s="133">
        <v>38780.9</v>
      </c>
    </row>
    <row r="48" spans="1:11">
      <c r="A48" s="11"/>
      <c r="B48" s="140"/>
      <c r="C48" s="140"/>
      <c r="D48" s="140"/>
      <c r="E48" s="140"/>
      <c r="F48" s="140"/>
      <c r="G48" s="140"/>
      <c r="H48" s="140"/>
      <c r="I48" s="140"/>
      <c r="J48" s="140"/>
      <c r="K48" s="140"/>
    </row>
    <row r="49" spans="1:11">
      <c r="A49" s="11" t="s">
        <v>316</v>
      </c>
      <c r="B49" s="136">
        <v>1.5</v>
      </c>
      <c r="C49" s="136">
        <v>1.5</v>
      </c>
      <c r="D49" s="136">
        <v>1.4</v>
      </c>
      <c r="E49" s="136">
        <v>1.3</v>
      </c>
      <c r="F49" s="136">
        <v>1.2</v>
      </c>
      <c r="G49" s="136">
        <v>1.2</v>
      </c>
      <c r="H49" s="136">
        <v>1.2</v>
      </c>
      <c r="I49" s="136">
        <v>1.1000000000000001</v>
      </c>
      <c r="J49" s="136">
        <v>1.1000000000000001</v>
      </c>
      <c r="K49" s="136">
        <v>1.1000000000000001</v>
      </c>
    </row>
    <row r="50" spans="1:11">
      <c r="A50" s="11" t="s">
        <v>317</v>
      </c>
      <c r="B50" s="136">
        <v>41.1</v>
      </c>
      <c r="C50" s="136">
        <v>41.1</v>
      </c>
      <c r="D50" s="136">
        <v>41.1</v>
      </c>
      <c r="E50" s="136">
        <v>41.1</v>
      </c>
      <c r="F50" s="136">
        <v>41.1</v>
      </c>
      <c r="G50" s="136">
        <v>373.9</v>
      </c>
      <c r="H50" s="136">
        <v>846.1</v>
      </c>
      <c r="I50" s="136">
        <v>205.3</v>
      </c>
      <c r="J50" s="136">
        <v>38.1</v>
      </c>
      <c r="K50" s="136">
        <v>322.60000000000002</v>
      </c>
    </row>
    <row r="51" spans="1:11">
      <c r="A51" s="11" t="s">
        <v>318</v>
      </c>
      <c r="B51" s="136">
        <v>5974.8</v>
      </c>
      <c r="C51" s="136">
        <v>5949.8</v>
      </c>
      <c r="D51" s="136">
        <v>5563.2</v>
      </c>
      <c r="E51" s="136">
        <v>1457.4</v>
      </c>
      <c r="F51" s="136">
        <v>-5771.2</v>
      </c>
      <c r="G51" s="136">
        <v>-7815.6</v>
      </c>
      <c r="H51" s="136">
        <v>-6315.7</v>
      </c>
      <c r="I51" s="136">
        <v>-8449.7999999999993</v>
      </c>
      <c r="J51" s="136">
        <v>-7255.8</v>
      </c>
      <c r="K51" s="136">
        <v>-7343.8</v>
      </c>
    </row>
    <row r="52" spans="1:11">
      <c r="A52" s="11" t="s">
        <v>319</v>
      </c>
      <c r="B52" s="136">
        <v>0</v>
      </c>
      <c r="C52" s="136">
        <v>0</v>
      </c>
      <c r="D52" s="136">
        <v>0</v>
      </c>
      <c r="E52" s="136">
        <v>0</v>
      </c>
      <c r="F52" s="136">
        <v>0</v>
      </c>
      <c r="G52" s="136">
        <v>0</v>
      </c>
      <c r="H52" s="136">
        <v>0</v>
      </c>
      <c r="I52" s="136">
        <v>0</v>
      </c>
      <c r="J52" s="136">
        <v>0</v>
      </c>
      <c r="K52" s="136">
        <v>0</v>
      </c>
    </row>
    <row r="53" spans="1:11">
      <c r="A53" s="11" t="s">
        <v>320</v>
      </c>
      <c r="B53" s="136">
        <f>--199.4</f>
        <v>199.4</v>
      </c>
      <c r="C53" s="136">
        <f>--108.4</f>
        <v>108.4</v>
      </c>
      <c r="D53" s="136">
        <f>--155.6</f>
        <v>155.6</v>
      </c>
      <c r="E53" s="136">
        <f>--330.3</f>
        <v>330.3</v>
      </c>
      <c r="F53" s="136">
        <f>--503.3</f>
        <v>503.3</v>
      </c>
      <c r="G53" s="136">
        <f>--364.6</f>
        <v>364.6</v>
      </c>
      <c r="H53" s="136">
        <v>-147.19999999999999</v>
      </c>
      <c r="I53" s="136">
        <f>--463.2</f>
        <v>463.2</v>
      </c>
      <c r="J53" s="136">
        <f>--778.2</f>
        <v>778.2</v>
      </c>
      <c r="K53" s="136">
        <f>--428.8</f>
        <v>428.8</v>
      </c>
    </row>
    <row r="54" spans="1:11">
      <c r="A54" s="10" t="s">
        <v>337</v>
      </c>
      <c r="B54" s="138">
        <f>B49+B50+B51+B52-B53</f>
        <v>5818.0000000000009</v>
      </c>
      <c r="C54" s="138">
        <f t="shared" ref="C54:F54" si="6">C49+C50+C51+C52-C53</f>
        <v>5884.0000000000009</v>
      </c>
      <c r="D54" s="138">
        <f t="shared" si="6"/>
        <v>5450.0999999999995</v>
      </c>
      <c r="E54" s="138">
        <f t="shared" si="6"/>
        <v>1169.5000000000002</v>
      </c>
      <c r="F54" s="138">
        <f t="shared" si="6"/>
        <v>-6232.2</v>
      </c>
      <c r="G54" s="138">
        <f t="shared" ref="G54" si="7">G49+G50+G51+G52-G53</f>
        <v>-7805.1</v>
      </c>
      <c r="H54" s="138">
        <f t="shared" ref="H54" si="8">H49+H50+H51+H52-H53</f>
        <v>-5321.2</v>
      </c>
      <c r="I54" s="138">
        <f t="shared" ref="I54:J54" si="9">I49+I50+I51+I52-I53</f>
        <v>-8706.6</v>
      </c>
      <c r="J54" s="138">
        <f t="shared" si="9"/>
        <v>-7994.8</v>
      </c>
      <c r="K54" s="138">
        <f t="shared" ref="K54" si="10">K49+K50+K51+K52-K53</f>
        <v>-7448.9000000000005</v>
      </c>
    </row>
    <row r="55" spans="1:11">
      <c r="A55" s="11"/>
      <c r="B55" s="140"/>
      <c r="C55" s="140"/>
      <c r="D55" s="140"/>
      <c r="E55" s="140"/>
      <c r="F55" s="140"/>
      <c r="G55" s="140"/>
      <c r="H55" s="140"/>
      <c r="I55" s="140"/>
      <c r="J55" s="140"/>
      <c r="K55" s="140"/>
    </row>
    <row r="56" spans="1:11">
      <c r="A56" s="11" t="s">
        <v>338</v>
      </c>
      <c r="B56" s="136">
        <v>1.8</v>
      </c>
      <c r="C56" s="136">
        <v>6.7</v>
      </c>
      <c r="D56" s="136">
        <v>6.9</v>
      </c>
      <c r="E56" s="136">
        <v>6.3</v>
      </c>
      <c r="F56" s="136">
        <v>1.2</v>
      </c>
      <c r="G56" s="136">
        <v>5.7</v>
      </c>
      <c r="H56" s="136">
        <v>6.7</v>
      </c>
      <c r="I56" s="136">
        <v>7.9</v>
      </c>
      <c r="J56" s="136">
        <v>7</v>
      </c>
      <c r="K56" s="136">
        <v>7.3</v>
      </c>
    </row>
    <row r="57" spans="1:11">
      <c r="A57" s="11"/>
      <c r="B57" s="140"/>
      <c r="C57" s="140"/>
      <c r="D57" s="140"/>
      <c r="E57" s="140"/>
      <c r="F57" s="140"/>
      <c r="G57" s="140"/>
      <c r="H57" s="140"/>
      <c r="I57" s="140"/>
      <c r="J57" s="140"/>
      <c r="K57" s="140"/>
    </row>
    <row r="58" spans="1:11" ht="16" thickBot="1">
      <c r="A58" s="132" t="s">
        <v>322</v>
      </c>
      <c r="B58" s="133">
        <f>B54+B56</f>
        <v>5819.8000000000011</v>
      </c>
      <c r="C58" s="133">
        <f t="shared" ref="C58:K58" si="11">C54+C56</f>
        <v>5890.7000000000007</v>
      </c>
      <c r="D58" s="133">
        <f t="shared" si="11"/>
        <v>5456.9999999999991</v>
      </c>
      <c r="E58" s="133">
        <f t="shared" si="11"/>
        <v>1175.8000000000002</v>
      </c>
      <c r="F58" s="133">
        <f t="shared" si="11"/>
        <v>-6231</v>
      </c>
      <c r="G58" s="133">
        <f t="shared" si="11"/>
        <v>-7799.4000000000005</v>
      </c>
      <c r="H58" s="133">
        <f t="shared" si="11"/>
        <v>-5314.5</v>
      </c>
      <c r="I58" s="133">
        <f t="shared" si="11"/>
        <v>-8698.7000000000007</v>
      </c>
      <c r="J58" s="133">
        <f t="shared" si="11"/>
        <v>-7987.8</v>
      </c>
      <c r="K58" s="133">
        <f t="shared" si="11"/>
        <v>-7441.6</v>
      </c>
    </row>
    <row r="59" spans="1:11">
      <c r="A59" s="11"/>
      <c r="B59" s="140"/>
      <c r="C59" s="140"/>
      <c r="D59" s="140"/>
      <c r="E59" s="140"/>
      <c r="F59" s="140"/>
      <c r="G59" s="140"/>
      <c r="H59" s="140"/>
      <c r="I59" s="140"/>
      <c r="J59" s="140"/>
      <c r="K59" s="140"/>
    </row>
    <row r="60" spans="1:11" ht="16" thickBot="1">
      <c r="A60" s="132" t="s">
        <v>323</v>
      </c>
      <c r="B60" s="133">
        <f>B58+B47</f>
        <v>12416.300000000001</v>
      </c>
      <c r="C60" s="133">
        <f t="shared" ref="C60:K60" si="12">C58+C47</f>
        <v>14312.5</v>
      </c>
      <c r="D60" s="133">
        <f t="shared" si="12"/>
        <v>14365.599999999999</v>
      </c>
      <c r="E60" s="133">
        <f t="shared" si="12"/>
        <v>24156.399999999998</v>
      </c>
      <c r="F60" s="133">
        <f t="shared" si="12"/>
        <v>19219.599999999999</v>
      </c>
      <c r="G60" s="133">
        <f t="shared" si="12"/>
        <v>29374.5</v>
      </c>
      <c r="H60" s="133">
        <f t="shared" si="12"/>
        <v>31392.6</v>
      </c>
      <c r="I60" s="133">
        <f t="shared" si="12"/>
        <v>27978.399999999998</v>
      </c>
      <c r="J60" s="133">
        <f t="shared" si="12"/>
        <v>29445.500000000004</v>
      </c>
      <c r="K60" s="133">
        <f t="shared" si="12"/>
        <v>31339.300000000003</v>
      </c>
    </row>
    <row r="61" spans="1:11">
      <c r="A61" s="11"/>
      <c r="B61" s="140"/>
      <c r="C61" s="140"/>
      <c r="D61" s="140"/>
      <c r="E61" s="140"/>
      <c r="F61" s="140"/>
      <c r="G61" s="140"/>
      <c r="H61" s="140"/>
      <c r="I61" s="140"/>
      <c r="J61" s="140"/>
      <c r="K61" s="140"/>
    </row>
    <row r="62" spans="1:11">
      <c r="A62" s="10" t="s">
        <v>164</v>
      </c>
      <c r="B62" s="140"/>
      <c r="C62" s="140"/>
      <c r="D62" s="140"/>
      <c r="E62" s="140"/>
      <c r="F62" s="140"/>
      <c r="G62" s="140"/>
      <c r="H62" s="140"/>
      <c r="I62" s="140"/>
      <c r="J62" s="140"/>
      <c r="K62" s="140"/>
    </row>
    <row r="63" spans="1:11">
      <c r="A63" s="11" t="s">
        <v>339</v>
      </c>
      <c r="B63" s="136">
        <v>1484.8</v>
      </c>
      <c r="C63" s="136">
        <v>1455.4</v>
      </c>
      <c r="D63" s="136">
        <v>1422.8</v>
      </c>
      <c r="E63" s="136">
        <v>1240.5999999999999</v>
      </c>
      <c r="F63" s="136">
        <v>1181</v>
      </c>
      <c r="G63" s="136">
        <v>1173.7</v>
      </c>
      <c r="H63" s="136">
        <v>1173.2</v>
      </c>
      <c r="I63" s="136">
        <v>1147.8</v>
      </c>
      <c r="J63" s="136">
        <v>1136.7</v>
      </c>
      <c r="K63" s="136">
        <v>1133.8</v>
      </c>
    </row>
    <row r="64" spans="1:11">
      <c r="A64" s="11" t="s">
        <v>340</v>
      </c>
      <c r="B64" s="136">
        <v>1485.1</v>
      </c>
      <c r="C64" s="136">
        <v>1460.5</v>
      </c>
      <c r="D64" s="136">
        <v>1431.6</v>
      </c>
      <c r="E64" s="136">
        <v>1309.0999999999999</v>
      </c>
      <c r="F64" s="136">
        <v>1184.5999999999999</v>
      </c>
      <c r="G64" s="136">
        <v>1173.3</v>
      </c>
      <c r="H64" s="136">
        <v>1180</v>
      </c>
      <c r="I64" s="136">
        <v>1147.9000000000001</v>
      </c>
      <c r="J64" s="136">
        <v>1142.5999999999999</v>
      </c>
      <c r="K64" s="136">
        <v>1133.5</v>
      </c>
    </row>
    <row r="65" spans="1:11">
      <c r="A65" s="11" t="s">
        <v>341</v>
      </c>
      <c r="B65" s="136">
        <v>3.92</v>
      </c>
      <c r="C65" s="136">
        <v>4.03</v>
      </c>
      <c r="D65" s="136">
        <v>3.81</v>
      </c>
      <c r="E65" s="136">
        <v>0.89</v>
      </c>
      <c r="F65" s="136">
        <v>-5.26</v>
      </c>
      <c r="G65" s="136">
        <v>-6.65</v>
      </c>
      <c r="H65" s="136">
        <v>-4.51</v>
      </c>
      <c r="I65" s="136">
        <v>-7.58</v>
      </c>
      <c r="J65" s="136">
        <v>-7</v>
      </c>
      <c r="K65" s="136">
        <v>-6.57</v>
      </c>
    </row>
    <row r="66" spans="1:11">
      <c r="A66" s="11" t="s">
        <v>342</v>
      </c>
      <c r="B66" s="136">
        <v>3722.2</v>
      </c>
      <c r="C66" s="136">
        <v>3648.1</v>
      </c>
      <c r="D66" s="136">
        <v>3469.5</v>
      </c>
      <c r="E66" s="136">
        <v>-3414.3</v>
      </c>
      <c r="F66" s="136">
        <v>-10504.8</v>
      </c>
      <c r="G66" s="136">
        <v>-11954.4</v>
      </c>
      <c r="H66" s="136">
        <v>-9348.4</v>
      </c>
      <c r="I66" s="136">
        <v>-12146</v>
      </c>
      <c r="J66" s="136">
        <v>-11333.6</v>
      </c>
      <c r="K66" s="136">
        <v>-10865.5</v>
      </c>
    </row>
    <row r="67" spans="1:11">
      <c r="A67" s="11" t="s">
        <v>343</v>
      </c>
      <c r="B67" s="136">
        <v>2.5099999999999998</v>
      </c>
      <c r="C67" s="136">
        <v>2.5</v>
      </c>
      <c r="D67" s="136">
        <v>2.42</v>
      </c>
      <c r="E67" s="136">
        <v>-2.61</v>
      </c>
      <c r="F67" s="136">
        <v>-8.8699999999999992</v>
      </c>
      <c r="G67" s="136">
        <v>-10.19</v>
      </c>
      <c r="H67" s="136">
        <v>-7.92</v>
      </c>
      <c r="I67" s="136">
        <v>-10.58</v>
      </c>
      <c r="J67" s="136">
        <v>-9.92</v>
      </c>
      <c r="K67" s="136">
        <v>-9.59</v>
      </c>
    </row>
    <row r="68" spans="1:11">
      <c r="A68" s="11" t="s">
        <v>344</v>
      </c>
      <c r="B68" s="136">
        <v>2347.5</v>
      </c>
      <c r="C68" s="136">
        <v>3585.2</v>
      </c>
      <c r="D68" s="136">
        <v>3932.6</v>
      </c>
      <c r="E68" s="136">
        <v>9472.6</v>
      </c>
      <c r="F68" s="136">
        <v>11169.6</v>
      </c>
      <c r="G68" s="136">
        <v>25328.1</v>
      </c>
      <c r="H68" s="136">
        <v>23606.400000000001</v>
      </c>
      <c r="I68" s="136">
        <v>23850.799999999999</v>
      </c>
      <c r="J68" s="136">
        <v>24641.200000000001</v>
      </c>
      <c r="K68" s="136">
        <v>25822.3</v>
      </c>
    </row>
    <row r="69" spans="1:11">
      <c r="A69" s="11" t="s">
        <v>345</v>
      </c>
      <c r="B69" s="136">
        <v>736.1</v>
      </c>
      <c r="C69" s="136">
        <v>1322</v>
      </c>
      <c r="D69" s="136">
        <v>1241.7</v>
      </c>
      <c r="E69" s="136">
        <v>534.79999999999995</v>
      </c>
      <c r="F69" s="136">
        <v>8412.5</v>
      </c>
      <c r="G69" s="136">
        <v>20696</v>
      </c>
      <c r="H69" s="136">
        <v>16988.5</v>
      </c>
      <c r="I69" s="136">
        <v>20667.900000000001</v>
      </c>
      <c r="J69" s="136">
        <v>20687.8</v>
      </c>
      <c r="K69" s="136">
        <v>22279.1</v>
      </c>
    </row>
    <row r="70" spans="1:11">
      <c r="A70" s="11" t="s">
        <v>346</v>
      </c>
      <c r="B70" s="136">
        <v>9007.2000000000007</v>
      </c>
      <c r="C70" s="136">
        <v>9668.7999999999993</v>
      </c>
      <c r="D70" s="136">
        <v>10509.6</v>
      </c>
      <c r="E70" s="136">
        <v>17905.599999999999</v>
      </c>
      <c r="F70" s="136">
        <v>19202.400000000001</v>
      </c>
      <c r="G70" s="136">
        <v>19528.8</v>
      </c>
      <c r="H70" s="136">
        <v>20492</v>
      </c>
      <c r="I70" s="136">
        <v>21392.799999999999</v>
      </c>
      <c r="J70" s="136">
        <v>22968</v>
      </c>
      <c r="K70" s="136">
        <v>24404.799999999999</v>
      </c>
    </row>
    <row r="71" spans="1:11">
      <c r="A71" s="11" t="s">
        <v>347</v>
      </c>
      <c r="B71" s="136">
        <v>1.8</v>
      </c>
      <c r="C71" s="136">
        <v>6.7</v>
      </c>
      <c r="D71" s="136">
        <v>6.9</v>
      </c>
      <c r="E71" s="136">
        <v>6.3</v>
      </c>
      <c r="F71" s="136">
        <v>1.2</v>
      </c>
      <c r="G71" s="136">
        <v>5.7</v>
      </c>
      <c r="H71" s="136">
        <v>6.7</v>
      </c>
      <c r="I71" s="136">
        <v>7.9</v>
      </c>
      <c r="J71" s="136">
        <v>7</v>
      </c>
      <c r="K71" s="136">
        <v>7.3</v>
      </c>
    </row>
    <row r="72" spans="1:11">
      <c r="A72" s="11" t="s">
        <v>348</v>
      </c>
      <c r="B72" s="136">
        <v>306.39999999999998</v>
      </c>
      <c r="C72" s="136">
        <v>305.7</v>
      </c>
      <c r="D72" s="136">
        <v>432.8</v>
      </c>
      <c r="E72" s="136">
        <v>296</v>
      </c>
      <c r="F72" s="136">
        <v>336.1</v>
      </c>
      <c r="G72" s="136">
        <v>426.4</v>
      </c>
      <c r="H72" s="136">
        <v>216</v>
      </c>
      <c r="I72" s="136">
        <v>283.10000000000002</v>
      </c>
      <c r="J72" s="136">
        <v>415.7</v>
      </c>
      <c r="K72" s="136">
        <v>424.1</v>
      </c>
    </row>
    <row r="73" spans="1:11" ht="16">
      <c r="A73" s="11" t="s">
        <v>349</v>
      </c>
      <c r="B73" s="136" t="s">
        <v>350</v>
      </c>
      <c r="C73" s="136" t="s">
        <v>350</v>
      </c>
      <c r="D73" s="136" t="s">
        <v>350</v>
      </c>
      <c r="E73" s="136" t="s">
        <v>350</v>
      </c>
      <c r="F73" s="136" t="s">
        <v>350</v>
      </c>
      <c r="G73" s="136" t="s">
        <v>350</v>
      </c>
      <c r="H73" s="136" t="s">
        <v>350</v>
      </c>
      <c r="I73" s="136" t="s">
        <v>350</v>
      </c>
      <c r="J73" s="136" t="s">
        <v>170</v>
      </c>
      <c r="K73" s="136" t="s">
        <v>351</v>
      </c>
    </row>
    <row r="74" spans="1:11">
      <c r="A74" s="11" t="s">
        <v>352</v>
      </c>
      <c r="B74" s="136">
        <v>179</v>
      </c>
      <c r="C74" s="136">
        <v>207.9</v>
      </c>
      <c r="D74" s="136">
        <v>220.8</v>
      </c>
      <c r="E74" s="136">
        <v>257.60000000000002</v>
      </c>
      <c r="F74" s="136">
        <v>308.39999999999998</v>
      </c>
      <c r="G74" s="136">
        <v>369.3</v>
      </c>
      <c r="H74" s="136">
        <v>370.8</v>
      </c>
      <c r="I74" s="136">
        <v>416.8</v>
      </c>
      <c r="J74" s="136">
        <v>413.8</v>
      </c>
      <c r="K74" s="136">
        <v>475.7</v>
      </c>
    </row>
    <row r="75" spans="1:11">
      <c r="A75" s="11" t="s">
        <v>353</v>
      </c>
      <c r="B75" s="136">
        <v>1127.4000000000001</v>
      </c>
      <c r="C75" s="136">
        <v>1170.5999999999999</v>
      </c>
      <c r="D75" s="136">
        <v>1143.2</v>
      </c>
      <c r="E75" s="136">
        <v>1142.9000000000001</v>
      </c>
      <c r="F75" s="136">
        <v>1221</v>
      </c>
      <c r="G75" s="136">
        <v>1182.0999999999999</v>
      </c>
      <c r="H75" s="136">
        <v>1233.0999999999999</v>
      </c>
      <c r="I75" s="136">
        <v>1759.8</v>
      </c>
      <c r="J75" s="136">
        <v>1392.6</v>
      </c>
      <c r="K75" s="136">
        <v>1301.5999999999999</v>
      </c>
    </row>
    <row r="76" spans="1:11">
      <c r="A76" s="11" t="s">
        <v>354</v>
      </c>
      <c r="B76" s="136">
        <v>46.6</v>
      </c>
      <c r="C76" s="136">
        <v>46.6</v>
      </c>
      <c r="D76" s="136">
        <v>46.9</v>
      </c>
      <c r="E76" s="136">
        <v>46.8</v>
      </c>
      <c r="F76" s="136">
        <v>46.8</v>
      </c>
      <c r="G76" s="136">
        <v>46</v>
      </c>
      <c r="H76" s="136">
        <v>46.2</v>
      </c>
      <c r="I76" s="136">
        <v>46.1</v>
      </c>
      <c r="J76" s="136">
        <v>46.1</v>
      </c>
      <c r="K76" s="136">
        <v>56.9</v>
      </c>
    </row>
    <row r="77" spans="1:11">
      <c r="A77" s="11" t="s">
        <v>355</v>
      </c>
      <c r="B77" s="136">
        <v>411.5</v>
      </c>
      <c r="C77" s="136">
        <v>458.4</v>
      </c>
      <c r="D77" s="136">
        <v>481.7</v>
      </c>
      <c r="E77" s="136">
        <v>557.29999999999995</v>
      </c>
      <c r="F77" s="136">
        <v>691.5</v>
      </c>
      <c r="G77" s="136">
        <v>586.79999999999995</v>
      </c>
      <c r="H77" s="136">
        <v>587.6</v>
      </c>
      <c r="I77" s="136">
        <v>555.4</v>
      </c>
      <c r="J77" s="136">
        <v>666.5</v>
      </c>
      <c r="K77" s="136">
        <v>684.8</v>
      </c>
    </row>
    <row r="78" spans="1:11">
      <c r="A78" s="11" t="s">
        <v>356</v>
      </c>
      <c r="B78" s="136">
        <v>3531.6</v>
      </c>
      <c r="C78" s="136">
        <v>3904</v>
      </c>
      <c r="D78" s="136">
        <v>4244.6000000000004</v>
      </c>
      <c r="E78" s="136">
        <v>4718.3</v>
      </c>
      <c r="F78" s="136">
        <v>5228.1000000000004</v>
      </c>
      <c r="G78" s="136">
        <v>4882.6000000000004</v>
      </c>
      <c r="H78" s="136">
        <v>5183.3</v>
      </c>
      <c r="I78" s="136">
        <v>5382.8</v>
      </c>
      <c r="J78" s="136">
        <v>4959.2</v>
      </c>
      <c r="K78" s="136">
        <v>5444.8</v>
      </c>
    </row>
    <row r="79" spans="1:11">
      <c r="A79" s="11" t="s">
        <v>357</v>
      </c>
      <c r="B79" s="136">
        <v>242.5</v>
      </c>
      <c r="C79" s="136">
        <v>271.39999999999998</v>
      </c>
      <c r="D79" s="136">
        <v>409.8</v>
      </c>
      <c r="E79" s="136">
        <v>501.9</v>
      </c>
      <c r="F79" s="136">
        <v>358.5</v>
      </c>
      <c r="G79" s="136">
        <v>377.3</v>
      </c>
      <c r="H79" s="136">
        <v>374.1</v>
      </c>
      <c r="I79" s="136">
        <v>558.70000000000005</v>
      </c>
      <c r="J79" s="136">
        <v>607.5</v>
      </c>
      <c r="K79" s="136">
        <v>750.9</v>
      </c>
    </row>
    <row r="80" spans="1:11">
      <c r="A80" s="11" t="s">
        <v>358</v>
      </c>
      <c r="B80" s="136">
        <v>5409.6</v>
      </c>
      <c r="C80" s="136">
        <v>5892.9</v>
      </c>
      <c r="D80" s="136">
        <v>6401</v>
      </c>
      <c r="E80" s="136">
        <v>7372.8</v>
      </c>
      <c r="F80" s="136">
        <v>7948.6</v>
      </c>
      <c r="G80" s="136">
        <v>8262.6</v>
      </c>
      <c r="H80" s="136">
        <v>8637.6</v>
      </c>
      <c r="I80" s="136">
        <v>9066.7999999999993</v>
      </c>
      <c r="J80" s="136">
        <v>10133.700000000001</v>
      </c>
      <c r="K80" s="136">
        <v>11453.9</v>
      </c>
    </row>
    <row r="81" spans="1:11">
      <c r="A81" s="11" t="s">
        <v>359</v>
      </c>
      <c r="B81" s="136">
        <v>238000</v>
      </c>
      <c r="C81" s="136">
        <v>254000</v>
      </c>
      <c r="D81" s="136">
        <v>277000</v>
      </c>
      <c r="E81" s="136">
        <v>291000</v>
      </c>
      <c r="F81" s="136">
        <v>346000</v>
      </c>
      <c r="G81" s="136">
        <v>349000</v>
      </c>
      <c r="H81" s="136">
        <v>383000</v>
      </c>
      <c r="I81" s="136">
        <v>402000</v>
      </c>
      <c r="J81" s="136">
        <v>381000</v>
      </c>
      <c r="K81" s="136">
        <v>361000</v>
      </c>
    </row>
    <row r="82" spans="1:11">
      <c r="A82" s="11" t="s">
        <v>360</v>
      </c>
      <c r="B82" s="136">
        <v>10.8</v>
      </c>
      <c r="C82" s="136">
        <v>9.4</v>
      </c>
      <c r="D82" s="136">
        <v>9.8000000000000007</v>
      </c>
      <c r="E82" s="136">
        <v>8</v>
      </c>
      <c r="F82" s="136">
        <v>6.7</v>
      </c>
      <c r="G82" s="136">
        <v>27.1</v>
      </c>
      <c r="H82" s="136">
        <v>25.6</v>
      </c>
      <c r="I82" s="136">
        <v>27.2</v>
      </c>
      <c r="J82" s="136">
        <v>23.8</v>
      </c>
      <c r="K82" s="136">
        <v>21.2</v>
      </c>
    </row>
    <row r="83" spans="1:11">
      <c r="A83" s="11" t="s">
        <v>180</v>
      </c>
      <c r="B83" s="136">
        <v>43056</v>
      </c>
      <c r="C83" s="136">
        <v>43420</v>
      </c>
      <c r="D83" s="136">
        <v>43784</v>
      </c>
      <c r="E83" s="136">
        <v>44147</v>
      </c>
      <c r="F83" s="136">
        <v>44519</v>
      </c>
      <c r="G83" s="136">
        <v>44883</v>
      </c>
      <c r="H83" s="136">
        <v>45247</v>
      </c>
      <c r="I83" s="136">
        <v>45616</v>
      </c>
      <c r="J83" s="136">
        <v>45616</v>
      </c>
      <c r="K83" s="136">
        <v>45616</v>
      </c>
    </row>
    <row r="84" spans="1:11" ht="16">
      <c r="A84" s="11" t="s">
        <v>181</v>
      </c>
      <c r="B84" s="136" t="s">
        <v>183</v>
      </c>
      <c r="C84" s="136" t="s">
        <v>183</v>
      </c>
      <c r="D84" s="136" t="s">
        <v>361</v>
      </c>
      <c r="E84" s="136" t="s">
        <v>361</v>
      </c>
      <c r="F84" s="136" t="s">
        <v>361</v>
      </c>
      <c r="G84" s="136" t="s">
        <v>361</v>
      </c>
      <c r="H84" s="136" t="s">
        <v>361</v>
      </c>
      <c r="I84" s="136" t="s">
        <v>361</v>
      </c>
      <c r="J84" s="136" t="s">
        <v>361</v>
      </c>
      <c r="K84" s="136" t="s">
        <v>362</v>
      </c>
    </row>
    <row r="85" spans="1:11" ht="16">
      <c r="A85" s="11" t="s">
        <v>184</v>
      </c>
      <c r="B85" s="136" t="s">
        <v>363</v>
      </c>
      <c r="C85" s="136" t="s">
        <v>363</v>
      </c>
      <c r="D85" s="136" t="s">
        <v>363</v>
      </c>
      <c r="E85" s="136" t="s">
        <v>363</v>
      </c>
      <c r="F85" s="136" t="s">
        <v>363</v>
      </c>
      <c r="G85" s="136" t="s">
        <v>363</v>
      </c>
      <c r="H85" s="136" t="s">
        <v>363</v>
      </c>
      <c r="I85" s="136" t="s">
        <v>363</v>
      </c>
      <c r="J85" s="136" t="s">
        <v>185</v>
      </c>
      <c r="K85" s="136" t="s">
        <v>185</v>
      </c>
    </row>
    <row r="86" spans="1:11">
      <c r="A86" s="37" t="s">
        <v>14</v>
      </c>
    </row>
    <row r="87" spans="1:11">
      <c r="A87" s="33"/>
    </row>
  </sheetData>
  <phoneticPr fontId="22" type="noConversion"/>
  <pageMargins left="0.2" right="0.2" top="0.5" bottom="0.5" header="0.5" footer="0.5"/>
  <pageSetup fitToWidth="0" fitToHeight="0" orientation="landscape" horizontalDpi="0" verticalDpi="0"/>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6A9D7-2701-5649-9D6B-A7F73A938C99}">
  <dimension ref="A2:IN91"/>
  <sheetViews>
    <sheetView showGridLines="0" workbookViewId="0">
      <pane xSplit="1" topLeftCell="B1" activePane="topRight" state="frozen"/>
      <selection pane="topRight" activeCell="A56" sqref="A56"/>
    </sheetView>
  </sheetViews>
  <sheetFormatPr baseColWidth="10" defaultRowHeight="15"/>
  <cols>
    <col min="1" max="1" width="56.33203125" style="7" customWidth="1"/>
    <col min="2" max="11" width="14.5" style="7" customWidth="1"/>
    <col min="12" max="12" width="10.5" style="7" customWidth="1"/>
    <col min="13" max="16384" width="10.83203125" style="7"/>
  </cols>
  <sheetData>
    <row r="2" spans="1:248" s="4" customFormat="1">
      <c r="A2" s="117" t="s">
        <v>38</v>
      </c>
      <c r="B2" s="117"/>
      <c r="C2" s="117"/>
      <c r="D2" s="117"/>
      <c r="E2" s="117"/>
      <c r="F2" s="117"/>
      <c r="G2" s="117"/>
      <c r="H2" s="117"/>
      <c r="I2" s="117"/>
      <c r="J2" s="117"/>
      <c r="K2" s="117"/>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row>
    <row r="3" spans="1:248" s="6" customFormat="1" ht="32">
      <c r="A3" s="134" t="s">
        <v>52</v>
      </c>
      <c r="B3" s="135" t="s">
        <v>28</v>
      </c>
      <c r="C3" s="135" t="s">
        <v>194</v>
      </c>
      <c r="D3" s="135" t="s">
        <v>195</v>
      </c>
      <c r="E3" s="135" t="s">
        <v>196</v>
      </c>
      <c r="F3" s="135" t="s">
        <v>197</v>
      </c>
      <c r="G3" s="135" t="s">
        <v>198</v>
      </c>
      <c r="H3" s="135" t="s">
        <v>199</v>
      </c>
      <c r="I3" s="135" t="s">
        <v>200</v>
      </c>
      <c r="J3" s="135" t="s">
        <v>201</v>
      </c>
      <c r="K3" s="135" t="s">
        <v>202</v>
      </c>
    </row>
    <row r="4" spans="1:248">
      <c r="A4" s="143" t="s">
        <v>133</v>
      </c>
      <c r="B4" s="144">
        <v>19162.7</v>
      </c>
      <c r="C4" s="144">
        <v>18998.3</v>
      </c>
      <c r="D4" s="144">
        <v>20005.7</v>
      </c>
      <c r="E4" s="144">
        <v>22342.5</v>
      </c>
      <c r="F4" s="144">
        <v>24419.4</v>
      </c>
      <c r="G4" s="144">
        <v>21491.7</v>
      </c>
      <c r="H4" s="144">
        <v>27290.6</v>
      </c>
      <c r="I4" s="144">
        <v>30231.599999999999</v>
      </c>
      <c r="J4" s="144">
        <v>33975</v>
      </c>
      <c r="K4" s="144">
        <v>34271</v>
      </c>
    </row>
    <row r="5" spans="1:248">
      <c r="A5" s="143" t="s">
        <v>134</v>
      </c>
      <c r="B5" s="144">
        <v>0</v>
      </c>
      <c r="C5" s="144">
        <v>2317.6</v>
      </c>
      <c r="D5" s="144">
        <v>2381.1</v>
      </c>
      <c r="E5" s="144">
        <v>2377</v>
      </c>
      <c r="F5" s="144">
        <v>2089.1999999999998</v>
      </c>
      <c r="G5" s="144">
        <v>2026.3</v>
      </c>
      <c r="H5" s="144">
        <v>1770</v>
      </c>
      <c r="I5" s="144">
        <v>2018.7</v>
      </c>
      <c r="J5" s="144">
        <v>2000.6</v>
      </c>
      <c r="K5" s="144">
        <v>1905.2</v>
      </c>
    </row>
    <row r="6" spans="1:248">
      <c r="A6" s="145" t="s">
        <v>135</v>
      </c>
      <c r="B6" s="146">
        <f>SUM(B4:B5)</f>
        <v>19162.7</v>
      </c>
      <c r="C6" s="146">
        <f t="shared" ref="C6:K6" si="0">SUM(C4:C5)</f>
        <v>21315.899999999998</v>
      </c>
      <c r="D6" s="146">
        <f t="shared" si="0"/>
        <v>22386.799999999999</v>
      </c>
      <c r="E6" s="146">
        <f t="shared" si="0"/>
        <v>24719.5</v>
      </c>
      <c r="F6" s="146">
        <f t="shared" si="0"/>
        <v>26508.600000000002</v>
      </c>
      <c r="G6" s="146">
        <f t="shared" si="0"/>
        <v>23518</v>
      </c>
      <c r="H6" s="146">
        <f t="shared" si="0"/>
        <v>29060.6</v>
      </c>
      <c r="I6" s="146">
        <f t="shared" si="0"/>
        <v>32250.3</v>
      </c>
      <c r="J6" s="146">
        <f t="shared" si="0"/>
        <v>35975.599999999999</v>
      </c>
      <c r="K6" s="146">
        <f t="shared" si="0"/>
        <v>36176.199999999997</v>
      </c>
    </row>
    <row r="7" spans="1:248">
      <c r="A7" s="143" t="s">
        <v>393</v>
      </c>
      <c r="B7" s="144">
        <v>13198.6</v>
      </c>
      <c r="C7" s="144">
        <v>14573.3</v>
      </c>
      <c r="D7" s="144">
        <v>15552.2</v>
      </c>
      <c r="E7" s="144">
        <v>17402.900000000001</v>
      </c>
      <c r="F7" s="144">
        <v>19020.5</v>
      </c>
      <c r="G7" s="144">
        <v>18376.900000000001</v>
      </c>
      <c r="H7" s="144">
        <v>20625.2</v>
      </c>
      <c r="I7" s="144">
        <v>23864.9</v>
      </c>
      <c r="J7" s="144">
        <v>26106.2</v>
      </c>
      <c r="K7" s="144">
        <v>26443.8</v>
      </c>
    </row>
    <row r="8" spans="1:248">
      <c r="A8" s="145" t="s">
        <v>136</v>
      </c>
      <c r="B8" s="146">
        <f t="shared" ref="B8:K8" si="1">B6-B7</f>
        <v>5964.1</v>
      </c>
      <c r="C8" s="146">
        <f t="shared" si="1"/>
        <v>6742.5999999999985</v>
      </c>
      <c r="D8" s="146">
        <f t="shared" si="1"/>
        <v>6834.5999999999985</v>
      </c>
      <c r="E8" s="146">
        <f t="shared" si="1"/>
        <v>7316.5999999999985</v>
      </c>
      <c r="F8" s="146">
        <f t="shared" si="1"/>
        <v>7488.1000000000022</v>
      </c>
      <c r="G8" s="146">
        <f t="shared" si="1"/>
        <v>5141.0999999999985</v>
      </c>
      <c r="H8" s="146">
        <f t="shared" si="1"/>
        <v>8435.3999999999978</v>
      </c>
      <c r="I8" s="146">
        <f t="shared" si="1"/>
        <v>8385.3999999999978</v>
      </c>
      <c r="J8" s="146">
        <f t="shared" si="1"/>
        <v>9869.3999999999978</v>
      </c>
      <c r="K8" s="146">
        <f t="shared" si="1"/>
        <v>9732.3999999999978</v>
      </c>
    </row>
    <row r="9" spans="1:248">
      <c r="A9" s="143" t="s">
        <v>137</v>
      </c>
      <c r="B9" s="144">
        <v>1196.7</v>
      </c>
      <c r="C9" s="144">
        <v>1408.9</v>
      </c>
      <c r="D9" s="144">
        <v>1408.4</v>
      </c>
      <c r="E9" s="144">
        <v>1704.6</v>
      </c>
      <c r="F9" s="144">
        <v>1824.1</v>
      </c>
      <c r="G9" s="144">
        <v>1679.6</v>
      </c>
      <c r="H9" s="144">
        <v>1932.6</v>
      </c>
      <c r="I9" s="144">
        <v>2032</v>
      </c>
      <c r="J9" s="144">
        <v>2441.3000000000002</v>
      </c>
      <c r="K9" s="144">
        <v>2523.3000000000002</v>
      </c>
    </row>
    <row r="10" spans="1:248" s="17" customFormat="1">
      <c r="A10" s="143" t="s">
        <v>370</v>
      </c>
      <c r="B10" s="144">
        <v>0</v>
      </c>
      <c r="C10" s="144">
        <v>0</v>
      </c>
      <c r="D10" s="144">
        <v>0</v>
      </c>
      <c r="E10" s="144">
        <v>0</v>
      </c>
      <c r="F10" s="144">
        <v>0</v>
      </c>
      <c r="G10" s="144">
        <v>0</v>
      </c>
      <c r="H10" s="144">
        <v>0</v>
      </c>
      <c r="I10" s="144">
        <v>0</v>
      </c>
      <c r="J10" s="144">
        <v>0</v>
      </c>
      <c r="K10" s="144">
        <v>0</v>
      </c>
    </row>
    <row r="11" spans="1:248">
      <c r="A11" s="143" t="s">
        <v>138</v>
      </c>
      <c r="B11" s="144">
        <v>893.9</v>
      </c>
      <c r="C11" s="144">
        <v>980.8</v>
      </c>
      <c r="D11" s="144">
        <v>1011.4</v>
      </c>
      <c r="E11" s="144">
        <v>1247</v>
      </c>
      <c r="F11" s="144">
        <v>1377.3</v>
      </c>
      <c r="G11" s="144">
        <v>1431.3</v>
      </c>
      <c r="H11" s="144">
        <v>1441.7</v>
      </c>
      <c r="I11" s="144">
        <v>1447.9</v>
      </c>
      <c r="J11" s="144">
        <v>1362.6</v>
      </c>
      <c r="K11" s="144">
        <v>1512.6</v>
      </c>
    </row>
    <row r="12" spans="1:248">
      <c r="A12" s="143" t="s">
        <v>371</v>
      </c>
      <c r="B12" s="144">
        <v>522.4</v>
      </c>
      <c r="C12" s="144">
        <v>499.2</v>
      </c>
      <c r="D12" s="144">
        <v>518</v>
      </c>
      <c r="E12" s="144">
        <v>554.9</v>
      </c>
      <c r="F12" s="144">
        <v>371</v>
      </c>
      <c r="G12" s="144">
        <v>430.3</v>
      </c>
      <c r="H12" s="144">
        <v>359.5</v>
      </c>
      <c r="I12" s="144">
        <v>461.5</v>
      </c>
      <c r="J12" s="144">
        <v>539.4</v>
      </c>
      <c r="K12" s="144">
        <v>565.6</v>
      </c>
    </row>
    <row r="13" spans="1:248">
      <c r="A13" s="145" t="s">
        <v>383</v>
      </c>
      <c r="B13" s="146">
        <f t="shared" ref="B13:K13" si="2">SUM(B9:B12)</f>
        <v>2613</v>
      </c>
      <c r="C13" s="146">
        <f t="shared" si="2"/>
        <v>2888.8999999999996</v>
      </c>
      <c r="D13" s="146">
        <f t="shared" si="2"/>
        <v>2937.8</v>
      </c>
      <c r="E13" s="146">
        <f t="shared" si="2"/>
        <v>3506.5</v>
      </c>
      <c r="F13" s="146">
        <f t="shared" si="2"/>
        <v>3572.3999999999996</v>
      </c>
      <c r="G13" s="146">
        <f t="shared" si="2"/>
        <v>3541.2</v>
      </c>
      <c r="H13" s="146">
        <f t="shared" si="2"/>
        <v>3733.8</v>
      </c>
      <c r="I13" s="146">
        <f t="shared" si="2"/>
        <v>3941.4</v>
      </c>
      <c r="J13" s="146">
        <f t="shared" si="2"/>
        <v>4343.3</v>
      </c>
      <c r="K13" s="146">
        <f t="shared" si="2"/>
        <v>4601.5</v>
      </c>
    </row>
    <row r="14" spans="1:248" ht="16" thickBot="1">
      <c r="A14" s="153" t="s">
        <v>381</v>
      </c>
      <c r="B14" s="142">
        <f t="shared" ref="B14:K14" si="3">B8-B13</f>
        <v>3351.1000000000004</v>
      </c>
      <c r="C14" s="142">
        <f t="shared" si="3"/>
        <v>3853.6999999999989</v>
      </c>
      <c r="D14" s="142">
        <f t="shared" si="3"/>
        <v>3896.7999999999984</v>
      </c>
      <c r="E14" s="142">
        <f t="shared" si="3"/>
        <v>3810.0999999999985</v>
      </c>
      <c r="F14" s="142">
        <f t="shared" si="3"/>
        <v>3915.7000000000025</v>
      </c>
      <c r="G14" s="142">
        <f t="shared" si="3"/>
        <v>1599.8999999999987</v>
      </c>
      <c r="H14" s="142">
        <f t="shared" si="3"/>
        <v>4701.5999999999976</v>
      </c>
      <c r="I14" s="142">
        <f t="shared" si="3"/>
        <v>4443.9999999999982</v>
      </c>
      <c r="J14" s="142">
        <f t="shared" si="3"/>
        <v>5526.0999999999976</v>
      </c>
      <c r="K14" s="142">
        <f t="shared" si="3"/>
        <v>5130.8999999999978</v>
      </c>
    </row>
    <row r="15" spans="1:248" s="17" customFormat="1">
      <c r="A15" s="143" t="s">
        <v>140</v>
      </c>
      <c r="B15" s="144">
        <v>70.5</v>
      </c>
      <c r="C15" s="144">
        <v>81.3</v>
      </c>
      <c r="D15" s="144">
        <v>92.5</v>
      </c>
      <c r="E15" s="144">
        <v>170.3</v>
      </c>
      <c r="F15" s="144">
        <v>331</v>
      </c>
      <c r="G15" s="144">
        <v>437</v>
      </c>
      <c r="H15" s="144">
        <v>473.4</v>
      </c>
      <c r="I15" s="144">
        <v>482.9</v>
      </c>
      <c r="J15" s="144">
        <v>550.1</v>
      </c>
      <c r="K15" s="144">
        <v>562</v>
      </c>
    </row>
    <row r="16" spans="1:248">
      <c r="A16" s="143" t="s">
        <v>141</v>
      </c>
      <c r="B16" s="144">
        <v>0</v>
      </c>
      <c r="C16" s="144">
        <v>153</v>
      </c>
      <c r="D16" s="144">
        <v>16.7</v>
      </c>
      <c r="E16" s="144">
        <v>33</v>
      </c>
      <c r="F16" s="144">
        <v>131.30000000000001</v>
      </c>
      <c r="G16" s="144">
        <v>45</v>
      </c>
      <c r="H16" s="144">
        <v>69.099999999999994</v>
      </c>
      <c r="I16" s="144">
        <v>0</v>
      </c>
      <c r="J16" s="144">
        <v>93.8</v>
      </c>
      <c r="K16" s="144">
        <v>125.7</v>
      </c>
    </row>
    <row r="17" spans="1:11">
      <c r="A17" s="145" t="s">
        <v>382</v>
      </c>
      <c r="B17" s="146">
        <f>B15-B16</f>
        <v>70.5</v>
      </c>
      <c r="C17" s="146">
        <f t="shared" ref="C17:K17" si="4">C15-C16</f>
        <v>-71.7</v>
      </c>
      <c r="D17" s="146">
        <f t="shared" si="4"/>
        <v>75.8</v>
      </c>
      <c r="E17" s="146">
        <f t="shared" si="4"/>
        <v>137.30000000000001</v>
      </c>
      <c r="F17" s="146">
        <f t="shared" si="4"/>
        <v>199.7</v>
      </c>
      <c r="G17" s="146">
        <f t="shared" si="4"/>
        <v>392</v>
      </c>
      <c r="H17" s="146">
        <f t="shared" si="4"/>
        <v>404.29999999999995</v>
      </c>
      <c r="I17" s="146">
        <f t="shared" si="4"/>
        <v>482.9</v>
      </c>
      <c r="J17" s="146">
        <f t="shared" si="4"/>
        <v>456.3</v>
      </c>
      <c r="K17" s="146">
        <f t="shared" si="4"/>
        <v>436.3</v>
      </c>
    </row>
    <row r="18" spans="1:11">
      <c r="A18" s="143" t="s">
        <v>372</v>
      </c>
      <c r="B18" s="144">
        <v>249.9</v>
      </c>
      <c r="C18" s="144">
        <v>318.2</v>
      </c>
      <c r="D18" s="144">
        <v>391.4</v>
      </c>
      <c r="E18" s="144">
        <v>301.2</v>
      </c>
      <c r="F18" s="144">
        <v>298</v>
      </c>
      <c r="G18" s="144">
        <v>322.5</v>
      </c>
      <c r="H18" s="144">
        <v>385.3</v>
      </c>
      <c r="I18" s="144">
        <v>234.1</v>
      </c>
      <c r="J18" s="144">
        <v>298.39999999999998</v>
      </c>
      <c r="K18" s="144">
        <v>301.2</v>
      </c>
    </row>
    <row r="19" spans="1:11">
      <c r="A19" s="143" t="s">
        <v>373</v>
      </c>
      <c r="B19" s="144">
        <v>73.3</v>
      </c>
      <c r="C19" s="144">
        <v>-106.8</v>
      </c>
      <c r="D19" s="144">
        <v>62.7</v>
      </c>
      <c r="E19" s="144">
        <v>6.5</v>
      </c>
      <c r="F19" s="144">
        <v>-27.9</v>
      </c>
      <c r="G19" s="144">
        <v>0.3</v>
      </c>
      <c r="H19" s="144">
        <v>20.2</v>
      </c>
      <c r="I19" s="144">
        <v>99.9</v>
      </c>
      <c r="J19" s="144">
        <v>-3.1</v>
      </c>
      <c r="K19" s="144">
        <v>0.2</v>
      </c>
    </row>
    <row r="20" spans="1:11">
      <c r="A20" s="143" t="s">
        <v>384</v>
      </c>
      <c r="B20" s="144">
        <v>-24.2</v>
      </c>
      <c r="C20" s="144">
        <v>54.8</v>
      </c>
      <c r="D20" s="144">
        <v>105.9</v>
      </c>
      <c r="E20" s="144">
        <v>157.19999999999999</v>
      </c>
      <c r="F20" s="144">
        <v>-7.8</v>
      </c>
      <c r="G20" s="144">
        <v>-10.5</v>
      </c>
      <c r="H20" s="144">
        <v>2.6</v>
      </c>
      <c r="I20" s="144">
        <v>-2.5</v>
      </c>
      <c r="J20" s="144">
        <v>-7.5</v>
      </c>
      <c r="K20" s="144">
        <v>-2</v>
      </c>
    </row>
    <row r="21" spans="1:11" s="17" customFormat="1" ht="16" thickBot="1">
      <c r="A21" s="153" t="s">
        <v>380</v>
      </c>
      <c r="B21" s="142">
        <f t="shared" ref="B21:K21" si="5">B14-B17+B18+B19+B20</f>
        <v>3579.6000000000008</v>
      </c>
      <c r="C21" s="142">
        <f t="shared" si="5"/>
        <v>4191.5999999999985</v>
      </c>
      <c r="D21" s="142">
        <f t="shared" si="5"/>
        <v>4380.9999999999973</v>
      </c>
      <c r="E21" s="142">
        <f t="shared" si="5"/>
        <v>4137.699999999998</v>
      </c>
      <c r="F21" s="142">
        <f t="shared" si="5"/>
        <v>3978.3000000000025</v>
      </c>
      <c r="G21" s="142">
        <f t="shared" si="5"/>
        <v>1520.1999999999987</v>
      </c>
      <c r="H21" s="142">
        <f t="shared" si="5"/>
        <v>4705.3999999999978</v>
      </c>
      <c r="I21" s="142">
        <f t="shared" si="5"/>
        <v>4292.5999999999976</v>
      </c>
      <c r="J21" s="142">
        <f t="shared" si="5"/>
        <v>5357.5999999999967</v>
      </c>
      <c r="K21" s="142">
        <f t="shared" si="5"/>
        <v>4993.9999999999973</v>
      </c>
    </row>
    <row r="22" spans="1:11">
      <c r="A22" s="143" t="s">
        <v>143</v>
      </c>
      <c r="B22" s="144">
        <v>0</v>
      </c>
      <c r="C22" s="144">
        <v>0</v>
      </c>
      <c r="D22" s="144">
        <v>-153.5</v>
      </c>
      <c r="E22" s="144">
        <v>-224.4</v>
      </c>
      <c r="F22" s="144">
        <v>-135.80000000000001</v>
      </c>
      <c r="G22" s="144">
        <v>-278.7</v>
      </c>
      <c r="H22" s="144">
        <v>-170.4</v>
      </c>
      <c r="I22" s="144">
        <v>-46</v>
      </c>
      <c r="J22" s="144">
        <v>-21.8</v>
      </c>
      <c r="K22" s="144">
        <v>0</v>
      </c>
    </row>
    <row r="23" spans="1:11">
      <c r="A23" s="143" t="s">
        <v>374</v>
      </c>
      <c r="B23" s="144">
        <v>0</v>
      </c>
      <c r="C23" s="144">
        <v>0</v>
      </c>
      <c r="D23" s="144">
        <v>0</v>
      </c>
      <c r="E23" s="144">
        <v>-3.6</v>
      </c>
      <c r="F23" s="144">
        <v>0</v>
      </c>
      <c r="G23" s="144">
        <v>0</v>
      </c>
      <c r="H23" s="144">
        <v>0</v>
      </c>
      <c r="I23" s="144">
        <v>0</v>
      </c>
      <c r="J23" s="144">
        <v>0</v>
      </c>
      <c r="K23" s="144">
        <v>0</v>
      </c>
    </row>
    <row r="24" spans="1:11">
      <c r="A24" s="143" t="s">
        <v>144</v>
      </c>
      <c r="B24" s="144">
        <v>0</v>
      </c>
      <c r="C24" s="144">
        <v>0</v>
      </c>
      <c r="D24" s="144">
        <v>0</v>
      </c>
      <c r="E24" s="144">
        <v>0</v>
      </c>
      <c r="F24" s="144">
        <v>0</v>
      </c>
      <c r="G24" s="144">
        <v>0</v>
      </c>
      <c r="H24" s="144">
        <v>0</v>
      </c>
      <c r="I24" s="144">
        <v>0</v>
      </c>
      <c r="J24" s="144">
        <v>0</v>
      </c>
      <c r="K24" s="144">
        <v>0</v>
      </c>
    </row>
    <row r="25" spans="1:11">
      <c r="A25" s="143" t="s">
        <v>375</v>
      </c>
      <c r="B25" s="144">
        <v>391.6</v>
      </c>
      <c r="C25" s="144">
        <v>1.6</v>
      </c>
      <c r="D25" s="144">
        <v>-4.0999999999999996</v>
      </c>
      <c r="E25" s="144">
        <v>1372.8</v>
      </c>
      <c r="F25" s="144">
        <v>0.9</v>
      </c>
      <c r="G25" s="144">
        <v>4.9000000000000004</v>
      </c>
      <c r="H25" s="144">
        <v>1.8</v>
      </c>
      <c r="I25" s="144">
        <v>-0.4</v>
      </c>
      <c r="J25" s="144">
        <v>-0.7</v>
      </c>
      <c r="K25" s="144">
        <v>-1.2</v>
      </c>
    </row>
    <row r="26" spans="1:11">
      <c r="A26" s="143" t="s">
        <v>145</v>
      </c>
      <c r="B26" s="144">
        <v>-7.1</v>
      </c>
      <c r="C26" s="144">
        <v>5.4</v>
      </c>
      <c r="D26" s="144">
        <v>94.1</v>
      </c>
      <c r="E26" s="144">
        <v>497.5</v>
      </c>
      <c r="F26" s="144">
        <v>622.79999999999995</v>
      </c>
      <c r="G26" s="144">
        <v>0</v>
      </c>
      <c r="H26" s="144">
        <v>864.5</v>
      </c>
      <c r="I26" s="144">
        <v>0</v>
      </c>
      <c r="J26" s="144">
        <v>91.3</v>
      </c>
      <c r="K26" s="144">
        <v>0</v>
      </c>
    </row>
    <row r="27" spans="1:11">
      <c r="A27" s="143" t="s">
        <v>146</v>
      </c>
      <c r="B27" s="144">
        <v>0</v>
      </c>
      <c r="C27" s="144">
        <v>0</v>
      </c>
      <c r="D27" s="144">
        <v>0</v>
      </c>
      <c r="E27" s="144">
        <v>0</v>
      </c>
      <c r="F27" s="144">
        <v>0</v>
      </c>
      <c r="G27" s="144">
        <v>-109.6</v>
      </c>
      <c r="H27" s="144">
        <v>-44.4</v>
      </c>
      <c r="I27" s="144">
        <v>-14.3</v>
      </c>
      <c r="J27" s="144">
        <v>-23.2</v>
      </c>
      <c r="K27" s="144">
        <v>-23.3</v>
      </c>
    </row>
    <row r="28" spans="1:11">
      <c r="A28" s="143" t="s">
        <v>147</v>
      </c>
      <c r="B28" s="144">
        <v>-61.1</v>
      </c>
      <c r="C28" s="144">
        <v>0</v>
      </c>
      <c r="D28" s="144">
        <v>0</v>
      </c>
      <c r="E28" s="144">
        <v>0</v>
      </c>
      <c r="F28" s="144">
        <v>0</v>
      </c>
      <c r="G28" s="144">
        <v>27.6</v>
      </c>
      <c r="H28" s="144">
        <v>0</v>
      </c>
      <c r="I28" s="144">
        <v>0</v>
      </c>
      <c r="J28" s="144">
        <v>-1.3</v>
      </c>
      <c r="K28" s="144">
        <v>0.1</v>
      </c>
    </row>
    <row r="29" spans="1:11" ht="16" thickBot="1">
      <c r="A29" s="153" t="s">
        <v>385</v>
      </c>
      <c r="B29" s="142">
        <f t="shared" ref="B29:K29" si="6">B21+SUM(B22:B28)</f>
        <v>3903.0000000000009</v>
      </c>
      <c r="C29" s="142">
        <f t="shared" si="6"/>
        <v>4198.5999999999985</v>
      </c>
      <c r="D29" s="142">
        <f t="shared" si="6"/>
        <v>4317.4999999999973</v>
      </c>
      <c r="E29" s="142">
        <f t="shared" si="6"/>
        <v>5779.9999999999982</v>
      </c>
      <c r="F29" s="142">
        <f t="shared" si="6"/>
        <v>4466.2000000000025</v>
      </c>
      <c r="G29" s="142">
        <f t="shared" si="6"/>
        <v>1164.3999999999987</v>
      </c>
      <c r="H29" s="142">
        <f t="shared" si="6"/>
        <v>5356.8999999999978</v>
      </c>
      <c r="I29" s="142">
        <f t="shared" si="6"/>
        <v>4231.8999999999978</v>
      </c>
      <c r="J29" s="142">
        <f t="shared" si="6"/>
        <v>5401.8999999999969</v>
      </c>
      <c r="K29" s="142">
        <f t="shared" si="6"/>
        <v>4969.5999999999976</v>
      </c>
    </row>
    <row r="30" spans="1:11">
      <c r="A30" s="143" t="s">
        <v>148</v>
      </c>
      <c r="B30" s="144">
        <v>1143.7</v>
      </c>
      <c r="C30" s="144">
        <v>1379.7</v>
      </c>
      <c r="D30" s="144">
        <v>1432.6</v>
      </c>
      <c r="E30" s="144">
        <v>1262</v>
      </c>
      <c r="F30" s="144">
        <v>871.6</v>
      </c>
      <c r="G30" s="144">
        <v>239.7</v>
      </c>
      <c r="H30" s="144">
        <v>1156.5999999999999</v>
      </c>
      <c r="I30" s="144">
        <v>948.5</v>
      </c>
      <c r="J30" s="144">
        <v>1277.2</v>
      </c>
      <c r="K30" s="144">
        <v>1207.3</v>
      </c>
    </row>
    <row r="31" spans="1:11">
      <c r="A31" s="145" t="s">
        <v>386</v>
      </c>
      <c r="B31" s="146">
        <f t="shared" ref="B31:K31" si="7">B29-B30</f>
        <v>2759.3000000000011</v>
      </c>
      <c r="C31" s="146">
        <f t="shared" si="7"/>
        <v>2818.8999999999987</v>
      </c>
      <c r="D31" s="146">
        <f t="shared" si="7"/>
        <v>2884.8999999999974</v>
      </c>
      <c r="E31" s="146">
        <f t="shared" si="7"/>
        <v>4517.9999999999982</v>
      </c>
      <c r="F31" s="146">
        <f t="shared" si="7"/>
        <v>3594.6000000000026</v>
      </c>
      <c r="G31" s="146">
        <f t="shared" si="7"/>
        <v>924.69999999999868</v>
      </c>
      <c r="H31" s="146">
        <f t="shared" si="7"/>
        <v>4200.2999999999975</v>
      </c>
      <c r="I31" s="146">
        <f t="shared" si="7"/>
        <v>3283.3999999999978</v>
      </c>
      <c r="J31" s="146">
        <f t="shared" si="7"/>
        <v>4124.6999999999971</v>
      </c>
      <c r="K31" s="146">
        <f t="shared" si="7"/>
        <v>3762.2999999999975</v>
      </c>
    </row>
    <row r="32" spans="1:11">
      <c r="A32" s="143" t="s">
        <v>387</v>
      </c>
      <c r="B32" s="144">
        <v>0</v>
      </c>
      <c r="C32" s="144">
        <v>0</v>
      </c>
      <c r="D32" s="144">
        <v>0</v>
      </c>
      <c r="E32" s="144">
        <v>0</v>
      </c>
      <c r="F32" s="144">
        <v>0</v>
      </c>
      <c r="G32" s="144">
        <v>0</v>
      </c>
      <c r="H32" s="144">
        <v>0</v>
      </c>
      <c r="I32" s="144">
        <v>0</v>
      </c>
      <c r="J32" s="144">
        <v>0</v>
      </c>
      <c r="K32" s="144">
        <v>0</v>
      </c>
    </row>
    <row r="33" spans="1:11">
      <c r="A33" s="143" t="s">
        <v>388</v>
      </c>
      <c r="B33" s="144">
        <v>0</v>
      </c>
      <c r="C33" s="144">
        <v>0</v>
      </c>
      <c r="D33" s="144">
        <v>0</v>
      </c>
      <c r="E33" s="144">
        <v>0</v>
      </c>
      <c r="F33" s="144">
        <v>0</v>
      </c>
      <c r="G33" s="144">
        <v>0</v>
      </c>
      <c r="H33" s="144">
        <v>0</v>
      </c>
      <c r="I33" s="144">
        <v>0</v>
      </c>
      <c r="J33" s="144">
        <v>0</v>
      </c>
      <c r="K33" s="144">
        <v>0</v>
      </c>
    </row>
    <row r="34" spans="1:11" ht="16" thickBot="1">
      <c r="A34" s="153" t="s">
        <v>149</v>
      </c>
      <c r="B34" s="142">
        <f t="shared" ref="B34:K34" si="8">B31+B32+B33</f>
        <v>2759.3000000000011</v>
      </c>
      <c r="C34" s="142">
        <f t="shared" si="8"/>
        <v>2818.8999999999987</v>
      </c>
      <c r="D34" s="142">
        <f t="shared" si="8"/>
        <v>2884.8999999999974</v>
      </c>
      <c r="E34" s="142">
        <f t="shared" si="8"/>
        <v>4517.9999999999982</v>
      </c>
      <c r="F34" s="142">
        <f t="shared" si="8"/>
        <v>3594.6000000000026</v>
      </c>
      <c r="G34" s="142">
        <f t="shared" si="8"/>
        <v>924.69999999999868</v>
      </c>
      <c r="H34" s="142">
        <f t="shared" si="8"/>
        <v>4200.2999999999975</v>
      </c>
      <c r="I34" s="142">
        <f t="shared" si="8"/>
        <v>3283.3999999999978</v>
      </c>
      <c r="J34" s="142">
        <f t="shared" si="8"/>
        <v>4124.6999999999971</v>
      </c>
      <c r="K34" s="142">
        <f t="shared" si="8"/>
        <v>3762.2999999999975</v>
      </c>
    </row>
    <row r="35" spans="1:11">
      <c r="A35" s="143" t="s">
        <v>389</v>
      </c>
      <c r="B35" s="144">
        <v>1.9</v>
      </c>
      <c r="C35" s="144">
        <v>1.2</v>
      </c>
      <c r="D35" s="144">
        <v>0.2</v>
      </c>
      <c r="E35" s="144">
        <v>-0.3</v>
      </c>
      <c r="F35" s="144">
        <v>-4.5999999999999996</v>
      </c>
      <c r="G35" s="144">
        <v>-3.6</v>
      </c>
      <c r="H35" s="144">
        <v>1</v>
      </c>
      <c r="I35" s="144">
        <v>1.8</v>
      </c>
      <c r="J35" s="144">
        <v>0.2</v>
      </c>
      <c r="K35" s="144">
        <v>1.4</v>
      </c>
    </row>
    <row r="36" spans="1:11" ht="16" thickBot="1">
      <c r="A36" s="153" t="s">
        <v>150</v>
      </c>
      <c r="B36" s="142">
        <f t="shared" ref="B36:K36" si="9">B34-B35</f>
        <v>2757.400000000001</v>
      </c>
      <c r="C36" s="142">
        <f t="shared" si="9"/>
        <v>2817.6999999999989</v>
      </c>
      <c r="D36" s="142">
        <f t="shared" si="9"/>
        <v>2884.6999999999975</v>
      </c>
      <c r="E36" s="142">
        <f t="shared" si="9"/>
        <v>4518.2999999999984</v>
      </c>
      <c r="F36" s="142">
        <f t="shared" si="9"/>
        <v>3599.2000000000025</v>
      </c>
      <c r="G36" s="142">
        <f t="shared" si="9"/>
        <v>928.2999999999987</v>
      </c>
      <c r="H36" s="142">
        <f t="shared" si="9"/>
        <v>4199.2999999999975</v>
      </c>
      <c r="I36" s="142">
        <f t="shared" si="9"/>
        <v>3281.5999999999976</v>
      </c>
      <c r="J36" s="142">
        <f t="shared" si="9"/>
        <v>4124.4999999999973</v>
      </c>
      <c r="K36" s="142">
        <f t="shared" si="9"/>
        <v>3760.8999999999974</v>
      </c>
    </row>
    <row r="37" spans="1:11">
      <c r="A37" s="143" t="s">
        <v>390</v>
      </c>
      <c r="B37" s="144">
        <v>0</v>
      </c>
      <c r="C37" s="144">
        <v>0</v>
      </c>
      <c r="D37" s="144">
        <v>0</v>
      </c>
      <c r="E37" s="144">
        <v>0</v>
      </c>
      <c r="F37" s="144">
        <v>0</v>
      </c>
      <c r="G37" s="144">
        <v>0</v>
      </c>
      <c r="H37" s="144">
        <v>0</v>
      </c>
      <c r="I37" s="144">
        <v>0</v>
      </c>
      <c r="J37" s="144">
        <v>0</v>
      </c>
      <c r="K37" s="144">
        <v>0</v>
      </c>
    </row>
    <row r="38" spans="1:11">
      <c r="A38" s="145" t="s">
        <v>151</v>
      </c>
      <c r="B38" s="146">
        <f t="shared" ref="B38:K38" si="10">B36+B37</f>
        <v>2757.400000000001</v>
      </c>
      <c r="C38" s="146">
        <f t="shared" si="10"/>
        <v>2817.6999999999989</v>
      </c>
      <c r="D38" s="146">
        <f t="shared" si="10"/>
        <v>2884.6999999999975</v>
      </c>
      <c r="E38" s="146">
        <f t="shared" si="10"/>
        <v>4518.2999999999984</v>
      </c>
      <c r="F38" s="146">
        <f t="shared" si="10"/>
        <v>3599.2000000000025</v>
      </c>
      <c r="G38" s="146">
        <f t="shared" si="10"/>
        <v>928.2999999999987</v>
      </c>
      <c r="H38" s="146">
        <f t="shared" si="10"/>
        <v>4199.2999999999975</v>
      </c>
      <c r="I38" s="146">
        <f t="shared" si="10"/>
        <v>3281.5999999999976</v>
      </c>
      <c r="J38" s="146">
        <f t="shared" si="10"/>
        <v>4124.4999999999973</v>
      </c>
      <c r="K38" s="146">
        <f t="shared" si="10"/>
        <v>3760.8999999999974</v>
      </c>
    </row>
    <row r="39" spans="1:11">
      <c r="A39" s="145" t="s">
        <v>152</v>
      </c>
      <c r="B39" s="146">
        <f t="shared" ref="B39:K39" si="11">B36</f>
        <v>2757.400000000001</v>
      </c>
      <c r="C39" s="146">
        <f t="shared" si="11"/>
        <v>2817.6999999999989</v>
      </c>
      <c r="D39" s="146">
        <f t="shared" si="11"/>
        <v>2884.6999999999975</v>
      </c>
      <c r="E39" s="146">
        <f t="shared" si="11"/>
        <v>4518.2999999999984</v>
      </c>
      <c r="F39" s="146">
        <f t="shared" si="11"/>
        <v>3599.2000000000025</v>
      </c>
      <c r="G39" s="146">
        <f t="shared" si="11"/>
        <v>928.2999999999987</v>
      </c>
      <c r="H39" s="146">
        <f t="shared" si="11"/>
        <v>4199.2999999999975</v>
      </c>
      <c r="I39" s="146">
        <f t="shared" si="11"/>
        <v>3281.5999999999976</v>
      </c>
      <c r="J39" s="146">
        <f t="shared" si="11"/>
        <v>4124.4999999999973</v>
      </c>
      <c r="K39" s="146">
        <f t="shared" si="11"/>
        <v>3760.8999999999974</v>
      </c>
    </row>
    <row r="40" spans="1:11">
      <c r="A40" s="143"/>
      <c r="B40" s="148"/>
      <c r="C40" s="148"/>
      <c r="D40" s="148"/>
      <c r="E40" s="148"/>
      <c r="F40" s="148"/>
      <c r="G40" s="148"/>
      <c r="H40" s="148"/>
      <c r="I40" s="148"/>
      <c r="J40" s="148"/>
      <c r="K40" s="148"/>
    </row>
    <row r="41" spans="1:11">
      <c r="A41" s="145" t="s">
        <v>153</v>
      </c>
      <c r="B41" s="148"/>
      <c r="C41" s="148"/>
      <c r="D41" s="148"/>
      <c r="E41" s="148"/>
      <c r="F41" s="148"/>
      <c r="G41" s="148"/>
      <c r="H41" s="148"/>
      <c r="I41" s="148"/>
      <c r="J41" s="148"/>
      <c r="K41" s="148"/>
    </row>
    <row r="42" spans="1:11">
      <c r="A42" s="143" t="s">
        <v>154</v>
      </c>
      <c r="B42" s="144">
        <v>1.84</v>
      </c>
      <c r="C42" s="144">
        <v>1.91</v>
      </c>
      <c r="D42" s="144">
        <v>1.99</v>
      </c>
      <c r="E42" s="144">
        <v>3.27</v>
      </c>
      <c r="F42" s="144">
        <v>2.95</v>
      </c>
      <c r="G42" s="144">
        <v>0.79</v>
      </c>
      <c r="H42" s="144">
        <v>3.57</v>
      </c>
      <c r="I42" s="144">
        <v>2.85</v>
      </c>
      <c r="J42" s="144">
        <v>3.6</v>
      </c>
      <c r="K42" s="144">
        <v>3.32</v>
      </c>
    </row>
    <row r="43" spans="1:11">
      <c r="A43" s="143" t="s">
        <v>391</v>
      </c>
      <c r="B43" s="144">
        <v>1.843305</v>
      </c>
      <c r="C43" s="144">
        <v>1.9147179999999999</v>
      </c>
      <c r="D43" s="144">
        <v>1.9901340000000001</v>
      </c>
      <c r="E43" s="144">
        <v>3.2677369999999999</v>
      </c>
      <c r="F43" s="144">
        <v>2.9472640000000001</v>
      </c>
      <c r="G43" s="144">
        <v>0.79152400000000001</v>
      </c>
      <c r="H43" s="144">
        <v>3.5659809999999998</v>
      </c>
      <c r="I43" s="144">
        <v>2.8454000000000002</v>
      </c>
      <c r="J43" s="144">
        <v>3.5965289999999999</v>
      </c>
      <c r="K43" s="144">
        <v>3.317075</v>
      </c>
    </row>
    <row r="44" spans="1:11">
      <c r="A44" s="143" t="s">
        <v>155</v>
      </c>
      <c r="B44" s="144">
        <v>1495.9</v>
      </c>
      <c r="C44" s="144">
        <v>1471.6</v>
      </c>
      <c r="D44" s="144">
        <v>1449.5</v>
      </c>
      <c r="E44" s="144">
        <v>1382.7</v>
      </c>
      <c r="F44" s="144">
        <v>1221.2</v>
      </c>
      <c r="G44" s="144">
        <v>1172.8</v>
      </c>
      <c r="H44" s="144">
        <v>1177.5999999999999</v>
      </c>
      <c r="I44" s="144">
        <v>1153.3</v>
      </c>
      <c r="J44" s="144">
        <v>1146.8</v>
      </c>
      <c r="K44" s="144">
        <v>1133.8</v>
      </c>
    </row>
    <row r="45" spans="1:11">
      <c r="A45" s="143"/>
      <c r="B45" s="148"/>
      <c r="C45" s="148"/>
      <c r="D45" s="148"/>
      <c r="E45" s="148"/>
      <c r="F45" s="148"/>
      <c r="G45" s="148"/>
      <c r="H45" s="148"/>
      <c r="I45" s="148"/>
      <c r="J45" s="148"/>
      <c r="K45" s="148"/>
    </row>
    <row r="46" spans="1:11">
      <c r="A46" s="143" t="s">
        <v>156</v>
      </c>
      <c r="B46" s="144">
        <v>1.82</v>
      </c>
      <c r="C46" s="144">
        <v>1.9</v>
      </c>
      <c r="D46" s="144">
        <v>1.97</v>
      </c>
      <c r="E46" s="144">
        <v>3.24</v>
      </c>
      <c r="F46" s="144">
        <v>2.92</v>
      </c>
      <c r="G46" s="144">
        <v>0.79</v>
      </c>
      <c r="H46" s="144">
        <v>3.54</v>
      </c>
      <c r="I46" s="144">
        <v>2.83</v>
      </c>
      <c r="J46" s="144">
        <v>3.58</v>
      </c>
      <c r="K46" s="144">
        <v>3.31</v>
      </c>
    </row>
    <row r="47" spans="1:11">
      <c r="A47" s="143" t="s">
        <v>157</v>
      </c>
      <c r="B47" s="144">
        <v>1.82</v>
      </c>
      <c r="C47" s="144">
        <v>1.9</v>
      </c>
      <c r="D47" s="144">
        <v>1.97</v>
      </c>
      <c r="E47" s="144">
        <v>3.24</v>
      </c>
      <c r="F47" s="144">
        <v>2.92</v>
      </c>
      <c r="G47" s="144">
        <v>0.79</v>
      </c>
      <c r="H47" s="144">
        <v>3.54</v>
      </c>
      <c r="I47" s="144">
        <v>2.83</v>
      </c>
      <c r="J47" s="144">
        <v>3.58</v>
      </c>
      <c r="K47" s="144">
        <v>3.31</v>
      </c>
    </row>
    <row r="48" spans="1:11">
      <c r="A48" s="143" t="s">
        <v>158</v>
      </c>
      <c r="B48" s="144">
        <v>1513.4</v>
      </c>
      <c r="C48" s="144">
        <v>1486.7</v>
      </c>
      <c r="D48" s="144">
        <v>1461.5</v>
      </c>
      <c r="E48" s="144">
        <v>1394.6</v>
      </c>
      <c r="F48" s="144">
        <v>1233.2</v>
      </c>
      <c r="G48" s="144">
        <v>1181.8</v>
      </c>
      <c r="H48" s="144">
        <v>1185.5</v>
      </c>
      <c r="I48" s="144">
        <v>1158.5</v>
      </c>
      <c r="J48" s="144">
        <v>1151.3</v>
      </c>
      <c r="K48" s="144">
        <v>1137.3</v>
      </c>
    </row>
    <row r="49" spans="1:11">
      <c r="A49" s="143"/>
      <c r="B49" s="148"/>
      <c r="C49" s="148"/>
      <c r="D49" s="148"/>
      <c r="E49" s="148"/>
      <c r="F49" s="148"/>
      <c r="G49" s="148"/>
      <c r="H49" s="148"/>
      <c r="I49" s="148"/>
      <c r="J49" s="148"/>
      <c r="K49" s="148"/>
    </row>
    <row r="50" spans="1:11">
      <c r="A50" s="143" t="s">
        <v>159</v>
      </c>
      <c r="B50" s="144">
        <v>1.49</v>
      </c>
      <c r="C50" s="144">
        <v>1.78</v>
      </c>
      <c r="D50" s="144">
        <v>1.89</v>
      </c>
      <c r="E50" s="144">
        <v>1.87</v>
      </c>
      <c r="F50" s="144">
        <v>2.04</v>
      </c>
      <c r="G50" s="144">
        <v>0.81</v>
      </c>
      <c r="H50" s="144">
        <v>2.5</v>
      </c>
      <c r="I50" s="144">
        <v>2.3199999999999998</v>
      </c>
      <c r="J50" s="144">
        <v>2.92</v>
      </c>
      <c r="K50" s="144">
        <v>2.75</v>
      </c>
    </row>
    <row r="51" spans="1:11">
      <c r="A51" s="143" t="s">
        <v>160</v>
      </c>
      <c r="B51" s="144">
        <v>1.4770380000000001</v>
      </c>
      <c r="C51" s="144">
        <v>1.761317</v>
      </c>
      <c r="D51" s="144">
        <v>1.8733660000000001</v>
      </c>
      <c r="E51" s="144">
        <v>1.854555</v>
      </c>
      <c r="F51" s="144">
        <v>2.0199780000000001</v>
      </c>
      <c r="G51" s="144">
        <v>0.80701000000000001</v>
      </c>
      <c r="H51" s="144">
        <v>2.47986</v>
      </c>
      <c r="I51" s="144">
        <v>2.3142640000000001</v>
      </c>
      <c r="J51" s="144">
        <v>2.908277</v>
      </c>
      <c r="K51" s="144">
        <v>2.743207</v>
      </c>
    </row>
    <row r="52" spans="1:11">
      <c r="A52" s="143"/>
      <c r="B52" s="148"/>
      <c r="C52" s="148"/>
      <c r="D52" s="148"/>
      <c r="E52" s="148"/>
      <c r="F52" s="148"/>
      <c r="G52" s="148"/>
      <c r="H52" s="148"/>
      <c r="I52" s="148"/>
      <c r="J52" s="148"/>
      <c r="K52" s="148"/>
    </row>
    <row r="53" spans="1:11">
      <c r="A53" s="143" t="s">
        <v>161</v>
      </c>
      <c r="B53" s="141">
        <v>0.68</v>
      </c>
      <c r="C53" s="141">
        <v>0.85</v>
      </c>
      <c r="D53" s="141">
        <v>1.05</v>
      </c>
      <c r="E53" s="141">
        <v>1.32</v>
      </c>
      <c r="F53" s="141">
        <v>1.49</v>
      </c>
      <c r="G53" s="141">
        <v>1.68</v>
      </c>
      <c r="H53" s="141">
        <v>1.84</v>
      </c>
      <c r="I53" s="141">
        <v>2</v>
      </c>
      <c r="J53" s="141">
        <v>2.16</v>
      </c>
      <c r="K53" s="141">
        <v>2.3199999999999998</v>
      </c>
    </row>
    <row r="54" spans="1:11">
      <c r="A54" s="143" t="s">
        <v>162</v>
      </c>
      <c r="B54" s="205">
        <v>0.33676600000000001</v>
      </c>
      <c r="C54" s="205">
        <v>0.41807100000000003</v>
      </c>
      <c r="D54" s="205">
        <v>0.50278999999999996</v>
      </c>
      <c r="E54" s="205">
        <v>0.385853</v>
      </c>
      <c r="F54" s="205">
        <v>0.48935800000000002</v>
      </c>
      <c r="G54" s="205">
        <v>2.0720670000000001</v>
      </c>
      <c r="H54" s="205">
        <v>0.50460700000000003</v>
      </c>
      <c r="I54" s="205">
        <v>0.68969400000000003</v>
      </c>
      <c r="J54" s="205">
        <v>0.58959799999999996</v>
      </c>
      <c r="K54" s="205">
        <v>0.68733500000000003</v>
      </c>
    </row>
    <row r="55" spans="1:11">
      <c r="A55" s="143"/>
      <c r="B55" s="148"/>
      <c r="C55" s="148"/>
      <c r="D55" s="148"/>
      <c r="E55" s="148"/>
      <c r="F55" s="148"/>
      <c r="G55" s="148"/>
      <c r="H55" s="148"/>
      <c r="I55" s="148"/>
      <c r="J55" s="148"/>
      <c r="K55" s="148"/>
    </row>
    <row r="56" spans="1:11">
      <c r="A56" s="143" t="s">
        <v>163</v>
      </c>
      <c r="B56" s="144">
        <v>1</v>
      </c>
      <c r="C56" s="144">
        <v>1</v>
      </c>
      <c r="D56" s="144">
        <v>1</v>
      </c>
      <c r="E56" s="144">
        <v>1</v>
      </c>
      <c r="F56" s="144">
        <v>1</v>
      </c>
      <c r="G56" s="144">
        <v>1</v>
      </c>
      <c r="H56" s="144">
        <v>1</v>
      </c>
      <c r="I56" s="144">
        <v>1</v>
      </c>
      <c r="J56" s="144">
        <v>1</v>
      </c>
      <c r="K56" s="144">
        <v>1</v>
      </c>
    </row>
    <row r="57" spans="1:11">
      <c r="A57" s="143"/>
      <c r="B57" s="148"/>
      <c r="C57" s="148"/>
      <c r="D57" s="148"/>
      <c r="E57" s="148"/>
      <c r="F57" s="148"/>
      <c r="G57" s="148"/>
      <c r="H57" s="148"/>
      <c r="I57" s="148"/>
      <c r="J57" s="148"/>
      <c r="K57" s="148"/>
    </row>
    <row r="58" spans="1:11">
      <c r="A58" s="145" t="s">
        <v>164</v>
      </c>
      <c r="B58" s="148"/>
      <c r="C58" s="148"/>
      <c r="D58" s="148"/>
      <c r="E58" s="148"/>
      <c r="F58" s="148"/>
      <c r="G58" s="148"/>
      <c r="H58" s="148"/>
      <c r="I58" s="148"/>
      <c r="J58" s="148"/>
      <c r="K58" s="148"/>
    </row>
    <row r="59" spans="1:11">
      <c r="A59" s="143" t="s">
        <v>165</v>
      </c>
      <c r="B59" s="144">
        <v>4284.8999999999996</v>
      </c>
      <c r="C59" s="144">
        <v>4883.8</v>
      </c>
      <c r="D59" s="144">
        <v>4963.8999999999996</v>
      </c>
      <c r="E59" s="144">
        <v>5116</v>
      </c>
      <c r="F59" s="144">
        <v>5365</v>
      </c>
      <c r="G59" s="144">
        <v>3103.1</v>
      </c>
      <c r="H59" s="144">
        <v>6225.7</v>
      </c>
      <c r="I59" s="144">
        <v>5973.4</v>
      </c>
      <c r="J59" s="144">
        <v>6976.4</v>
      </c>
      <c r="K59" s="144">
        <v>6723.3</v>
      </c>
    </row>
    <row r="60" spans="1:11">
      <c r="A60" s="143" t="s">
        <v>166</v>
      </c>
      <c r="B60" s="144">
        <v>3401.1</v>
      </c>
      <c r="C60" s="144">
        <v>3911</v>
      </c>
      <c r="D60" s="144">
        <v>3954.3</v>
      </c>
      <c r="E60" s="144">
        <v>3996.6</v>
      </c>
      <c r="F60" s="144">
        <v>4148.5</v>
      </c>
      <c r="G60" s="144">
        <v>1823.6</v>
      </c>
      <c r="H60" s="144">
        <v>4925</v>
      </c>
      <c r="I60" s="144">
        <v>4636.7</v>
      </c>
      <c r="J60" s="144">
        <v>5547.6</v>
      </c>
      <c r="K60" s="144">
        <v>5151.3</v>
      </c>
    </row>
    <row r="61" spans="1:11">
      <c r="A61" s="143" t="s">
        <v>167</v>
      </c>
      <c r="B61" s="144">
        <v>3351.1</v>
      </c>
      <c r="C61" s="144">
        <v>3853.7</v>
      </c>
      <c r="D61" s="144">
        <v>3896.8</v>
      </c>
      <c r="E61" s="144">
        <v>3810.1</v>
      </c>
      <c r="F61" s="144">
        <v>3915.7</v>
      </c>
      <c r="G61" s="144">
        <v>1599.9</v>
      </c>
      <c r="H61" s="144">
        <v>4701.6000000000004</v>
      </c>
      <c r="I61" s="144">
        <v>4444</v>
      </c>
      <c r="J61" s="144">
        <v>5526.1</v>
      </c>
      <c r="K61" s="144">
        <v>5130.8999999999996</v>
      </c>
    </row>
    <row r="62" spans="1:11">
      <c r="A62" s="143" t="s">
        <v>168</v>
      </c>
      <c r="B62" s="144">
        <v>5410.8</v>
      </c>
      <c r="C62" s="144">
        <v>6092.4</v>
      </c>
      <c r="D62" s="144">
        <v>6277.6</v>
      </c>
      <c r="E62" s="144">
        <v>7354.2</v>
      </c>
      <c r="F62" s="144">
        <v>7765.3</v>
      </c>
      <c r="G62" s="144">
        <v>5544.2</v>
      </c>
      <c r="H62" s="144">
        <v>8787.2000000000007</v>
      </c>
      <c r="I62" s="144">
        <v>8647.5</v>
      </c>
      <c r="J62" s="144">
        <v>9847.4</v>
      </c>
      <c r="K62" s="144">
        <v>9773.9</v>
      </c>
    </row>
    <row r="63" spans="1:11">
      <c r="A63" s="143" t="s">
        <v>169</v>
      </c>
      <c r="B63" s="144">
        <v>19162.7</v>
      </c>
      <c r="C63" s="144">
        <v>21315.9</v>
      </c>
      <c r="D63" s="144">
        <v>22386.799999999999</v>
      </c>
      <c r="E63" s="144">
        <v>24719.5</v>
      </c>
      <c r="F63" s="144">
        <v>26508.6</v>
      </c>
      <c r="G63" s="144">
        <v>23518</v>
      </c>
      <c r="H63" s="144">
        <v>29060.6</v>
      </c>
      <c r="I63" s="144">
        <v>32250.3</v>
      </c>
      <c r="J63" s="144">
        <v>35975.599999999999</v>
      </c>
      <c r="K63" s="144">
        <v>36176.199999999997</v>
      </c>
    </row>
    <row r="64" spans="1:11">
      <c r="A64" s="143" t="s">
        <v>171</v>
      </c>
      <c r="B64" s="144">
        <v>0.29303099999999999</v>
      </c>
      <c r="C64" s="144">
        <v>0.32860899999999998</v>
      </c>
      <c r="D64" s="144">
        <v>0.331812</v>
      </c>
      <c r="E64" s="144">
        <v>0.21833900000000001</v>
      </c>
      <c r="F64" s="144">
        <v>0.19515399999999999</v>
      </c>
      <c r="G64" s="144">
        <v>0.20585700000000001</v>
      </c>
      <c r="H64" s="144">
        <v>0.21590799999999999</v>
      </c>
      <c r="I64" s="144">
        <v>0.224131</v>
      </c>
      <c r="J64" s="144">
        <v>0.23643500000000001</v>
      </c>
      <c r="K64" s="144">
        <v>0.24293699999999999</v>
      </c>
    </row>
    <row r="65" spans="1:11">
      <c r="A65" s="143" t="s">
        <v>172</v>
      </c>
      <c r="B65" s="144">
        <v>951.1</v>
      </c>
      <c r="C65" s="144">
        <v>870.6</v>
      </c>
      <c r="D65" s="144">
        <v>1101.8</v>
      </c>
      <c r="E65" s="144">
        <v>208.2</v>
      </c>
      <c r="F65" s="144">
        <v>1862.1</v>
      </c>
      <c r="G65" s="144">
        <v>86.8</v>
      </c>
      <c r="H65" s="144">
        <v>871.8</v>
      </c>
      <c r="I65" s="144">
        <v>641.6</v>
      </c>
      <c r="J65" s="144">
        <v>914.1</v>
      </c>
      <c r="K65" s="144">
        <v>892.1</v>
      </c>
    </row>
    <row r="66" spans="1:11">
      <c r="A66" s="143" t="s">
        <v>173</v>
      </c>
      <c r="B66" s="144">
        <v>172.2</v>
      </c>
      <c r="C66" s="144">
        <v>218.5</v>
      </c>
      <c r="D66" s="144">
        <v>216.6</v>
      </c>
      <c r="E66" s="144">
        <v>327</v>
      </c>
      <c r="F66" s="144">
        <v>458.3</v>
      </c>
      <c r="G66" s="144">
        <v>181.4</v>
      </c>
      <c r="H66" s="144">
        <v>409.8</v>
      </c>
      <c r="I66" s="144">
        <v>283.8</v>
      </c>
      <c r="J66" s="144">
        <v>422.4</v>
      </c>
      <c r="K66" s="144">
        <v>328.8</v>
      </c>
    </row>
    <row r="67" spans="1:11">
      <c r="A67" s="143" t="s">
        <v>174</v>
      </c>
      <c r="B67" s="144">
        <v>1123.3</v>
      </c>
      <c r="C67" s="144">
        <v>1089.0999999999999</v>
      </c>
      <c r="D67" s="144">
        <v>1318.4</v>
      </c>
      <c r="E67" s="144">
        <v>535.20000000000005</v>
      </c>
      <c r="F67" s="144">
        <v>2320.4</v>
      </c>
      <c r="G67" s="144">
        <v>268.2</v>
      </c>
      <c r="H67" s="144">
        <v>1281.5999999999999</v>
      </c>
      <c r="I67" s="144">
        <v>925.4</v>
      </c>
      <c r="J67" s="144">
        <v>1336.5</v>
      </c>
      <c r="K67" s="144">
        <v>1220.9000000000001</v>
      </c>
    </row>
    <row r="68" spans="1:11">
      <c r="A68" s="143" t="s">
        <v>175</v>
      </c>
      <c r="B68" s="144">
        <v>60.5</v>
      </c>
      <c r="C68" s="144">
        <v>377.1</v>
      </c>
      <c r="D68" s="144">
        <v>135.4</v>
      </c>
      <c r="E68" s="144">
        <v>735.2</v>
      </c>
      <c r="F68" s="144">
        <v>-1396.9</v>
      </c>
      <c r="G68" s="144">
        <v>-13.2</v>
      </c>
      <c r="H68" s="144">
        <v>4</v>
      </c>
      <c r="I68" s="144">
        <v>103.1</v>
      </c>
      <c r="J68" s="144">
        <v>116.2</v>
      </c>
      <c r="K68" s="144">
        <v>10</v>
      </c>
    </row>
    <row r="69" spans="1:11">
      <c r="A69" s="143" t="s">
        <v>176</v>
      </c>
      <c r="B69" s="144">
        <v>-40.1</v>
      </c>
      <c r="C69" s="144">
        <v>-86.5</v>
      </c>
      <c r="D69" s="144">
        <v>-21.2</v>
      </c>
      <c r="E69" s="144">
        <v>-8.4</v>
      </c>
      <c r="F69" s="144">
        <v>-51.9</v>
      </c>
      <c r="G69" s="144">
        <v>-15.3</v>
      </c>
      <c r="H69" s="144">
        <v>-129</v>
      </c>
      <c r="I69" s="144">
        <v>-80</v>
      </c>
      <c r="J69" s="144">
        <v>-175.5</v>
      </c>
      <c r="K69" s="144">
        <v>-23.6</v>
      </c>
    </row>
    <row r="70" spans="1:11">
      <c r="A70" s="143" t="s">
        <v>177</v>
      </c>
      <c r="B70" s="144">
        <v>20.399999999999999</v>
      </c>
      <c r="C70" s="144">
        <v>290.60000000000002</v>
      </c>
      <c r="D70" s="144">
        <v>114.2</v>
      </c>
      <c r="E70" s="144">
        <v>726.8</v>
      </c>
      <c r="F70" s="144">
        <v>-1448.8</v>
      </c>
      <c r="G70" s="144">
        <v>-28.5</v>
      </c>
      <c r="H70" s="144">
        <v>-125</v>
      </c>
      <c r="I70" s="144">
        <v>23.1</v>
      </c>
      <c r="J70" s="144">
        <v>-59.3</v>
      </c>
      <c r="K70" s="144">
        <v>-13.6</v>
      </c>
    </row>
    <row r="71" spans="1:11">
      <c r="A71" s="143"/>
      <c r="B71" s="148"/>
      <c r="C71" s="148"/>
      <c r="D71" s="148"/>
      <c r="E71" s="148"/>
      <c r="F71" s="148"/>
      <c r="G71" s="148"/>
      <c r="H71" s="148"/>
      <c r="I71" s="148"/>
      <c r="J71" s="148"/>
      <c r="K71" s="148"/>
    </row>
    <row r="72" spans="1:11">
      <c r="A72" s="143" t="s">
        <v>178</v>
      </c>
      <c r="B72" s="144">
        <v>2235.35</v>
      </c>
      <c r="C72" s="144">
        <v>2618.5500000000002</v>
      </c>
      <c r="D72" s="144">
        <v>2737.9250000000002</v>
      </c>
      <c r="E72" s="144">
        <v>2586.3625000000002</v>
      </c>
      <c r="F72" s="144">
        <v>2491.0374999999999</v>
      </c>
      <c r="G72" s="144">
        <v>953.72500000000002</v>
      </c>
      <c r="H72" s="144">
        <v>2939.875</v>
      </c>
      <c r="I72" s="144">
        <v>2681.0749999999998</v>
      </c>
      <c r="J72" s="144">
        <v>3348.3</v>
      </c>
      <c r="K72" s="144">
        <v>3119.85</v>
      </c>
    </row>
    <row r="73" spans="1:11" ht="16">
      <c r="A73" s="143" t="s">
        <v>179</v>
      </c>
      <c r="B73" s="144">
        <v>74.2</v>
      </c>
      <c r="C73" s="144">
        <v>81.3</v>
      </c>
      <c r="D73" s="144">
        <v>92.5</v>
      </c>
      <c r="E73" s="144" t="s">
        <v>170</v>
      </c>
      <c r="F73" s="144" t="s">
        <v>170</v>
      </c>
      <c r="G73" s="144" t="s">
        <v>170</v>
      </c>
      <c r="H73" s="144">
        <v>469.8</v>
      </c>
      <c r="I73" s="144" t="s">
        <v>170</v>
      </c>
      <c r="J73" s="144" t="s">
        <v>170</v>
      </c>
      <c r="K73" s="144" t="s">
        <v>170</v>
      </c>
    </row>
    <row r="74" spans="1:11">
      <c r="A74" s="143" t="s">
        <v>180</v>
      </c>
      <c r="B74" s="144">
        <v>43056</v>
      </c>
      <c r="C74" s="144">
        <v>43420</v>
      </c>
      <c r="D74" s="144">
        <v>43784</v>
      </c>
      <c r="E74" s="144">
        <v>44147</v>
      </c>
      <c r="F74" s="144">
        <v>44519</v>
      </c>
      <c r="G74" s="144">
        <v>44883</v>
      </c>
      <c r="H74" s="144">
        <v>45247</v>
      </c>
      <c r="I74" s="144">
        <v>45616</v>
      </c>
      <c r="J74" s="144">
        <v>45616</v>
      </c>
      <c r="K74" s="144">
        <v>45616</v>
      </c>
    </row>
    <row r="75" spans="1:11" ht="16">
      <c r="A75" s="143" t="s">
        <v>181</v>
      </c>
      <c r="B75" s="144" t="s">
        <v>182</v>
      </c>
      <c r="C75" s="144" t="s">
        <v>182</v>
      </c>
      <c r="D75" s="144" t="s">
        <v>182</v>
      </c>
      <c r="E75" s="144" t="s">
        <v>182</v>
      </c>
      <c r="F75" s="144" t="s">
        <v>361</v>
      </c>
      <c r="G75" s="144" t="s">
        <v>361</v>
      </c>
      <c r="H75" s="144" t="s">
        <v>361</v>
      </c>
      <c r="I75" s="144" t="s">
        <v>361</v>
      </c>
      <c r="J75" s="144" t="s">
        <v>361</v>
      </c>
      <c r="K75" s="144" t="s">
        <v>362</v>
      </c>
    </row>
    <row r="76" spans="1:11" ht="16">
      <c r="A76" s="143" t="s">
        <v>184</v>
      </c>
      <c r="B76" s="144" t="s">
        <v>185</v>
      </c>
      <c r="C76" s="144" t="s">
        <v>185</v>
      </c>
      <c r="D76" s="144" t="s">
        <v>185</v>
      </c>
      <c r="E76" s="144" t="s">
        <v>185</v>
      </c>
      <c r="F76" s="144" t="s">
        <v>185</v>
      </c>
      <c r="G76" s="144" t="s">
        <v>185</v>
      </c>
      <c r="H76" s="144" t="s">
        <v>185</v>
      </c>
      <c r="I76" s="144" t="s">
        <v>185</v>
      </c>
      <c r="J76" s="144" t="s">
        <v>185</v>
      </c>
      <c r="K76" s="144" t="s">
        <v>185</v>
      </c>
    </row>
    <row r="77" spans="1:11">
      <c r="A77" s="143"/>
      <c r="B77" s="148"/>
      <c r="C77" s="148"/>
      <c r="D77" s="148"/>
      <c r="E77" s="148"/>
      <c r="F77" s="148"/>
      <c r="G77" s="148"/>
      <c r="H77" s="148"/>
      <c r="I77" s="148"/>
      <c r="J77" s="148"/>
      <c r="K77" s="148"/>
    </row>
    <row r="78" spans="1:11">
      <c r="A78" s="145" t="s">
        <v>186</v>
      </c>
      <c r="B78" s="148"/>
      <c r="C78" s="148"/>
      <c r="D78" s="148"/>
      <c r="E78" s="148"/>
      <c r="F78" s="148"/>
      <c r="G78" s="148"/>
      <c r="H78" s="148"/>
      <c r="I78" s="148"/>
      <c r="J78" s="148"/>
      <c r="K78" s="148"/>
    </row>
    <row r="79" spans="1:11">
      <c r="A79" s="143" t="s">
        <v>187</v>
      </c>
      <c r="B79" s="144">
        <v>227.9</v>
      </c>
      <c r="C79" s="144">
        <v>248.6</v>
      </c>
      <c r="D79" s="144">
        <v>282.60000000000002</v>
      </c>
      <c r="E79" s="144">
        <v>260.3</v>
      </c>
      <c r="F79" s="144">
        <v>245.7</v>
      </c>
      <c r="G79" s="144">
        <v>258.8</v>
      </c>
      <c r="H79" s="144">
        <v>305.10000000000002</v>
      </c>
      <c r="I79" s="144">
        <v>416.7</v>
      </c>
      <c r="J79" s="144">
        <v>507.8</v>
      </c>
      <c r="K79" s="144">
        <v>597.29999999999995</v>
      </c>
    </row>
    <row r="80" spans="1:11">
      <c r="A80" s="143" t="s">
        <v>376</v>
      </c>
      <c r="B80" s="144">
        <v>1196.7</v>
      </c>
      <c r="C80" s="144">
        <v>1408.9</v>
      </c>
      <c r="D80" s="144">
        <v>1408.4</v>
      </c>
      <c r="E80" s="144">
        <v>1704.6</v>
      </c>
      <c r="F80" s="144">
        <v>1824.1</v>
      </c>
      <c r="G80" s="144">
        <v>1679.6</v>
      </c>
      <c r="H80" s="144">
        <v>1932.6</v>
      </c>
      <c r="I80" s="144">
        <v>2032</v>
      </c>
      <c r="J80" s="144">
        <v>2441.3000000000002</v>
      </c>
      <c r="K80" s="144">
        <v>2523.3000000000002</v>
      </c>
    </row>
    <row r="81" spans="1:11">
      <c r="A81" s="143" t="s">
        <v>188</v>
      </c>
      <c r="B81" s="144">
        <v>1125.9000000000001</v>
      </c>
      <c r="C81" s="144">
        <v>1208.5999999999999</v>
      </c>
      <c r="D81" s="144">
        <v>1313.7</v>
      </c>
      <c r="E81" s="144">
        <v>2238.1999999999998</v>
      </c>
      <c r="F81" s="144">
        <v>2400.3000000000002</v>
      </c>
      <c r="G81" s="144">
        <v>2441.1</v>
      </c>
      <c r="H81" s="144">
        <v>2561.5</v>
      </c>
      <c r="I81" s="144">
        <v>2674.1</v>
      </c>
      <c r="J81" s="144">
        <v>2871</v>
      </c>
      <c r="K81" s="144">
        <v>3050.6</v>
      </c>
    </row>
    <row r="82" spans="1:11">
      <c r="A82" s="143" t="s">
        <v>189</v>
      </c>
      <c r="B82" s="144">
        <v>288.91494699999998</v>
      </c>
      <c r="C82" s="144">
        <v>264.99280199999998</v>
      </c>
      <c r="D82" s="144">
        <v>258.62023699999997</v>
      </c>
      <c r="E82" s="144">
        <v>454.94548500000002</v>
      </c>
      <c r="F82" s="144">
        <v>615.82096799999999</v>
      </c>
      <c r="G82" s="144">
        <v>467.63664499999999</v>
      </c>
      <c r="H82" s="144">
        <v>396.47921600000001</v>
      </c>
      <c r="I82" s="144">
        <v>435.34348</v>
      </c>
      <c r="J82" s="144">
        <v>521.097984</v>
      </c>
      <c r="K82" s="144">
        <v>543.56811000000005</v>
      </c>
    </row>
    <row r="83" spans="1:11">
      <c r="A83" s="143" t="s">
        <v>190</v>
      </c>
      <c r="B83" s="144">
        <v>836.98505299999999</v>
      </c>
      <c r="C83" s="144">
        <v>943.60719800000004</v>
      </c>
      <c r="D83" s="144">
        <v>1055.079763</v>
      </c>
      <c r="E83" s="144">
        <v>1783.2545150000001</v>
      </c>
      <c r="F83" s="144">
        <v>1784.479032</v>
      </c>
      <c r="G83" s="144">
        <v>1973.4633550000001</v>
      </c>
      <c r="H83" s="144">
        <v>2165.0207839999998</v>
      </c>
      <c r="I83" s="144">
        <v>2238.7565199999999</v>
      </c>
      <c r="J83" s="144">
        <v>2349.902016</v>
      </c>
      <c r="K83" s="144">
        <v>2507.0318900000002</v>
      </c>
    </row>
    <row r="84" spans="1:11">
      <c r="A84" s="143"/>
      <c r="B84" s="148"/>
      <c r="C84" s="148"/>
      <c r="D84" s="148"/>
      <c r="E84" s="148"/>
      <c r="F84" s="148"/>
      <c r="G84" s="148"/>
      <c r="H84" s="148"/>
      <c r="I84" s="148"/>
      <c r="J84" s="148"/>
      <c r="K84" s="148"/>
    </row>
    <row r="85" spans="1:11">
      <c r="A85" s="143" t="s">
        <v>377</v>
      </c>
      <c r="B85" s="144">
        <v>0</v>
      </c>
      <c r="C85" s="144">
        <v>218.1</v>
      </c>
      <c r="D85" s="144">
        <v>0</v>
      </c>
      <c r="E85" s="144">
        <v>0</v>
      </c>
      <c r="F85" s="144">
        <v>0</v>
      </c>
      <c r="G85" s="144">
        <v>0</v>
      </c>
      <c r="H85" s="144">
        <v>0</v>
      </c>
      <c r="I85" s="144">
        <v>0</v>
      </c>
      <c r="J85" s="144">
        <v>0</v>
      </c>
      <c r="K85" s="144">
        <v>0</v>
      </c>
    </row>
    <row r="86" spans="1:11">
      <c r="A86" s="143" t="s">
        <v>191</v>
      </c>
      <c r="B86" s="144">
        <v>209.8</v>
      </c>
      <c r="C86" s="144">
        <v>0</v>
      </c>
      <c r="D86" s="144">
        <v>176</v>
      </c>
      <c r="E86" s="144">
        <v>250.3</v>
      </c>
      <c r="F86" s="144">
        <v>308</v>
      </c>
      <c r="G86" s="144">
        <v>248.6</v>
      </c>
      <c r="H86" s="144">
        <v>319.10000000000002</v>
      </c>
      <c r="I86" s="144">
        <v>271.5</v>
      </c>
      <c r="J86" s="144">
        <v>302.7</v>
      </c>
      <c r="K86" s="144">
        <v>308.3</v>
      </c>
    </row>
    <row r="87" spans="1:11" ht="16" thickBot="1">
      <c r="A87" s="154" t="s">
        <v>192</v>
      </c>
      <c r="B87" s="147">
        <f>B86+B85</f>
        <v>209.8</v>
      </c>
      <c r="C87" s="147">
        <f t="shared" ref="C87:K87" si="12">C86+C85</f>
        <v>218.1</v>
      </c>
      <c r="D87" s="147">
        <f t="shared" si="12"/>
        <v>176</v>
      </c>
      <c r="E87" s="147">
        <f t="shared" si="12"/>
        <v>250.3</v>
      </c>
      <c r="F87" s="147">
        <f t="shared" si="12"/>
        <v>308</v>
      </c>
      <c r="G87" s="147">
        <f t="shared" si="12"/>
        <v>248.6</v>
      </c>
      <c r="H87" s="147">
        <f t="shared" si="12"/>
        <v>319.10000000000002</v>
      </c>
      <c r="I87" s="147">
        <f t="shared" si="12"/>
        <v>271.5</v>
      </c>
      <c r="J87" s="147">
        <f t="shared" si="12"/>
        <v>302.7</v>
      </c>
      <c r="K87" s="147">
        <f t="shared" si="12"/>
        <v>308.3</v>
      </c>
    </row>
    <row r="88" spans="1:11">
      <c r="A88" s="143"/>
      <c r="B88" s="143"/>
      <c r="C88" s="143"/>
      <c r="D88" s="143"/>
      <c r="E88" s="143"/>
      <c r="F88" s="143"/>
      <c r="G88" s="143"/>
      <c r="H88" s="143"/>
      <c r="I88" s="143"/>
      <c r="J88" s="143"/>
      <c r="K88" s="143"/>
    </row>
    <row r="89" spans="1:11">
      <c r="A89" s="149" t="s">
        <v>378</v>
      </c>
      <c r="B89" s="150"/>
      <c r="C89" s="150"/>
      <c r="D89" s="150"/>
      <c r="E89" s="150"/>
      <c r="F89" s="150"/>
      <c r="G89" s="150"/>
      <c r="H89" s="150"/>
      <c r="I89" s="150"/>
      <c r="J89" s="150"/>
      <c r="K89" s="150"/>
    </row>
    <row r="90" spans="1:11">
      <c r="A90" s="151" t="s">
        <v>379</v>
      </c>
      <c r="B90" s="151"/>
      <c r="C90" s="151"/>
      <c r="D90" s="151"/>
      <c r="E90" s="151"/>
      <c r="F90" s="151"/>
      <c r="G90" s="151"/>
      <c r="H90" s="151"/>
      <c r="I90" s="151"/>
      <c r="J90" s="151"/>
      <c r="K90" s="151"/>
    </row>
    <row r="91" spans="1:11">
      <c r="A91" s="152"/>
      <c r="B91" s="151"/>
      <c r="C91" s="151"/>
      <c r="D91" s="151"/>
      <c r="E91" s="151"/>
      <c r="F91" s="151"/>
      <c r="G91" s="151"/>
      <c r="H91" s="151"/>
      <c r="I91" s="151"/>
      <c r="J91" s="151"/>
      <c r="K91" s="151"/>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68EEA-1122-044E-BE86-DF0589F19C04}">
  <dimension ref="A2:IU62"/>
  <sheetViews>
    <sheetView workbookViewId="0">
      <pane xSplit="1" topLeftCell="B1" activePane="topRight" state="frozen"/>
      <selection pane="topRight" activeCell="M29" sqref="M29"/>
    </sheetView>
  </sheetViews>
  <sheetFormatPr baseColWidth="10" defaultColWidth="38.33203125" defaultRowHeight="15"/>
  <cols>
    <col min="1" max="1" width="54.6640625" style="7" customWidth="1"/>
    <col min="2" max="7" width="18.83203125" style="7" customWidth="1"/>
    <col min="8" max="8" width="22" style="7" customWidth="1"/>
    <col min="9" max="9" width="18.83203125" style="7" customWidth="1"/>
    <col min="10" max="10" width="19.83203125" style="7" customWidth="1"/>
    <col min="11" max="11" width="22.5" style="7" customWidth="1"/>
    <col min="12" max="16384" width="38.33203125" style="7"/>
  </cols>
  <sheetData>
    <row r="2" spans="1:255" s="4" customFormat="1">
      <c r="A2" s="2" t="s">
        <v>38</v>
      </c>
      <c r="B2" s="2"/>
      <c r="C2" s="2"/>
      <c r="D2" s="2"/>
      <c r="E2" s="2"/>
      <c r="F2" s="2"/>
      <c r="G2" s="2"/>
      <c r="H2" s="2"/>
      <c r="I2" s="2"/>
      <c r="J2" s="2"/>
      <c r="K2" s="2"/>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ht="32">
      <c r="A3" s="8" t="s">
        <v>99</v>
      </c>
      <c r="B3" s="9" t="s">
        <v>39</v>
      </c>
      <c r="C3" s="9" t="s">
        <v>40</v>
      </c>
      <c r="D3" s="9" t="s">
        <v>41</v>
      </c>
      <c r="E3" s="9" t="s">
        <v>42</v>
      </c>
      <c r="F3" s="9" t="s">
        <v>43</v>
      </c>
      <c r="G3" s="9" t="s">
        <v>44</v>
      </c>
      <c r="H3" s="9" t="s">
        <v>45</v>
      </c>
      <c r="I3" s="9" t="s">
        <v>46</v>
      </c>
      <c r="J3" s="9" t="s">
        <v>47</v>
      </c>
      <c r="K3" s="9" t="s">
        <v>48</v>
      </c>
    </row>
    <row r="4" spans="1:255">
      <c r="A4" s="10" t="s">
        <v>53</v>
      </c>
      <c r="B4" s="11"/>
      <c r="C4" s="11"/>
      <c r="D4" s="11"/>
      <c r="E4" s="11"/>
      <c r="F4" s="11"/>
      <c r="G4" s="11"/>
      <c r="H4" s="11"/>
      <c r="I4" s="11"/>
      <c r="J4" s="11"/>
      <c r="K4" s="11"/>
    </row>
    <row r="5" spans="1:255">
      <c r="A5" s="11" t="s">
        <v>54</v>
      </c>
      <c r="B5" s="12">
        <v>2759.3</v>
      </c>
      <c r="C5" s="12">
        <v>2818.9</v>
      </c>
      <c r="D5" s="12">
        <v>2884.9</v>
      </c>
      <c r="E5" s="12">
        <v>4518</v>
      </c>
      <c r="F5" s="12">
        <v>3594.6</v>
      </c>
      <c r="G5" s="12">
        <v>924.7</v>
      </c>
      <c r="H5" s="12">
        <v>4200.3</v>
      </c>
      <c r="I5" s="12">
        <v>3283.4</v>
      </c>
      <c r="J5" s="12">
        <v>4124.7</v>
      </c>
      <c r="K5" s="12">
        <v>3762.3</v>
      </c>
    </row>
    <row r="6" spans="1:255">
      <c r="A6" s="11" t="s">
        <v>51</v>
      </c>
      <c r="B6" s="12">
        <v>933.8</v>
      </c>
      <c r="C6" s="12">
        <v>1030.0999999999999</v>
      </c>
      <c r="D6" s="12">
        <v>1067.0999999999999</v>
      </c>
      <c r="E6" s="12">
        <v>1305.9000000000001</v>
      </c>
      <c r="F6" s="12">
        <v>1449.3</v>
      </c>
      <c r="G6" s="12">
        <v>1503.2</v>
      </c>
      <c r="H6" s="12">
        <v>1524.1</v>
      </c>
      <c r="I6" s="12">
        <v>1529.4</v>
      </c>
      <c r="J6" s="12">
        <v>1450.3</v>
      </c>
      <c r="K6" s="12">
        <v>1592.4</v>
      </c>
    </row>
    <row r="7" spans="1:255" ht="16">
      <c r="A7" s="11" t="s">
        <v>55</v>
      </c>
      <c r="B7" s="12" t="s">
        <v>15</v>
      </c>
      <c r="C7" s="12" t="s">
        <v>15</v>
      </c>
      <c r="D7" s="12" t="s">
        <v>15</v>
      </c>
      <c r="E7" s="12" t="s">
        <v>15</v>
      </c>
      <c r="F7" s="12" t="s">
        <v>15</v>
      </c>
      <c r="G7" s="12" t="s">
        <v>15</v>
      </c>
      <c r="H7" s="12" t="s">
        <v>15</v>
      </c>
      <c r="I7" s="12" t="s">
        <v>15</v>
      </c>
      <c r="J7" s="12">
        <v>-91.3</v>
      </c>
      <c r="K7" s="12" t="s">
        <v>15</v>
      </c>
    </row>
    <row r="8" spans="1:255" ht="16">
      <c r="A8" s="11" t="s">
        <v>56</v>
      </c>
      <c r="B8" s="12" t="s">
        <v>15</v>
      </c>
      <c r="C8" s="12" t="s">
        <v>15</v>
      </c>
      <c r="D8" s="12" t="s">
        <v>15</v>
      </c>
      <c r="E8" s="12">
        <v>75.599999999999994</v>
      </c>
      <c r="F8" s="12">
        <v>142.6</v>
      </c>
      <c r="G8" s="12">
        <v>454.4</v>
      </c>
      <c r="H8" s="12">
        <v>226.2</v>
      </c>
      <c r="I8" s="12">
        <v>91.4</v>
      </c>
      <c r="J8" s="12">
        <v>101.4</v>
      </c>
      <c r="K8" s="12">
        <v>121.5</v>
      </c>
    </row>
    <row r="9" spans="1:255" ht="16">
      <c r="A9" s="11" t="s">
        <v>57</v>
      </c>
      <c r="B9" s="12" t="s">
        <v>15</v>
      </c>
      <c r="C9" s="12">
        <v>-6.1</v>
      </c>
      <c r="D9" s="12">
        <v>-93.5</v>
      </c>
      <c r="E9" s="12">
        <v>-499.2</v>
      </c>
      <c r="F9" s="12">
        <v>-622.79999999999995</v>
      </c>
      <c r="G9" s="12" t="s">
        <v>15</v>
      </c>
      <c r="H9" s="12">
        <v>-864.5</v>
      </c>
      <c r="I9" s="12" t="s">
        <v>15</v>
      </c>
      <c r="J9" s="12" t="s">
        <v>15</v>
      </c>
      <c r="K9" s="12" t="s">
        <v>15</v>
      </c>
    </row>
    <row r="10" spans="1:255" ht="16">
      <c r="A10" s="11" t="s">
        <v>58</v>
      </c>
      <c r="B10" s="12" t="s">
        <v>15</v>
      </c>
      <c r="C10" s="12" t="s">
        <v>15</v>
      </c>
      <c r="D10" s="12" t="s">
        <v>15</v>
      </c>
      <c r="E10" s="12">
        <v>-1376.4</v>
      </c>
      <c r="F10" s="12" t="s">
        <v>15</v>
      </c>
      <c r="G10" s="12" t="s">
        <v>15</v>
      </c>
      <c r="H10" s="12" t="s">
        <v>15</v>
      </c>
      <c r="I10" s="12" t="s">
        <v>15</v>
      </c>
      <c r="J10" s="12" t="s">
        <v>15</v>
      </c>
      <c r="K10" s="12" t="s">
        <v>15</v>
      </c>
    </row>
    <row r="11" spans="1:255" ht="16">
      <c r="A11" s="11" t="s">
        <v>59</v>
      </c>
      <c r="B11" s="12" t="s">
        <v>15</v>
      </c>
      <c r="C11" s="12" t="s">
        <v>15</v>
      </c>
      <c r="D11" s="12">
        <v>87.2</v>
      </c>
      <c r="E11" s="12">
        <v>37.6</v>
      </c>
      <c r="F11" s="12">
        <v>10.5</v>
      </c>
      <c r="G11" s="12" t="s">
        <v>15</v>
      </c>
      <c r="H11" s="12" t="s">
        <v>15</v>
      </c>
      <c r="I11" s="12" t="s">
        <v>15</v>
      </c>
      <c r="J11" s="12" t="s">
        <v>15</v>
      </c>
      <c r="K11" s="12" t="s">
        <v>15</v>
      </c>
    </row>
    <row r="12" spans="1:255" ht="16">
      <c r="A12" s="11" t="s">
        <v>60</v>
      </c>
      <c r="B12" s="12">
        <v>-394.3</v>
      </c>
      <c r="C12" s="12" t="s">
        <v>15</v>
      </c>
      <c r="D12" s="12" t="s">
        <v>15</v>
      </c>
      <c r="E12" s="12" t="s">
        <v>15</v>
      </c>
      <c r="F12" s="12" t="s">
        <v>15</v>
      </c>
      <c r="G12" s="12" t="s">
        <v>15</v>
      </c>
      <c r="H12" s="12" t="s">
        <v>15</v>
      </c>
      <c r="I12" s="12" t="s">
        <v>15</v>
      </c>
      <c r="J12" s="12" t="s">
        <v>15</v>
      </c>
      <c r="K12" s="12" t="s">
        <v>15</v>
      </c>
    </row>
    <row r="13" spans="1:255">
      <c r="A13" s="11" t="s">
        <v>61</v>
      </c>
      <c r="B13" s="12">
        <v>-190.2</v>
      </c>
      <c r="C13" s="12">
        <v>-250.2</v>
      </c>
      <c r="D13" s="12">
        <v>-310.2</v>
      </c>
      <c r="E13" s="12">
        <v>-242.8</v>
      </c>
      <c r="F13" s="12">
        <v>-250.6</v>
      </c>
      <c r="G13" s="12">
        <v>-280.7</v>
      </c>
      <c r="H13" s="12">
        <v>-347.3</v>
      </c>
      <c r="I13" s="12">
        <v>-268.7</v>
      </c>
      <c r="J13" s="12">
        <v>-301.8</v>
      </c>
      <c r="K13" s="12">
        <v>-306.39999999999998</v>
      </c>
    </row>
    <row r="14" spans="1:255">
      <c r="A14" s="11" t="s">
        <v>62</v>
      </c>
      <c r="B14" s="12">
        <v>148.19999999999999</v>
      </c>
      <c r="C14" s="12">
        <v>223.3</v>
      </c>
      <c r="D14" s="12">
        <v>186.6</v>
      </c>
      <c r="E14" s="12">
        <v>226.8</v>
      </c>
      <c r="F14" s="12">
        <v>216.8</v>
      </c>
      <c r="G14" s="12">
        <v>227.7</v>
      </c>
      <c r="H14" s="12">
        <v>336</v>
      </c>
      <c r="I14" s="12">
        <v>231.2</v>
      </c>
      <c r="J14" s="12">
        <v>222.8</v>
      </c>
      <c r="K14" s="12">
        <v>333.3</v>
      </c>
    </row>
    <row r="15" spans="1:255">
      <c r="A15" s="11" t="s">
        <v>63</v>
      </c>
      <c r="B15" s="12">
        <v>209.8</v>
      </c>
      <c r="C15" s="12">
        <v>218.1</v>
      </c>
      <c r="D15" s="12">
        <v>176</v>
      </c>
      <c r="E15" s="12">
        <v>250.3</v>
      </c>
      <c r="F15" s="12">
        <v>308</v>
      </c>
      <c r="G15" s="12">
        <v>248.6</v>
      </c>
      <c r="H15" s="12">
        <v>319.10000000000002</v>
      </c>
      <c r="I15" s="12">
        <v>271.5</v>
      </c>
      <c r="J15" s="12">
        <v>302.7</v>
      </c>
      <c r="K15" s="12">
        <v>308.3</v>
      </c>
    </row>
    <row r="16" spans="1:255" ht="16">
      <c r="A16" s="11" t="s">
        <v>64</v>
      </c>
      <c r="B16" s="12">
        <v>-132.4</v>
      </c>
      <c r="C16" s="12" t="s">
        <v>15</v>
      </c>
      <c r="D16" s="12" t="s">
        <v>15</v>
      </c>
      <c r="E16" s="12" t="s">
        <v>15</v>
      </c>
      <c r="F16" s="12" t="s">
        <v>15</v>
      </c>
      <c r="G16" s="12" t="s">
        <v>15</v>
      </c>
      <c r="H16" s="12" t="s">
        <v>15</v>
      </c>
      <c r="I16" s="12" t="s">
        <v>15</v>
      </c>
      <c r="J16" s="12" t="s">
        <v>15</v>
      </c>
      <c r="K16" s="12" t="s">
        <v>15</v>
      </c>
    </row>
    <row r="17" spans="1:11">
      <c r="A17" s="11" t="s">
        <v>65</v>
      </c>
      <c r="B17" s="12">
        <v>21.2</v>
      </c>
      <c r="C17" s="12">
        <v>265.7</v>
      </c>
      <c r="D17" s="12">
        <v>95.1</v>
      </c>
      <c r="E17" s="12">
        <v>714.9</v>
      </c>
      <c r="F17" s="12">
        <v>-1495.4</v>
      </c>
      <c r="G17" s="12">
        <v>-25.8</v>
      </c>
      <c r="H17" s="12">
        <v>-146.19999999999999</v>
      </c>
      <c r="I17" s="12">
        <v>-37.799999999999997</v>
      </c>
      <c r="J17" s="12">
        <v>-59.4</v>
      </c>
      <c r="K17" s="12">
        <v>-13.8</v>
      </c>
    </row>
    <row r="18" spans="1:11">
      <c r="A18" s="11" t="s">
        <v>50</v>
      </c>
      <c r="B18" s="12">
        <v>53.8</v>
      </c>
      <c r="C18" s="12">
        <v>45.1</v>
      </c>
      <c r="D18" s="12">
        <v>68.900000000000006</v>
      </c>
      <c r="E18" s="12">
        <v>13.4</v>
      </c>
      <c r="F18" s="12">
        <v>45.3</v>
      </c>
      <c r="G18" s="12">
        <v>24.5</v>
      </c>
      <c r="H18" s="12">
        <v>-6</v>
      </c>
      <c r="I18" s="12">
        <v>-67.8</v>
      </c>
      <c r="J18" s="12">
        <v>26.8</v>
      </c>
      <c r="K18" s="12">
        <v>31.9</v>
      </c>
    </row>
    <row r="19" spans="1:11" ht="16">
      <c r="A19" s="11" t="s">
        <v>66</v>
      </c>
      <c r="B19" s="12">
        <v>61.1</v>
      </c>
      <c r="C19" s="12" t="s">
        <v>15</v>
      </c>
      <c r="D19" s="12" t="s">
        <v>15</v>
      </c>
      <c r="E19" s="12" t="s">
        <v>15</v>
      </c>
      <c r="F19" s="12" t="s">
        <v>15</v>
      </c>
      <c r="G19" s="12" t="s">
        <v>15</v>
      </c>
      <c r="H19" s="12" t="s">
        <v>15</v>
      </c>
      <c r="I19" s="12" t="s">
        <v>15</v>
      </c>
      <c r="J19" s="12" t="s">
        <v>15</v>
      </c>
      <c r="K19" s="12" t="s">
        <v>15</v>
      </c>
    </row>
    <row r="20" spans="1:11" ht="16">
      <c r="A20" s="11" t="s">
        <v>67</v>
      </c>
      <c r="B20" s="12" t="s">
        <v>15</v>
      </c>
      <c r="C20" s="12" t="s">
        <v>15</v>
      </c>
      <c r="D20" s="12" t="s">
        <v>15</v>
      </c>
      <c r="E20" s="12" t="s">
        <v>15</v>
      </c>
      <c r="F20" s="12" t="s">
        <v>15</v>
      </c>
      <c r="G20" s="12">
        <v>1197.5999999999999</v>
      </c>
      <c r="H20" s="12">
        <v>1248.5999999999999</v>
      </c>
      <c r="I20" s="12">
        <v>1497.7</v>
      </c>
      <c r="J20" s="12">
        <v>1365.9</v>
      </c>
      <c r="K20" s="12">
        <v>1314.9</v>
      </c>
    </row>
    <row r="21" spans="1:11">
      <c r="A21" s="11" t="s">
        <v>68</v>
      </c>
      <c r="B21" s="12">
        <v>-82.8</v>
      </c>
      <c r="C21" s="12">
        <v>-55.6</v>
      </c>
      <c r="D21" s="12">
        <v>-96.8</v>
      </c>
      <c r="E21" s="12">
        <v>131</v>
      </c>
      <c r="F21" s="12">
        <v>-197.7</v>
      </c>
      <c r="G21" s="12">
        <v>-2.7</v>
      </c>
      <c r="H21" s="12">
        <v>-43</v>
      </c>
      <c r="I21" s="12">
        <v>-326.10000000000002</v>
      </c>
      <c r="J21" s="12">
        <v>-4.0999999999999996</v>
      </c>
      <c r="K21" s="12">
        <v>18.399999999999999</v>
      </c>
    </row>
    <row r="22" spans="1:11">
      <c r="A22" s="11" t="s">
        <v>23</v>
      </c>
      <c r="B22" s="12">
        <v>-207.9</v>
      </c>
      <c r="C22" s="12">
        <v>-67.5</v>
      </c>
      <c r="D22" s="12">
        <v>14</v>
      </c>
      <c r="E22" s="12">
        <v>-41.2</v>
      </c>
      <c r="F22" s="12">
        <v>-173</v>
      </c>
      <c r="G22" s="12">
        <v>-10.9</v>
      </c>
      <c r="H22" s="12">
        <v>-49.8</v>
      </c>
      <c r="I22" s="12">
        <v>-641</v>
      </c>
      <c r="J22" s="12">
        <v>366.4</v>
      </c>
      <c r="K22" s="12">
        <v>42.8</v>
      </c>
    </row>
    <row r="23" spans="1:11">
      <c r="A23" s="11" t="s">
        <v>69</v>
      </c>
      <c r="B23" s="12">
        <v>137.69999999999999</v>
      </c>
      <c r="C23" s="12">
        <v>46.9</v>
      </c>
      <c r="D23" s="12">
        <v>46.4</v>
      </c>
      <c r="E23" s="12">
        <v>391.6</v>
      </c>
      <c r="F23" s="12">
        <v>31.9</v>
      </c>
      <c r="G23" s="12">
        <v>-210.8</v>
      </c>
      <c r="H23" s="12">
        <v>189.9</v>
      </c>
      <c r="I23" s="12">
        <v>345.5</v>
      </c>
      <c r="J23" s="12">
        <v>100.1</v>
      </c>
      <c r="K23" s="12">
        <v>28</v>
      </c>
    </row>
    <row r="24" spans="1:11" ht="16">
      <c r="A24" s="11" t="s">
        <v>70</v>
      </c>
      <c r="B24" s="12" t="s">
        <v>15</v>
      </c>
      <c r="C24" s="12" t="s">
        <v>15</v>
      </c>
      <c r="D24" s="12">
        <v>-91.9</v>
      </c>
      <c r="E24" s="12">
        <v>146</v>
      </c>
      <c r="F24" s="12">
        <v>1237.0999999999999</v>
      </c>
      <c r="G24" s="12">
        <v>-1214.5999999999999</v>
      </c>
      <c r="H24" s="12">
        <v>286.10000000000002</v>
      </c>
      <c r="I24" s="12">
        <v>-149.6</v>
      </c>
      <c r="J24" s="12">
        <v>52.5</v>
      </c>
      <c r="K24" s="12">
        <v>-61.9</v>
      </c>
    </row>
    <row r="25" spans="1:11" ht="16">
      <c r="A25" s="11" t="s">
        <v>16</v>
      </c>
      <c r="B25" s="12" t="s">
        <v>15</v>
      </c>
      <c r="C25" s="12">
        <v>180.4</v>
      </c>
      <c r="D25" s="12">
        <v>130.80000000000001</v>
      </c>
      <c r="E25" s="12">
        <v>7109.4</v>
      </c>
      <c r="F25" s="12">
        <v>-30.5</v>
      </c>
      <c r="G25" s="12">
        <v>31</v>
      </c>
      <c r="H25" s="12">
        <v>-6.1</v>
      </c>
      <c r="I25" s="12">
        <v>-75.8</v>
      </c>
      <c r="J25" s="12">
        <v>-110.8</v>
      </c>
      <c r="K25" s="12">
        <v>-72.2</v>
      </c>
    </row>
    <row r="26" spans="1:11" ht="16">
      <c r="A26" s="11" t="s">
        <v>19</v>
      </c>
      <c r="B26" s="12">
        <v>170.3</v>
      </c>
      <c r="C26" s="12" t="s">
        <v>15</v>
      </c>
      <c r="D26" s="12" t="s">
        <v>15</v>
      </c>
      <c r="E26" s="12" t="s">
        <v>15</v>
      </c>
      <c r="F26" s="12" t="s">
        <v>15</v>
      </c>
      <c r="G26" s="12" t="s">
        <v>15</v>
      </c>
      <c r="H26" s="12" t="s">
        <v>15</v>
      </c>
      <c r="I26" s="12" t="s">
        <v>15</v>
      </c>
      <c r="J26" s="12" t="s">
        <v>15</v>
      </c>
      <c r="K26" s="12" t="s">
        <v>15</v>
      </c>
    </row>
    <row r="27" spans="1:11" ht="16">
      <c r="A27" s="11" t="s">
        <v>22</v>
      </c>
      <c r="B27" s="12" t="s">
        <v>15</v>
      </c>
      <c r="C27" s="12" t="s">
        <v>15</v>
      </c>
      <c r="D27" s="12">
        <v>-20</v>
      </c>
      <c r="E27" s="12">
        <v>-839.5</v>
      </c>
      <c r="F27" s="12">
        <v>922</v>
      </c>
      <c r="G27" s="12" t="s">
        <v>15</v>
      </c>
      <c r="H27" s="12" t="s">
        <v>15</v>
      </c>
      <c r="I27" s="12" t="s">
        <v>15</v>
      </c>
      <c r="J27" s="12" t="s">
        <v>15</v>
      </c>
      <c r="K27" s="12" t="s">
        <v>15</v>
      </c>
    </row>
    <row r="28" spans="1:11">
      <c r="A28" s="11" t="s">
        <v>71</v>
      </c>
      <c r="B28" s="12">
        <v>261.5</v>
      </c>
      <c r="C28" s="12">
        <v>248.8</v>
      </c>
      <c r="D28" s="12">
        <v>107.2</v>
      </c>
      <c r="E28" s="12">
        <v>16.399999999999999</v>
      </c>
      <c r="F28" s="12">
        <v>-141.1</v>
      </c>
      <c r="G28" s="12">
        <v>-37</v>
      </c>
      <c r="H28" s="12">
        <v>609.79999999999995</v>
      </c>
      <c r="I28" s="12">
        <v>339.6</v>
      </c>
      <c r="J28" s="12">
        <v>-93.7</v>
      </c>
      <c r="K28" s="12">
        <v>291</v>
      </c>
    </row>
    <row r="29" spans="1:11" ht="16">
      <c r="A29" s="11" t="s">
        <v>17</v>
      </c>
      <c r="B29" s="12" t="s">
        <v>15</v>
      </c>
      <c r="C29" s="12" t="s">
        <v>15</v>
      </c>
      <c r="D29" s="12" t="s">
        <v>15</v>
      </c>
      <c r="E29" s="12" t="s">
        <v>15</v>
      </c>
      <c r="F29" s="12" t="s">
        <v>15</v>
      </c>
      <c r="G29" s="12">
        <v>-1231.4000000000001</v>
      </c>
      <c r="H29" s="12">
        <v>-1488.1</v>
      </c>
      <c r="I29" s="12">
        <v>-1625.6</v>
      </c>
      <c r="J29" s="12">
        <v>-1443.8</v>
      </c>
      <c r="K29" s="12">
        <v>-1294.9000000000001</v>
      </c>
    </row>
    <row r="30" spans="1:11">
      <c r="A30" s="10" t="s">
        <v>72</v>
      </c>
      <c r="B30" s="13">
        <v>3749.1</v>
      </c>
      <c r="C30" s="13">
        <v>4697.8999999999996</v>
      </c>
      <c r="D30" s="13">
        <v>4251.8</v>
      </c>
      <c r="E30" s="13">
        <v>11937.8</v>
      </c>
      <c r="F30" s="13">
        <v>5047</v>
      </c>
      <c r="G30" s="13">
        <v>1597.8</v>
      </c>
      <c r="H30" s="13">
        <v>5989.1</v>
      </c>
      <c r="I30" s="13">
        <v>4397.3</v>
      </c>
      <c r="J30" s="13">
        <v>6008.7</v>
      </c>
      <c r="K30" s="13">
        <v>6095.6</v>
      </c>
    </row>
    <row r="31" spans="1:11">
      <c r="A31" s="11"/>
      <c r="B31" s="11"/>
      <c r="C31" s="11"/>
      <c r="D31" s="11"/>
      <c r="E31" s="11"/>
      <c r="F31" s="11"/>
      <c r="G31" s="11"/>
      <c r="H31" s="11"/>
      <c r="I31" s="11"/>
      <c r="J31" s="11"/>
      <c r="K31" s="11"/>
    </row>
    <row r="32" spans="1:11">
      <c r="A32" s="10" t="s">
        <v>73</v>
      </c>
      <c r="B32" s="11"/>
      <c r="C32" s="11"/>
      <c r="D32" s="11"/>
      <c r="E32" s="11"/>
      <c r="F32" s="11"/>
      <c r="G32" s="11"/>
      <c r="H32" s="11"/>
      <c r="I32" s="11"/>
      <c r="J32" s="11"/>
      <c r="K32" s="11"/>
    </row>
    <row r="33" spans="1:11">
      <c r="A33" s="11" t="s">
        <v>50</v>
      </c>
      <c r="B33" s="12">
        <v>6.8</v>
      </c>
      <c r="C33" s="12">
        <v>24.9</v>
      </c>
      <c r="D33" s="12">
        <v>54.3</v>
      </c>
      <c r="E33" s="12">
        <v>5.6</v>
      </c>
      <c r="F33" s="12">
        <v>-56.2</v>
      </c>
      <c r="G33" s="12">
        <v>-44.4</v>
      </c>
      <c r="H33" s="12">
        <v>-81.2</v>
      </c>
      <c r="I33" s="12">
        <v>-126.3</v>
      </c>
      <c r="J33" s="12">
        <v>-56.1</v>
      </c>
      <c r="K33" s="12">
        <v>-72.7</v>
      </c>
    </row>
    <row r="34" spans="1:11">
      <c r="A34" s="11" t="s">
        <v>74</v>
      </c>
      <c r="B34" s="12">
        <v>-1303.7</v>
      </c>
      <c r="C34" s="12">
        <v>-1440.3</v>
      </c>
      <c r="D34" s="12">
        <v>-1519.4</v>
      </c>
      <c r="E34" s="12">
        <v>-1976.4</v>
      </c>
      <c r="F34" s="12">
        <v>-1806.6</v>
      </c>
      <c r="G34" s="12">
        <v>-1483.6</v>
      </c>
      <c r="H34" s="12">
        <v>-1470</v>
      </c>
      <c r="I34" s="12">
        <v>-1841.3</v>
      </c>
      <c r="J34" s="12">
        <v>-2333.6</v>
      </c>
      <c r="K34" s="12">
        <v>-2777.5</v>
      </c>
    </row>
    <row r="35" spans="1:11" ht="16">
      <c r="A35" s="11" t="s">
        <v>75</v>
      </c>
      <c r="B35" s="12" t="s">
        <v>15</v>
      </c>
      <c r="C35" s="12" t="s">
        <v>15</v>
      </c>
      <c r="D35" s="12" t="s">
        <v>15</v>
      </c>
      <c r="E35" s="12" t="s">
        <v>15</v>
      </c>
      <c r="F35" s="12" t="s">
        <v>15</v>
      </c>
      <c r="G35" s="12" t="s">
        <v>15</v>
      </c>
      <c r="H35" s="12" t="s">
        <v>15</v>
      </c>
      <c r="I35" s="12" t="s">
        <v>15</v>
      </c>
      <c r="J35" s="12">
        <v>110</v>
      </c>
      <c r="K35" s="12" t="s">
        <v>15</v>
      </c>
    </row>
    <row r="36" spans="1:11" ht="16">
      <c r="A36" s="11" t="s">
        <v>76</v>
      </c>
      <c r="B36" s="12">
        <v>-284.3</v>
      </c>
      <c r="C36" s="12" t="s">
        <v>15</v>
      </c>
      <c r="D36" s="12" t="s">
        <v>15</v>
      </c>
      <c r="E36" s="12">
        <v>-1311.3</v>
      </c>
      <c r="F36" s="12" t="s">
        <v>15</v>
      </c>
      <c r="G36" s="12" t="s">
        <v>15</v>
      </c>
      <c r="H36" s="12" t="s">
        <v>15</v>
      </c>
      <c r="I36" s="12" t="s">
        <v>15</v>
      </c>
      <c r="J36" s="12" t="s">
        <v>15</v>
      </c>
      <c r="K36" s="12" t="s">
        <v>15</v>
      </c>
    </row>
    <row r="37" spans="1:11" ht="16">
      <c r="A37" s="11" t="s">
        <v>77</v>
      </c>
      <c r="B37" s="12" t="s">
        <v>15</v>
      </c>
      <c r="C37" s="12">
        <v>69.599999999999994</v>
      </c>
      <c r="D37" s="12">
        <v>85.4</v>
      </c>
      <c r="E37" s="12">
        <v>608.20000000000005</v>
      </c>
      <c r="F37" s="12">
        <v>684.3</v>
      </c>
      <c r="G37" s="12" t="s">
        <v>15</v>
      </c>
      <c r="H37" s="12">
        <v>1175</v>
      </c>
      <c r="I37" s="12">
        <v>59.3</v>
      </c>
      <c r="J37" s="12" t="s">
        <v>15</v>
      </c>
      <c r="K37" s="12" t="s">
        <v>15</v>
      </c>
    </row>
    <row r="38" spans="1:11" ht="16">
      <c r="A38" s="11" t="s">
        <v>78</v>
      </c>
      <c r="B38" s="12">
        <v>8.9</v>
      </c>
      <c r="C38" s="12" t="s">
        <v>15</v>
      </c>
      <c r="D38" s="12" t="s">
        <v>15</v>
      </c>
      <c r="E38" s="12" t="s">
        <v>15</v>
      </c>
      <c r="F38" s="12" t="s">
        <v>15</v>
      </c>
      <c r="G38" s="12" t="s">
        <v>15</v>
      </c>
      <c r="H38" s="12" t="s">
        <v>15</v>
      </c>
      <c r="I38" s="12" t="s">
        <v>15</v>
      </c>
      <c r="J38" s="12" t="s">
        <v>15</v>
      </c>
      <c r="K38" s="12" t="s">
        <v>15</v>
      </c>
    </row>
    <row r="39" spans="1:11">
      <c r="A39" s="11" t="s">
        <v>79</v>
      </c>
      <c r="B39" s="12">
        <v>-567.4</v>
      </c>
      <c r="C39" s="12">
        <v>-1585.7</v>
      </c>
      <c r="D39" s="12">
        <v>-674.4</v>
      </c>
      <c r="E39" s="12">
        <v>-191.9</v>
      </c>
      <c r="F39" s="12">
        <v>-190.4</v>
      </c>
      <c r="G39" s="12">
        <v>-443.9</v>
      </c>
      <c r="H39" s="12">
        <v>-432</v>
      </c>
      <c r="I39" s="12">
        <v>-377.9</v>
      </c>
      <c r="J39" s="12">
        <v>-610.5</v>
      </c>
      <c r="K39" s="12">
        <v>-627.5</v>
      </c>
    </row>
    <row r="40" spans="1:11">
      <c r="A40" s="11" t="s">
        <v>80</v>
      </c>
      <c r="B40" s="12">
        <v>600.6</v>
      </c>
      <c r="C40" s="12">
        <v>680.7</v>
      </c>
      <c r="D40" s="12">
        <v>1054.5</v>
      </c>
      <c r="E40" s="12">
        <v>459</v>
      </c>
      <c r="F40" s="12">
        <v>298.3</v>
      </c>
      <c r="G40" s="12">
        <v>186.7</v>
      </c>
      <c r="H40" s="12">
        <v>143.19999999999999</v>
      </c>
      <c r="I40" s="12">
        <v>72.599999999999994</v>
      </c>
      <c r="J40" s="12">
        <v>2.5</v>
      </c>
      <c r="K40" s="12">
        <v>10.3</v>
      </c>
    </row>
    <row r="41" spans="1:11">
      <c r="A41" s="11" t="s">
        <v>81</v>
      </c>
      <c r="B41" s="12">
        <v>18.8</v>
      </c>
      <c r="C41" s="12">
        <v>27.9</v>
      </c>
      <c r="D41" s="12">
        <v>149.6</v>
      </c>
      <c r="E41" s="12">
        <v>45.3</v>
      </c>
      <c r="F41" s="12">
        <v>59.8</v>
      </c>
      <c r="G41" s="12">
        <v>73.7</v>
      </c>
      <c r="H41" s="12">
        <v>345.5</v>
      </c>
      <c r="I41" s="12">
        <v>67.3</v>
      </c>
      <c r="J41" s="12">
        <v>616.9</v>
      </c>
      <c r="K41" s="12">
        <v>768.2</v>
      </c>
    </row>
    <row r="42" spans="1:11">
      <c r="A42" s="10" t="s">
        <v>82</v>
      </c>
      <c r="B42" s="13">
        <v>-1520.3</v>
      </c>
      <c r="C42" s="13">
        <v>-2222.9</v>
      </c>
      <c r="D42" s="13">
        <v>-850</v>
      </c>
      <c r="E42" s="13">
        <v>-2361.5</v>
      </c>
      <c r="F42" s="13">
        <v>-1010.8</v>
      </c>
      <c r="G42" s="13">
        <v>-1711.5</v>
      </c>
      <c r="H42" s="13">
        <v>-319.5</v>
      </c>
      <c r="I42" s="13">
        <v>-2146.3000000000002</v>
      </c>
      <c r="J42" s="13">
        <v>-2270.8000000000002</v>
      </c>
      <c r="K42" s="13">
        <v>-2699.2</v>
      </c>
    </row>
    <row r="43" spans="1:11">
      <c r="A43" s="11"/>
      <c r="B43" s="11"/>
      <c r="C43" s="11"/>
      <c r="D43" s="11"/>
      <c r="E43" s="11"/>
      <c r="F43" s="11"/>
      <c r="G43" s="11"/>
      <c r="H43" s="11"/>
      <c r="I43" s="11"/>
      <c r="J43" s="11"/>
      <c r="K43" s="11"/>
    </row>
    <row r="44" spans="1:11">
      <c r="A44" s="10" t="s">
        <v>83</v>
      </c>
      <c r="B44" s="11"/>
      <c r="C44" s="11"/>
      <c r="D44" s="11"/>
      <c r="E44" s="11"/>
      <c r="F44" s="11"/>
      <c r="G44" s="11"/>
      <c r="H44" s="11"/>
      <c r="I44" s="11"/>
      <c r="J44" s="11"/>
      <c r="K44" s="11"/>
    </row>
    <row r="45" spans="1:11" ht="16">
      <c r="A45" s="11" t="s">
        <v>50</v>
      </c>
      <c r="B45" s="12">
        <v>-18.100000000000001</v>
      </c>
      <c r="C45" s="12">
        <v>-8.4</v>
      </c>
      <c r="D45" s="12">
        <v>-4.4000000000000004</v>
      </c>
      <c r="E45" s="12">
        <v>-41.2</v>
      </c>
      <c r="F45" s="12">
        <v>-17.5</v>
      </c>
      <c r="G45" s="12">
        <v>-37.700000000000003</v>
      </c>
      <c r="H45" s="12" t="s">
        <v>15</v>
      </c>
      <c r="I45" s="12">
        <v>-9.1999999999999993</v>
      </c>
      <c r="J45" s="12">
        <v>-11.1</v>
      </c>
      <c r="K45" s="12">
        <v>-10.6</v>
      </c>
    </row>
    <row r="46" spans="1:11">
      <c r="A46" s="11" t="s">
        <v>84</v>
      </c>
      <c r="B46" s="12">
        <v>-610.1</v>
      </c>
      <c r="C46" s="12">
        <v>1254.5</v>
      </c>
      <c r="D46" s="12">
        <v>-400</v>
      </c>
      <c r="E46" s="12">
        <v>5584.1</v>
      </c>
      <c r="F46" s="12">
        <v>-350</v>
      </c>
      <c r="G46" s="12">
        <v>4727.6000000000004</v>
      </c>
      <c r="H46" s="12">
        <v>-1250</v>
      </c>
      <c r="I46" s="12">
        <v>-1000</v>
      </c>
      <c r="J46" s="12">
        <v>-1000</v>
      </c>
      <c r="K46" s="12">
        <v>-1825.1</v>
      </c>
    </row>
    <row r="47" spans="1:11" ht="16">
      <c r="A47" s="11" t="s">
        <v>84</v>
      </c>
      <c r="B47" s="12">
        <v>848.5</v>
      </c>
      <c r="C47" s="12" t="s">
        <v>15</v>
      </c>
      <c r="D47" s="12">
        <v>750.2</v>
      </c>
      <c r="E47" s="12" t="s">
        <v>15</v>
      </c>
      <c r="F47" s="12">
        <v>1996</v>
      </c>
      <c r="G47" s="12" t="s">
        <v>15</v>
      </c>
      <c r="H47" s="12" t="s">
        <v>15</v>
      </c>
      <c r="I47" s="12">
        <v>1498.1</v>
      </c>
      <c r="J47" s="12">
        <v>1497.8</v>
      </c>
      <c r="K47" s="12">
        <v>1995.3</v>
      </c>
    </row>
    <row r="48" spans="1:11" ht="16">
      <c r="A48" s="11" t="s">
        <v>85</v>
      </c>
      <c r="B48" s="12" t="s">
        <v>15</v>
      </c>
      <c r="C48" s="12" t="s">
        <v>15</v>
      </c>
      <c r="D48" s="12" t="s">
        <v>15</v>
      </c>
      <c r="E48" s="12" t="s">
        <v>15</v>
      </c>
      <c r="F48" s="12" t="s">
        <v>15</v>
      </c>
      <c r="G48" s="12">
        <v>1406.6</v>
      </c>
      <c r="H48" s="12">
        <v>215.1</v>
      </c>
      <c r="I48" s="12">
        <v>36.6</v>
      </c>
      <c r="J48" s="12">
        <v>114.6</v>
      </c>
      <c r="K48" s="12">
        <v>123.8</v>
      </c>
    </row>
    <row r="49" spans="1:11" ht="16">
      <c r="A49" s="11" t="s">
        <v>86</v>
      </c>
      <c r="B49" s="12" t="s">
        <v>15</v>
      </c>
      <c r="C49" s="12" t="s">
        <v>15</v>
      </c>
      <c r="D49" s="12" t="s">
        <v>15</v>
      </c>
      <c r="E49" s="12" t="s">
        <v>15</v>
      </c>
      <c r="F49" s="12" t="s">
        <v>15</v>
      </c>
      <c r="G49" s="12">
        <v>-967.7</v>
      </c>
      <c r="H49" s="12">
        <v>-349.8</v>
      </c>
      <c r="I49" s="12">
        <v>-36.6</v>
      </c>
      <c r="J49" s="12">
        <v>-78.8</v>
      </c>
      <c r="K49" s="12">
        <v>-157.5</v>
      </c>
    </row>
    <row r="50" spans="1:11" ht="16">
      <c r="A50" s="11" t="s">
        <v>87</v>
      </c>
      <c r="B50" s="12" t="s">
        <v>15</v>
      </c>
      <c r="C50" s="12" t="s">
        <v>15</v>
      </c>
      <c r="D50" s="12" t="s">
        <v>15</v>
      </c>
      <c r="E50" s="12" t="s">
        <v>15</v>
      </c>
      <c r="F50" s="12" t="s">
        <v>15</v>
      </c>
      <c r="G50" s="12" t="s">
        <v>15</v>
      </c>
      <c r="H50" s="12" t="s">
        <v>15</v>
      </c>
      <c r="I50" s="12">
        <v>175</v>
      </c>
      <c r="J50" s="12">
        <v>-175</v>
      </c>
      <c r="K50" s="12" t="s">
        <v>15</v>
      </c>
    </row>
    <row r="51" spans="1:11" ht="16">
      <c r="A51" s="11" t="s">
        <v>88</v>
      </c>
      <c r="B51" s="12" t="s">
        <v>15</v>
      </c>
      <c r="C51" s="12" t="s">
        <v>15</v>
      </c>
      <c r="D51" s="12" t="s">
        <v>15</v>
      </c>
      <c r="E51" s="12" t="s">
        <v>15</v>
      </c>
      <c r="F51" s="12" t="s">
        <v>15</v>
      </c>
      <c r="G51" s="12" t="s">
        <v>15</v>
      </c>
      <c r="H51" s="12">
        <v>-296.5</v>
      </c>
      <c r="I51" s="12" t="s">
        <v>15</v>
      </c>
      <c r="J51" s="12" t="s">
        <v>15</v>
      </c>
      <c r="K51" s="12" t="s">
        <v>15</v>
      </c>
    </row>
    <row r="52" spans="1:11">
      <c r="A52" s="11" t="s">
        <v>89</v>
      </c>
      <c r="B52" s="12">
        <v>191.8</v>
      </c>
      <c r="C52" s="12">
        <v>160.69999999999999</v>
      </c>
      <c r="D52" s="12">
        <v>150.80000000000001</v>
      </c>
      <c r="E52" s="12">
        <v>153.9</v>
      </c>
      <c r="F52" s="12">
        <v>409.8</v>
      </c>
      <c r="G52" s="12">
        <v>298.8</v>
      </c>
      <c r="H52" s="12">
        <v>246.2</v>
      </c>
      <c r="I52" s="12">
        <v>101.6</v>
      </c>
      <c r="J52" s="12">
        <v>167.4</v>
      </c>
      <c r="K52" s="12">
        <v>108</v>
      </c>
    </row>
    <row r="53" spans="1:11" ht="16">
      <c r="A53" s="11" t="s">
        <v>90</v>
      </c>
      <c r="B53" s="12">
        <v>-1436.1</v>
      </c>
      <c r="C53" s="12">
        <v>-1995.6</v>
      </c>
      <c r="D53" s="12">
        <v>-2042.5</v>
      </c>
      <c r="E53" s="12">
        <v>-7133.5</v>
      </c>
      <c r="F53" s="12">
        <v>-10222.299999999999</v>
      </c>
      <c r="G53" s="12">
        <v>-1698.9</v>
      </c>
      <c r="H53" s="12" t="s">
        <v>15</v>
      </c>
      <c r="I53" s="12">
        <v>-4013</v>
      </c>
      <c r="J53" s="12">
        <v>-984.4</v>
      </c>
      <c r="K53" s="12">
        <v>-1266.7</v>
      </c>
    </row>
    <row r="54" spans="1:11">
      <c r="A54" s="11" t="s">
        <v>91</v>
      </c>
      <c r="B54" s="12">
        <v>-75.5</v>
      </c>
      <c r="C54" s="12">
        <v>-106</v>
      </c>
      <c r="D54" s="12">
        <v>-82.8</v>
      </c>
      <c r="E54" s="12">
        <v>-62.7</v>
      </c>
      <c r="F54" s="12">
        <v>-111.6</v>
      </c>
      <c r="G54" s="12">
        <v>-91.9</v>
      </c>
      <c r="H54" s="12">
        <v>-97</v>
      </c>
      <c r="I54" s="12">
        <v>-127.2</v>
      </c>
      <c r="J54" s="12">
        <v>-89.3</v>
      </c>
      <c r="K54" s="12">
        <v>-100.4</v>
      </c>
    </row>
    <row r="55" spans="1:11">
      <c r="A55" s="11" t="s">
        <v>92</v>
      </c>
      <c r="B55" s="12">
        <v>-928.6</v>
      </c>
      <c r="C55" s="12">
        <v>-1178</v>
      </c>
      <c r="D55" s="12">
        <v>-1450.4</v>
      </c>
      <c r="E55" s="12">
        <v>-1743.4</v>
      </c>
      <c r="F55" s="12">
        <v>-1761.3</v>
      </c>
      <c r="G55" s="12">
        <v>-1923.5</v>
      </c>
      <c r="H55" s="12">
        <v>-2119</v>
      </c>
      <c r="I55" s="12">
        <v>-2263.3000000000002</v>
      </c>
      <c r="J55" s="12">
        <v>-2431.8000000000002</v>
      </c>
      <c r="K55" s="12">
        <v>-2585</v>
      </c>
    </row>
    <row r="56" spans="1:11" ht="16">
      <c r="A56" s="11" t="s">
        <v>93</v>
      </c>
      <c r="B56" s="12">
        <v>132.4</v>
      </c>
      <c r="C56" s="12" t="s">
        <v>15</v>
      </c>
      <c r="D56" s="12" t="s">
        <v>15</v>
      </c>
      <c r="E56" s="12" t="s">
        <v>15</v>
      </c>
      <c r="F56" s="12" t="s">
        <v>15</v>
      </c>
      <c r="G56" s="12" t="s">
        <v>15</v>
      </c>
      <c r="H56" s="12" t="s">
        <v>15</v>
      </c>
      <c r="I56" s="12" t="s">
        <v>15</v>
      </c>
      <c r="J56" s="12" t="s">
        <v>15</v>
      </c>
      <c r="K56" s="12" t="s">
        <v>15</v>
      </c>
    </row>
    <row r="57" spans="1:11" ht="16">
      <c r="A57" s="11" t="s">
        <v>94</v>
      </c>
      <c r="B57" s="12">
        <v>-360.8</v>
      </c>
      <c r="C57" s="12" t="s">
        <v>15</v>
      </c>
      <c r="D57" s="12" t="s">
        <v>15</v>
      </c>
      <c r="E57" s="12" t="s">
        <v>15</v>
      </c>
      <c r="F57" s="12" t="s">
        <v>15</v>
      </c>
      <c r="G57" s="12" t="s">
        <v>15</v>
      </c>
      <c r="H57" s="12" t="s">
        <v>15</v>
      </c>
      <c r="I57" s="12" t="s">
        <v>15</v>
      </c>
      <c r="J57" s="12" t="s">
        <v>15</v>
      </c>
      <c r="K57" s="12" t="s">
        <v>15</v>
      </c>
    </row>
    <row r="58" spans="1:11">
      <c r="A58" s="10" t="s">
        <v>95</v>
      </c>
      <c r="B58" s="13">
        <v>-2256.5</v>
      </c>
      <c r="C58" s="13">
        <v>-1872.8</v>
      </c>
      <c r="D58" s="13">
        <v>-3079.1</v>
      </c>
      <c r="E58" s="13">
        <v>-3242.8</v>
      </c>
      <c r="F58" s="13">
        <v>-10056.9</v>
      </c>
      <c r="G58" s="13">
        <v>1713.3</v>
      </c>
      <c r="H58" s="13">
        <v>-3651</v>
      </c>
      <c r="I58" s="13">
        <v>-5638</v>
      </c>
      <c r="J58" s="13">
        <v>-2990.6</v>
      </c>
      <c r="K58" s="13">
        <v>-3718.2</v>
      </c>
    </row>
    <row r="59" spans="1:11">
      <c r="A59" s="11"/>
      <c r="B59" s="11"/>
      <c r="C59" s="11"/>
      <c r="D59" s="11"/>
      <c r="E59" s="11"/>
      <c r="F59" s="11"/>
      <c r="G59" s="11"/>
      <c r="H59" s="11"/>
      <c r="I59" s="11"/>
      <c r="J59" s="11"/>
      <c r="K59" s="11"/>
    </row>
    <row r="60" spans="1:11">
      <c r="A60" s="10" t="s">
        <v>96</v>
      </c>
      <c r="B60" s="11"/>
      <c r="C60" s="11"/>
      <c r="D60" s="11"/>
      <c r="E60" s="11"/>
      <c r="F60" s="11"/>
      <c r="G60" s="11"/>
      <c r="H60" s="11"/>
      <c r="I60" s="11"/>
      <c r="J60" s="11"/>
      <c r="K60" s="11"/>
    </row>
    <row r="61" spans="1:11">
      <c r="A61" s="11" t="s">
        <v>97</v>
      </c>
      <c r="B61" s="12">
        <v>-150.6</v>
      </c>
      <c r="C61" s="12">
        <v>-3.5</v>
      </c>
      <c r="D61" s="12">
        <v>10.8</v>
      </c>
      <c r="E61" s="12">
        <v>-39.5</v>
      </c>
      <c r="F61" s="12">
        <v>-49</v>
      </c>
      <c r="G61" s="12">
        <v>64.7</v>
      </c>
      <c r="H61" s="12">
        <v>86.2</v>
      </c>
      <c r="I61" s="12">
        <v>-250.3</v>
      </c>
      <c r="J61" s="12">
        <v>-14.2</v>
      </c>
      <c r="K61" s="12">
        <v>56.5</v>
      </c>
    </row>
    <row r="62" spans="1:11">
      <c r="A62" s="11" t="s">
        <v>98</v>
      </c>
      <c r="B62" s="12">
        <v>-178.3</v>
      </c>
      <c r="C62" s="12">
        <v>598.70000000000005</v>
      </c>
      <c r="D62" s="12">
        <v>333.5</v>
      </c>
      <c r="E62" s="12">
        <v>6294</v>
      </c>
      <c r="F62" s="12">
        <v>-6069.7</v>
      </c>
      <c r="G62" s="12">
        <v>1664.3</v>
      </c>
      <c r="H62" s="12">
        <v>2104.8000000000002</v>
      </c>
      <c r="I62" s="12">
        <v>-3637.3</v>
      </c>
      <c r="J62" s="12">
        <v>733.1</v>
      </c>
      <c r="K62" s="12">
        <v>-265.3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5625-B40F-344C-884D-8D19C869CBD2}">
  <dimension ref="A1:N35"/>
  <sheetViews>
    <sheetView showGridLines="0" workbookViewId="0">
      <selection activeCell="G26" sqref="G26"/>
    </sheetView>
  </sheetViews>
  <sheetFormatPr baseColWidth="10" defaultColWidth="14.5" defaultRowHeight="15.75" customHeight="1"/>
  <cols>
    <col min="1" max="1" width="42.5" style="7" customWidth="1"/>
    <col min="2" max="2" width="18.1640625" style="7" bestFit="1" customWidth="1"/>
    <col min="3" max="3" width="18" style="7" customWidth="1"/>
    <col min="4" max="10" width="15.33203125" style="7" bestFit="1" customWidth="1"/>
    <col min="11" max="11" width="10.5" style="7" bestFit="1" customWidth="1"/>
    <col min="12" max="12" width="32.6640625" style="7" bestFit="1" customWidth="1"/>
    <col min="13" max="13" width="15.5" style="7" customWidth="1"/>
    <col min="14" max="14" width="18" style="7" customWidth="1"/>
    <col min="15" max="16384" width="14.5" style="7"/>
  </cols>
  <sheetData>
    <row r="1" spans="1:14" ht="15">
      <c r="A1" s="17" t="s">
        <v>505</v>
      </c>
      <c r="B1" s="18"/>
      <c r="C1" s="18"/>
      <c r="D1" s="18"/>
      <c r="E1" s="18"/>
      <c r="F1" s="18"/>
      <c r="G1" s="18"/>
      <c r="H1" s="18"/>
      <c r="I1" s="18"/>
      <c r="J1" s="18"/>
      <c r="K1" s="18"/>
    </row>
    <row r="2" spans="1:14" ht="15">
      <c r="B2" s="18"/>
      <c r="C2" s="18"/>
      <c r="D2" s="18"/>
      <c r="E2" s="18"/>
      <c r="F2" s="18"/>
      <c r="G2" s="18"/>
      <c r="H2" s="18"/>
      <c r="I2" s="18"/>
      <c r="J2" s="18"/>
      <c r="K2" s="18"/>
    </row>
    <row r="3" spans="1:14" ht="15">
      <c r="A3" s="116" t="s">
        <v>112</v>
      </c>
      <c r="B3" s="156">
        <v>2015</v>
      </c>
      <c r="C3" s="156">
        <f>B3+1</f>
        <v>2016</v>
      </c>
      <c r="D3" s="156">
        <f t="shared" ref="D3:K3" si="0">C3+1</f>
        <v>2017</v>
      </c>
      <c r="E3" s="156">
        <f t="shared" si="0"/>
        <v>2018</v>
      </c>
      <c r="F3" s="156">
        <f t="shared" si="0"/>
        <v>2019</v>
      </c>
      <c r="G3" s="156">
        <f t="shared" si="0"/>
        <v>2020</v>
      </c>
      <c r="H3" s="156">
        <f t="shared" si="0"/>
        <v>2021</v>
      </c>
      <c r="I3" s="156">
        <f t="shared" si="0"/>
        <v>2022</v>
      </c>
      <c r="J3" s="156">
        <f t="shared" si="0"/>
        <v>2023</v>
      </c>
      <c r="K3" s="156">
        <f t="shared" si="0"/>
        <v>2024</v>
      </c>
      <c r="L3" s="20"/>
      <c r="M3" s="19"/>
      <c r="N3" s="19"/>
    </row>
    <row r="4" spans="1:14" ht="15">
      <c r="A4" s="7" t="s">
        <v>100</v>
      </c>
      <c r="B4" s="160">
        <f>'Historical Income Statement'!B6</f>
        <v>19162.7</v>
      </c>
      <c r="C4" s="160">
        <f>'Historical Income Statement'!C6</f>
        <v>21315.899999999998</v>
      </c>
      <c r="D4" s="160">
        <f>'Historical Income Statement'!D6</f>
        <v>22386.799999999999</v>
      </c>
      <c r="E4" s="160">
        <f>'Historical Income Statement'!E6</f>
        <v>24719.5</v>
      </c>
      <c r="F4" s="160">
        <f>'Historical Income Statement'!F6</f>
        <v>26508.600000000002</v>
      </c>
      <c r="G4" s="160">
        <f>'Historical Income Statement'!G6</f>
        <v>23518</v>
      </c>
      <c r="H4" s="160">
        <f>'Historical Income Statement'!H6</f>
        <v>29060.6</v>
      </c>
      <c r="I4" s="160">
        <f>'Historical Income Statement'!I6</f>
        <v>32250.3</v>
      </c>
      <c r="J4" s="160">
        <f>'Historical Income Statement'!J6</f>
        <v>35975.599999999999</v>
      </c>
      <c r="K4" s="160">
        <f>'Historical Income Statement'!K6</f>
        <v>36176.199999999997</v>
      </c>
      <c r="L4" s="21"/>
      <c r="M4" s="22"/>
      <c r="N4" s="23"/>
    </row>
    <row r="5" spans="1:14" ht="15">
      <c r="B5" s="155"/>
      <c r="C5" s="155"/>
      <c r="D5" s="155"/>
      <c r="E5" s="155"/>
      <c r="F5" s="155"/>
      <c r="G5" s="155"/>
      <c r="H5" s="155"/>
      <c r="I5" s="155"/>
      <c r="J5" s="155"/>
      <c r="K5" s="155"/>
      <c r="L5" s="21"/>
      <c r="M5" s="22"/>
      <c r="N5" s="23"/>
    </row>
    <row r="6" spans="1:14" ht="15">
      <c r="B6" s="41"/>
      <c r="C6" s="41"/>
      <c r="D6" s="41"/>
      <c r="E6" s="41"/>
      <c r="F6" s="41"/>
      <c r="G6" s="41"/>
      <c r="H6" s="41"/>
      <c r="I6" s="41"/>
      <c r="J6" s="41"/>
      <c r="K6" s="41"/>
      <c r="L6" s="21"/>
      <c r="M6" s="22"/>
      <c r="N6" s="23"/>
    </row>
    <row r="7" spans="1:14" ht="15">
      <c r="A7" s="116" t="s">
        <v>101</v>
      </c>
      <c r="B7" s="159">
        <f>B3</f>
        <v>2015</v>
      </c>
      <c r="C7" s="159">
        <f t="shared" ref="C7:K7" si="1">C3</f>
        <v>2016</v>
      </c>
      <c r="D7" s="159">
        <f t="shared" si="1"/>
        <v>2017</v>
      </c>
      <c r="E7" s="159">
        <f t="shared" si="1"/>
        <v>2018</v>
      </c>
      <c r="F7" s="159">
        <f t="shared" si="1"/>
        <v>2019</v>
      </c>
      <c r="G7" s="159">
        <f t="shared" si="1"/>
        <v>2020</v>
      </c>
      <c r="H7" s="159">
        <f t="shared" si="1"/>
        <v>2021</v>
      </c>
      <c r="I7" s="159">
        <f t="shared" si="1"/>
        <v>2022</v>
      </c>
      <c r="J7" s="159">
        <f t="shared" si="1"/>
        <v>2023</v>
      </c>
      <c r="K7" s="159">
        <f t="shared" si="1"/>
        <v>2024</v>
      </c>
      <c r="L7" s="21"/>
      <c r="M7" s="22"/>
      <c r="N7" s="23"/>
    </row>
    <row r="8" spans="1:14" ht="15">
      <c r="A8" s="7" t="s">
        <v>102</v>
      </c>
      <c r="B8" s="160">
        <f>B4*C17</f>
        <v>25569.575873586306</v>
      </c>
      <c r="C8" s="160">
        <f>C4*C18</f>
        <v>27864.593838016499</v>
      </c>
      <c r="D8" s="160">
        <f>D4*C19</f>
        <v>28660.033157015139</v>
      </c>
      <c r="E8" s="160">
        <f>E4*C20</f>
        <v>31053.236626955859</v>
      </c>
      <c r="F8" s="160">
        <f>F4*C21</f>
        <v>32556.782799038039</v>
      </c>
      <c r="G8" s="160">
        <f>G4*C22</f>
        <v>28495.73619631902</v>
      </c>
      <c r="H8" s="160">
        <f>H4*C23</f>
        <v>32896.71760962977</v>
      </c>
      <c r="I8" s="160">
        <f>I4*C24</f>
        <v>34293.998697763112</v>
      </c>
      <c r="J8" s="160">
        <f>J4*C25</f>
        <v>37014.595913231147</v>
      </c>
      <c r="K8" s="160">
        <f>K4*C26</f>
        <v>36176.199999999997</v>
      </c>
      <c r="L8" s="21"/>
      <c r="M8" s="22"/>
      <c r="N8" s="23"/>
    </row>
    <row r="9" spans="1:14" ht="15">
      <c r="C9" s="24"/>
      <c r="D9" s="24"/>
      <c r="E9" s="24"/>
      <c r="F9" s="24"/>
      <c r="G9" s="24"/>
      <c r="H9" s="24"/>
      <c r="I9" s="24"/>
      <c r="J9" s="24"/>
      <c r="K9" s="24"/>
      <c r="L9" s="21"/>
      <c r="M9" s="22"/>
      <c r="N9" s="23"/>
    </row>
    <row r="10" spans="1:14" ht="15">
      <c r="A10" s="157" t="s">
        <v>103</v>
      </c>
      <c r="B10" s="156">
        <f>B7</f>
        <v>2015</v>
      </c>
      <c r="C10" s="156">
        <f t="shared" ref="C10:K10" si="2">C7</f>
        <v>2016</v>
      </c>
      <c r="D10" s="156">
        <f t="shared" si="2"/>
        <v>2017</v>
      </c>
      <c r="E10" s="156">
        <f t="shared" si="2"/>
        <v>2018</v>
      </c>
      <c r="F10" s="156">
        <f t="shared" si="2"/>
        <v>2019</v>
      </c>
      <c r="G10" s="156">
        <f t="shared" si="2"/>
        <v>2020</v>
      </c>
      <c r="H10" s="156">
        <f t="shared" si="2"/>
        <v>2021</v>
      </c>
      <c r="I10" s="156">
        <f t="shared" si="2"/>
        <v>2022</v>
      </c>
      <c r="J10" s="156">
        <f t="shared" si="2"/>
        <v>2023</v>
      </c>
      <c r="K10" s="156">
        <f t="shared" si="2"/>
        <v>2024</v>
      </c>
      <c r="L10" s="158" t="s">
        <v>113</v>
      </c>
      <c r="M10" s="22"/>
      <c r="N10" s="23"/>
    </row>
    <row r="11" spans="1:14" ht="15">
      <c r="A11" s="7" t="s">
        <v>104</v>
      </c>
      <c r="B11" s="15"/>
      <c r="C11" s="161">
        <f>(C8/B8)-1</f>
        <v>8.9755808847849394E-2</v>
      </c>
      <c r="D11" s="161">
        <f>(D8/C8)-1</f>
        <v>2.8546596574230199E-2</v>
      </c>
      <c r="E11" s="161">
        <f t="shared" ref="E11:K11" si="3">(E8/D8)-1</f>
        <v>8.3503164732205981E-2</v>
      </c>
      <c r="F11" s="161">
        <f t="shared" si="3"/>
        <v>4.8418340095892631E-2</v>
      </c>
      <c r="G11" s="161">
        <f t="shared" si="3"/>
        <v>-0.12473734360629185</v>
      </c>
      <c r="H11" s="161">
        <f t="shared" si="3"/>
        <v>0.15444350631935078</v>
      </c>
      <c r="I11" s="161">
        <f t="shared" si="3"/>
        <v>4.2474787445794249E-2</v>
      </c>
      <c r="J11" s="161">
        <f t="shared" si="3"/>
        <v>7.9331583331677447E-2</v>
      </c>
      <c r="K11" s="161">
        <f t="shared" si="3"/>
        <v>-2.2650413777216438E-2</v>
      </c>
      <c r="L11" s="161" cm="1">
        <f t="array" ref="L11">GEOMEAN(1+C11:K11)-1</f>
        <v>3.9308263073832617E-2</v>
      </c>
      <c r="N11" s="23"/>
    </row>
    <row r="12" spans="1:14" ht="15">
      <c r="A12" s="25" t="s">
        <v>105</v>
      </c>
      <c r="B12" s="14">
        <v>18666.620999999999</v>
      </c>
      <c r="C12" s="14">
        <v>19001.689999999999</v>
      </c>
      <c r="D12" s="14">
        <v>19398.343000000001</v>
      </c>
      <c r="E12" s="14">
        <v>20044.077000000001</v>
      </c>
      <c r="F12" s="14">
        <v>20431.641</v>
      </c>
      <c r="G12" s="14">
        <v>20709.212</v>
      </c>
      <c r="H12" s="14">
        <v>21082.133999999998</v>
      </c>
      <c r="I12" s="14">
        <v>21932.71</v>
      </c>
      <c r="J12" s="14">
        <v>22439.607</v>
      </c>
      <c r="K12" s="14">
        <v>23082.118999999999</v>
      </c>
      <c r="L12" s="26"/>
      <c r="M12" s="27"/>
      <c r="N12" s="23"/>
    </row>
    <row r="13" spans="1:14" ht="15">
      <c r="A13" s="25" t="s">
        <v>106</v>
      </c>
      <c r="B13" s="15"/>
      <c r="C13" s="162">
        <f>(C12-B12)/B12</f>
        <v>1.7950168913806068E-2</v>
      </c>
      <c r="D13" s="162">
        <f>(D12-C12)/C12</f>
        <v>2.087461694196685E-2</v>
      </c>
      <c r="E13" s="162">
        <f>(E12-D12)/D12</f>
        <v>3.3288100947591263E-2</v>
      </c>
      <c r="F13" s="162">
        <f t="shared" ref="F13:K13" si="4">(F12-E12)/E12</f>
        <v>1.9335587266003741E-2</v>
      </c>
      <c r="G13" s="162">
        <f t="shared" si="4"/>
        <v>1.3585350290757357E-2</v>
      </c>
      <c r="H13" s="162">
        <f t="shared" si="4"/>
        <v>1.8007541764505509E-2</v>
      </c>
      <c r="I13" s="162">
        <f t="shared" si="4"/>
        <v>4.0345820778864276E-2</v>
      </c>
      <c r="J13" s="162">
        <f t="shared" si="4"/>
        <v>2.3111462286238265E-2</v>
      </c>
      <c r="K13" s="162">
        <f t="shared" si="4"/>
        <v>2.8632943527041217E-2</v>
      </c>
      <c r="L13" s="163" cm="1">
        <f t="array" ref="L13">GEOMEAN(1+C13:K13)-1</f>
        <v>2.3871729657374718E-2</v>
      </c>
      <c r="M13" s="27"/>
      <c r="N13" s="23"/>
    </row>
    <row r="14" spans="1:14" ht="15">
      <c r="A14" s="25" t="s">
        <v>107</v>
      </c>
      <c r="B14" s="43">
        <f>CORREL(C11:K11,C13:K13)</f>
        <v>0.15573220564387186</v>
      </c>
      <c r="C14" s="28"/>
      <c r="D14" s="15"/>
      <c r="E14" s="15"/>
      <c r="F14" s="15"/>
      <c r="G14" s="15"/>
      <c r="H14" s="15"/>
      <c r="I14" s="15"/>
      <c r="J14" s="15"/>
      <c r="K14" s="15"/>
      <c r="L14" s="29"/>
      <c r="M14" s="27"/>
      <c r="N14" s="23"/>
    </row>
    <row r="15" spans="1:14" ht="15">
      <c r="A15" s="15"/>
      <c r="B15" s="15"/>
      <c r="C15" s="29"/>
      <c r="D15" s="29"/>
      <c r="E15" s="24"/>
      <c r="F15" s="24"/>
      <c r="G15" s="24"/>
      <c r="H15" s="24"/>
      <c r="I15" s="24"/>
      <c r="J15" s="24"/>
      <c r="K15" s="24"/>
      <c r="L15" s="21"/>
      <c r="M15" s="22"/>
      <c r="N15" s="23"/>
    </row>
    <row r="16" spans="1:14" ht="15">
      <c r="A16" s="165" t="s">
        <v>108</v>
      </c>
      <c r="B16" s="165" t="s">
        <v>109</v>
      </c>
      <c r="C16" s="165" t="s">
        <v>110</v>
      </c>
      <c r="D16" s="165" t="s">
        <v>111</v>
      </c>
      <c r="E16" s="24"/>
    </row>
    <row r="17" spans="1:10" ht="15">
      <c r="A17" s="42">
        <v>2015</v>
      </c>
      <c r="B17" s="164">
        <v>236.52500000000001</v>
      </c>
      <c r="C17" s="164">
        <f>$B$26/B17</f>
        <v>1.3343409787548886</v>
      </c>
      <c r="D17" s="15"/>
    </row>
    <row r="18" spans="1:10" ht="15">
      <c r="A18" s="42">
        <f>A17+1</f>
        <v>2016</v>
      </c>
      <c r="B18" s="164">
        <v>241.43199999999999</v>
      </c>
      <c r="C18" s="164">
        <f t="shared" ref="C18:C26" si="5">$B$26/B18</f>
        <v>1.3072210808840585</v>
      </c>
      <c r="D18" s="16">
        <f>(B18-B17)/B17</f>
        <v>2.0746221329669093E-2</v>
      </c>
      <c r="J18" s="30"/>
    </row>
    <row r="19" spans="1:10" ht="15">
      <c r="A19" s="42">
        <f t="shared" ref="A19:A26" si="6">A18+1</f>
        <v>2017</v>
      </c>
      <c r="B19" s="164">
        <v>246.524</v>
      </c>
      <c r="C19" s="164">
        <f t="shared" si="5"/>
        <v>1.2802201814022165</v>
      </c>
      <c r="D19" s="16">
        <f t="shared" ref="D19:D26" si="7">(B19-B18)/B18</f>
        <v>2.1090824745684141E-2</v>
      </c>
    </row>
    <row r="20" spans="1:10" ht="15">
      <c r="A20" s="42">
        <f t="shared" si="6"/>
        <v>2018</v>
      </c>
      <c r="B20" s="164">
        <v>251.233</v>
      </c>
      <c r="C20" s="164">
        <f t="shared" si="5"/>
        <v>1.2562243017437997</v>
      </c>
      <c r="D20" s="16">
        <f t="shared" si="7"/>
        <v>1.9101588486313718E-2</v>
      </c>
    </row>
    <row r="21" spans="1:10" ht="15">
      <c r="A21" s="42">
        <f t="shared" si="6"/>
        <v>2019</v>
      </c>
      <c r="B21" s="164">
        <v>256.97399999999999</v>
      </c>
      <c r="C21" s="164">
        <f t="shared" si="5"/>
        <v>1.2281592690311083</v>
      </c>
      <c r="D21" s="16">
        <f t="shared" si="7"/>
        <v>2.2851297401217139E-2</v>
      </c>
    </row>
    <row r="22" spans="1:10" ht="15">
      <c r="A22" s="42">
        <f t="shared" si="6"/>
        <v>2020</v>
      </c>
      <c r="B22" s="164">
        <v>260.47399999999999</v>
      </c>
      <c r="C22" s="164">
        <f t="shared" si="5"/>
        <v>1.2116564417177915</v>
      </c>
      <c r="D22" s="16">
        <f t="shared" si="7"/>
        <v>1.3620054947193101E-2</v>
      </c>
    </row>
    <row r="23" spans="1:10" ht="15">
      <c r="A23" s="42">
        <f t="shared" si="6"/>
        <v>2021</v>
      </c>
      <c r="B23" s="164">
        <v>278.80200000000002</v>
      </c>
      <c r="C23" s="164">
        <f t="shared" si="5"/>
        <v>1.1320040745762225</v>
      </c>
      <c r="D23" s="16">
        <f t="shared" si="7"/>
        <v>7.0364028655451341E-2</v>
      </c>
    </row>
    <row r="24" spans="1:10" ht="15">
      <c r="A24" s="42">
        <f t="shared" si="6"/>
        <v>2022</v>
      </c>
      <c r="B24" s="164">
        <v>296.79700000000003</v>
      </c>
      <c r="C24" s="164">
        <f t="shared" si="5"/>
        <v>1.06336991276866</v>
      </c>
      <c r="D24" s="16">
        <f t="shared" si="7"/>
        <v>6.4544013314108237E-2</v>
      </c>
    </row>
    <row r="25" spans="1:10" ht="15">
      <c r="A25" s="42">
        <f t="shared" si="6"/>
        <v>2023</v>
      </c>
      <c r="B25" s="164">
        <v>306.74599999999998</v>
      </c>
      <c r="C25" s="164">
        <f t="shared" si="5"/>
        <v>1.0288805721998007</v>
      </c>
      <c r="D25" s="16">
        <f t="shared" si="7"/>
        <v>3.3521228314302216E-2</v>
      </c>
    </row>
    <row r="26" spans="1:10" ht="15">
      <c r="A26" s="42">
        <f t="shared" si="6"/>
        <v>2024</v>
      </c>
      <c r="B26" s="164">
        <v>315.60500000000002</v>
      </c>
      <c r="C26" s="164">
        <f t="shared" si="5"/>
        <v>1</v>
      </c>
      <c r="D26" s="16">
        <f t="shared" si="7"/>
        <v>2.888057219980061E-2</v>
      </c>
    </row>
    <row r="27" spans="1:10" ht="15">
      <c r="B27" s="31"/>
    </row>
    <row r="29" spans="1:10" ht="15.75" customHeight="1">
      <c r="A29" s="44" t="s">
        <v>488</v>
      </c>
    </row>
    <row r="30" spans="1:10" ht="15.75" customHeight="1">
      <c r="A30" s="45" t="s">
        <v>115</v>
      </c>
    </row>
    <row r="31" spans="1:10" ht="15.75" customHeight="1">
      <c r="A31" s="44" t="s">
        <v>114</v>
      </c>
    </row>
    <row r="32" spans="1:10" ht="15.75" customHeight="1">
      <c r="A32" s="44" t="s">
        <v>116</v>
      </c>
    </row>
    <row r="33" spans="1:1" ht="15.75" customHeight="1">
      <c r="A33" s="44" t="s">
        <v>114</v>
      </c>
    </row>
    <row r="34" spans="1:1" ht="15.75" customHeight="1">
      <c r="A34" s="44" t="s">
        <v>116</v>
      </c>
    </row>
    <row r="35" spans="1:1" ht="15.75" customHeight="1">
      <c r="A35" s="44" t="s">
        <v>117</v>
      </c>
    </row>
  </sheetData>
  <pageMargins left="0.7" right="0.7" top="0.75" bottom="0.75" header="0.3" footer="0.3"/>
  <pageSetup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CC01-916B-7946-AC50-0D1912C0B1B4}">
  <sheetPr>
    <outlinePr summaryBelow="0" summaryRight="0"/>
    <pageSetUpPr fitToPage="1"/>
  </sheetPr>
  <dimension ref="A1:N42"/>
  <sheetViews>
    <sheetView showGridLines="0" zoomScaleNormal="100" workbookViewId="0">
      <selection activeCell="F28" sqref="F28"/>
    </sheetView>
  </sheetViews>
  <sheetFormatPr baseColWidth="10" defaultColWidth="14.5" defaultRowHeight="15.75" customHeight="1"/>
  <cols>
    <col min="1" max="1" width="41.33203125" style="49" customWidth="1"/>
    <col min="2" max="2" width="15.33203125" style="49" bestFit="1" customWidth="1"/>
    <col min="3" max="3" width="17.1640625" style="49" bestFit="1" customWidth="1"/>
    <col min="4" max="13" width="14.5" style="49"/>
    <col min="14" max="14" width="16" style="49" customWidth="1"/>
    <col min="15" max="16384" width="14.5" style="49"/>
  </cols>
  <sheetData>
    <row r="1" spans="1:14" ht="15.75" customHeight="1">
      <c r="A1" s="48" t="s">
        <v>9</v>
      </c>
    </row>
    <row r="2" spans="1:14" ht="15.75" customHeight="1">
      <c r="A2" s="166"/>
      <c r="B2" s="167">
        <v>2015</v>
      </c>
      <c r="C2" s="167">
        <f>B2+1</f>
        <v>2016</v>
      </c>
      <c r="D2" s="167">
        <f t="shared" ref="D2:K2" si="0">C2+1</f>
        <v>2017</v>
      </c>
      <c r="E2" s="167">
        <f t="shared" si="0"/>
        <v>2018</v>
      </c>
      <c r="F2" s="167">
        <f t="shared" si="0"/>
        <v>2019</v>
      </c>
      <c r="G2" s="167">
        <f t="shared" si="0"/>
        <v>2020</v>
      </c>
      <c r="H2" s="167">
        <f t="shared" si="0"/>
        <v>2021</v>
      </c>
      <c r="I2" s="167">
        <f t="shared" si="0"/>
        <v>2022</v>
      </c>
      <c r="J2" s="167">
        <f t="shared" si="0"/>
        <v>2023</v>
      </c>
      <c r="K2" s="167">
        <f t="shared" si="0"/>
        <v>2024</v>
      </c>
      <c r="L2" s="51"/>
    </row>
    <row r="3" spans="1:14" ht="15.75" customHeight="1">
      <c r="A3" s="51" t="s">
        <v>49</v>
      </c>
      <c r="B3" s="181">
        <f>'Historical Income Statement'!B6</f>
        <v>19162.7</v>
      </c>
      <c r="C3" s="181">
        <f>'Historical Income Statement'!C6</f>
        <v>21315.899999999998</v>
      </c>
      <c r="D3" s="181">
        <f>'Historical Income Statement'!D6</f>
        <v>22386.799999999999</v>
      </c>
      <c r="E3" s="181">
        <f>'Historical Income Statement'!E6</f>
        <v>24719.5</v>
      </c>
      <c r="F3" s="181">
        <f>'Historical Income Statement'!F6</f>
        <v>26508.600000000002</v>
      </c>
      <c r="G3" s="181">
        <f>'Historical Income Statement'!G6</f>
        <v>23518</v>
      </c>
      <c r="H3" s="181">
        <f>'Historical Income Statement'!H6</f>
        <v>29060.6</v>
      </c>
      <c r="I3" s="181">
        <f>'Historical Income Statement'!I6</f>
        <v>32250.3</v>
      </c>
      <c r="J3" s="181">
        <f>'Historical Income Statement'!J6</f>
        <v>35975.599999999999</v>
      </c>
      <c r="K3" s="181">
        <f>'Historical Income Statement'!K6</f>
        <v>36176.199999999997</v>
      </c>
      <c r="L3" s="50"/>
      <c r="M3" s="50"/>
      <c r="N3" s="50"/>
    </row>
    <row r="4" spans="1:14" ht="15.75" customHeight="1">
      <c r="B4" s="178"/>
      <c r="C4" s="178"/>
      <c r="D4" s="178"/>
      <c r="E4" s="178"/>
      <c r="F4" s="178"/>
      <c r="G4" s="178"/>
      <c r="H4" s="178"/>
      <c r="I4" s="178"/>
      <c r="J4" s="178"/>
      <c r="K4" s="178"/>
      <c r="L4" s="52"/>
      <c r="M4" s="53"/>
      <c r="N4" s="53"/>
    </row>
    <row r="5" spans="1:14" ht="15.75" customHeight="1">
      <c r="A5" s="48" t="s">
        <v>204</v>
      </c>
      <c r="B5" s="178"/>
      <c r="C5" s="178"/>
      <c r="D5" s="178"/>
      <c r="E5" s="178"/>
      <c r="F5" s="178"/>
      <c r="G5" s="178"/>
      <c r="H5" s="178"/>
      <c r="I5" s="178"/>
      <c r="J5" s="178"/>
      <c r="K5" s="178"/>
      <c r="L5" s="52"/>
      <c r="M5" s="53"/>
      <c r="N5" s="53"/>
    </row>
    <row r="6" spans="1:14" ht="15.75" customHeight="1">
      <c r="A6" s="54" t="s">
        <v>392</v>
      </c>
      <c r="B6" s="181">
        <f>'Historical Income Statement'!B7</f>
        <v>13198.6</v>
      </c>
      <c r="C6" s="181">
        <f>'Historical Income Statement'!C7</f>
        <v>14573.3</v>
      </c>
      <c r="D6" s="181">
        <f>'Historical Income Statement'!D7</f>
        <v>15552.2</v>
      </c>
      <c r="E6" s="181">
        <f>'Historical Income Statement'!E7</f>
        <v>17402.900000000001</v>
      </c>
      <c r="F6" s="181">
        <f>'Historical Income Statement'!F7</f>
        <v>19020.5</v>
      </c>
      <c r="G6" s="181">
        <f>'Historical Income Statement'!G7</f>
        <v>18376.900000000001</v>
      </c>
      <c r="H6" s="181">
        <f>'Historical Income Statement'!H7</f>
        <v>20625.2</v>
      </c>
      <c r="I6" s="181">
        <f>'Historical Income Statement'!I7</f>
        <v>23864.9</v>
      </c>
      <c r="J6" s="181">
        <f>'Historical Income Statement'!J7</f>
        <v>26106.2</v>
      </c>
      <c r="K6" s="181">
        <f>'Historical Income Statement'!K7</f>
        <v>26443.8</v>
      </c>
      <c r="L6" s="52"/>
      <c r="M6" s="53"/>
      <c r="N6" s="53"/>
    </row>
    <row r="7" spans="1:14" ht="15.75" customHeight="1">
      <c r="A7" s="55" t="s">
        <v>137</v>
      </c>
      <c r="B7" s="181">
        <f>'Historical Income Statement'!B9</f>
        <v>1196.7</v>
      </c>
      <c r="C7" s="181">
        <f>'Historical Income Statement'!C9</f>
        <v>1408.9</v>
      </c>
      <c r="D7" s="181">
        <f>'Historical Income Statement'!D9</f>
        <v>1408.4</v>
      </c>
      <c r="E7" s="181">
        <f>'Historical Income Statement'!E9</f>
        <v>1704.6</v>
      </c>
      <c r="F7" s="181">
        <f>'Historical Income Statement'!F9</f>
        <v>1824.1</v>
      </c>
      <c r="G7" s="181">
        <f>'Historical Income Statement'!G9</f>
        <v>1679.6</v>
      </c>
      <c r="H7" s="181">
        <f>'Historical Income Statement'!H9</f>
        <v>1932.6</v>
      </c>
      <c r="I7" s="181">
        <f>'Historical Income Statement'!I9</f>
        <v>2032</v>
      </c>
      <c r="J7" s="181">
        <f>'Historical Income Statement'!J9</f>
        <v>2441.3000000000002</v>
      </c>
      <c r="K7" s="181">
        <f>'Historical Income Statement'!K9</f>
        <v>2523.3000000000002</v>
      </c>
      <c r="L7" s="52"/>
      <c r="M7" s="53"/>
      <c r="N7" s="53"/>
    </row>
    <row r="8" spans="1:14" ht="15.75" customHeight="1">
      <c r="A8" s="55" t="s">
        <v>203</v>
      </c>
      <c r="B8" s="181">
        <f>'Historical Income Statement'!B11</f>
        <v>893.9</v>
      </c>
      <c r="C8" s="181">
        <f>'Historical Income Statement'!C11</f>
        <v>980.8</v>
      </c>
      <c r="D8" s="181">
        <f>'Historical Income Statement'!D11</f>
        <v>1011.4</v>
      </c>
      <c r="E8" s="181">
        <f>'Historical Income Statement'!E11</f>
        <v>1247</v>
      </c>
      <c r="F8" s="181">
        <f>'Historical Income Statement'!F11</f>
        <v>1377.3</v>
      </c>
      <c r="G8" s="181">
        <f>'Historical Income Statement'!G11</f>
        <v>1431.3</v>
      </c>
      <c r="H8" s="181">
        <f>'Historical Income Statement'!H11</f>
        <v>1441.7</v>
      </c>
      <c r="I8" s="181">
        <f>'Historical Income Statement'!I11</f>
        <v>1447.9</v>
      </c>
      <c r="J8" s="181">
        <f>'Historical Income Statement'!J11</f>
        <v>1362.6</v>
      </c>
      <c r="K8" s="181">
        <f>'Historical Income Statement'!K11</f>
        <v>1512.6</v>
      </c>
      <c r="L8" s="52"/>
      <c r="M8" s="53"/>
      <c r="N8" s="53"/>
    </row>
    <row r="9" spans="1:14" ht="15.75" customHeight="1">
      <c r="A9" s="55" t="s">
        <v>371</v>
      </c>
      <c r="B9" s="181">
        <f>'Historical Income Statement'!B12</f>
        <v>522.4</v>
      </c>
      <c r="C9" s="181">
        <f>'Historical Income Statement'!C12</f>
        <v>499.2</v>
      </c>
      <c r="D9" s="181">
        <f>'Historical Income Statement'!D12</f>
        <v>518</v>
      </c>
      <c r="E9" s="181">
        <f>'Historical Income Statement'!E12</f>
        <v>554.9</v>
      </c>
      <c r="F9" s="181">
        <f>'Historical Income Statement'!F12</f>
        <v>371</v>
      </c>
      <c r="G9" s="181">
        <f>'Historical Income Statement'!G12</f>
        <v>430.3</v>
      </c>
      <c r="H9" s="181">
        <f>'Historical Income Statement'!H12</f>
        <v>359.5</v>
      </c>
      <c r="I9" s="181">
        <f>'Historical Income Statement'!I12</f>
        <v>461.5</v>
      </c>
      <c r="J9" s="181">
        <f>'Historical Income Statement'!J12</f>
        <v>539.4</v>
      </c>
      <c r="K9" s="181">
        <f>'Historical Income Statement'!K12</f>
        <v>565.6</v>
      </c>
      <c r="L9" s="52"/>
      <c r="M9" s="53"/>
      <c r="N9" s="53"/>
    </row>
    <row r="10" spans="1:14" s="48" customFormat="1" ht="15.75" customHeight="1" thickBot="1">
      <c r="A10" s="176" t="s">
        <v>205</v>
      </c>
      <c r="B10" s="176">
        <f>B6+B7-B8+B9</f>
        <v>14023.800000000001</v>
      </c>
      <c r="C10" s="176">
        <f t="shared" ref="C10:K10" si="1">C6+C7-C8+C9</f>
        <v>15500.6</v>
      </c>
      <c r="D10" s="176">
        <f t="shared" si="1"/>
        <v>16467.200000000004</v>
      </c>
      <c r="E10" s="176">
        <f t="shared" si="1"/>
        <v>18415.400000000001</v>
      </c>
      <c r="F10" s="176">
        <f t="shared" si="1"/>
        <v>19838.3</v>
      </c>
      <c r="G10" s="176">
        <f t="shared" si="1"/>
        <v>19055.5</v>
      </c>
      <c r="H10" s="176">
        <f t="shared" si="1"/>
        <v>21475.599999999999</v>
      </c>
      <c r="I10" s="176">
        <f t="shared" si="1"/>
        <v>24910.5</v>
      </c>
      <c r="J10" s="176">
        <f t="shared" si="1"/>
        <v>27724.300000000003</v>
      </c>
      <c r="K10" s="176">
        <f t="shared" si="1"/>
        <v>28020.1</v>
      </c>
      <c r="L10" s="50"/>
      <c r="M10" s="56"/>
      <c r="N10" s="56"/>
    </row>
    <row r="11" spans="1:14" ht="15.75" customHeight="1">
      <c r="L11" s="52"/>
      <c r="M11" s="53"/>
      <c r="N11" s="53"/>
    </row>
    <row r="12" spans="1:14" ht="15.75" customHeight="1">
      <c r="B12" s="57"/>
      <c r="L12" s="52"/>
      <c r="M12" s="53"/>
      <c r="N12" s="53"/>
    </row>
    <row r="13" spans="1:14" ht="15.75" customHeight="1">
      <c r="C13" s="58"/>
      <c r="D13" s="58"/>
      <c r="E13" s="58"/>
      <c r="F13" s="58"/>
      <c r="G13" s="58"/>
      <c r="H13" s="58"/>
      <c r="I13" s="58"/>
      <c r="J13" s="58"/>
      <c r="L13" s="52"/>
      <c r="M13" s="53"/>
      <c r="N13" s="53"/>
    </row>
    <row r="14" spans="1:14" ht="15.75" customHeight="1">
      <c r="A14" s="168" t="s">
        <v>101</v>
      </c>
      <c r="B14" s="167">
        <f t="shared" ref="B14:K14" si="2">B2</f>
        <v>2015</v>
      </c>
      <c r="C14" s="167">
        <f t="shared" si="2"/>
        <v>2016</v>
      </c>
      <c r="D14" s="167">
        <f t="shared" si="2"/>
        <v>2017</v>
      </c>
      <c r="E14" s="167">
        <f t="shared" si="2"/>
        <v>2018</v>
      </c>
      <c r="F14" s="167">
        <f t="shared" si="2"/>
        <v>2019</v>
      </c>
      <c r="G14" s="167">
        <f t="shared" si="2"/>
        <v>2020</v>
      </c>
      <c r="H14" s="167">
        <f t="shared" si="2"/>
        <v>2021</v>
      </c>
      <c r="I14" s="167">
        <f t="shared" si="2"/>
        <v>2022</v>
      </c>
      <c r="J14" s="167">
        <f t="shared" si="2"/>
        <v>2023</v>
      </c>
      <c r="K14" s="167">
        <f t="shared" si="2"/>
        <v>2024</v>
      </c>
      <c r="L14" s="52"/>
      <c r="M14" s="53"/>
      <c r="N14" s="53"/>
    </row>
    <row r="15" spans="1:14" ht="15.75" customHeight="1">
      <c r="A15" s="54" t="s">
        <v>124</v>
      </c>
      <c r="B15" s="179">
        <f>B10*C24</f>
        <v>18712.531017862806</v>
      </c>
      <c r="C15" s="179">
        <f>C10*C25</f>
        <v>20262.711086351439</v>
      </c>
      <c r="D15" s="179">
        <f>D10*C26</f>
        <v>21081.641771186583</v>
      </c>
      <c r="E15" s="179">
        <f>E10*C27</f>
        <v>23133.873006332771</v>
      </c>
      <c r="F15" s="179">
        <f>F10*C28</f>
        <v>24364.592026819835</v>
      </c>
      <c r="G15" s="179">
        <f>G10*C29</f>
        <v>23088.719325153375</v>
      </c>
      <c r="H15" s="179">
        <f>H10*C30</f>
        <v>24310.466703969123</v>
      </c>
      <c r="I15" s="179">
        <f>I10*C31</f>
        <v>26489.076212023705</v>
      </c>
      <c r="J15" s="179">
        <f>J10*C32</f>
        <v>28524.993647838935</v>
      </c>
      <c r="K15" s="179">
        <f>K10*C33</f>
        <v>28020.1</v>
      </c>
    </row>
    <row r="16" spans="1:14" s="54" customFormat="1" ht="15.75" customHeight="1">
      <c r="A16" s="54" t="s">
        <v>102</v>
      </c>
      <c r="B16" s="177">
        <f>'Real Revenue'!B8</f>
        <v>25569.575873586306</v>
      </c>
      <c r="C16" s="177">
        <f>'Real Revenue'!C8</f>
        <v>27864.593838016499</v>
      </c>
      <c r="D16" s="177">
        <f>'Real Revenue'!D8</f>
        <v>28660.033157015139</v>
      </c>
      <c r="E16" s="177">
        <f>'Real Revenue'!E8</f>
        <v>31053.236626955859</v>
      </c>
      <c r="F16" s="177">
        <f>'Real Revenue'!F8</f>
        <v>32556.782799038039</v>
      </c>
      <c r="G16" s="177">
        <f>'Real Revenue'!G8</f>
        <v>28495.73619631902</v>
      </c>
      <c r="H16" s="177">
        <f>'Real Revenue'!H8</f>
        <v>32896.71760962977</v>
      </c>
      <c r="I16" s="177">
        <f>'Real Revenue'!I8</f>
        <v>34293.998697763112</v>
      </c>
      <c r="J16" s="177">
        <f>'Real Revenue'!J8</f>
        <v>37014.595913231147</v>
      </c>
      <c r="K16" s="177">
        <f>'Real Revenue'!K8</f>
        <v>36176.199999999997</v>
      </c>
    </row>
    <row r="17" spans="1:11" s="54" customFormat="1" ht="15.75" customHeight="1">
      <c r="A17" s="168" t="s">
        <v>125</v>
      </c>
      <c r="B17" s="59">
        <f>CORREL(B15:K15,B16:K16)</f>
        <v>0.97612696179035374</v>
      </c>
      <c r="C17" s="32"/>
      <c r="D17" s="60"/>
      <c r="E17" s="60"/>
      <c r="F17" s="60"/>
      <c r="G17" s="60"/>
      <c r="H17" s="60"/>
      <c r="I17" s="60"/>
      <c r="J17" s="60"/>
      <c r="K17" s="60"/>
    </row>
    <row r="18" spans="1:11" ht="15.75" customHeight="1">
      <c r="D18" s="61"/>
      <c r="E18" s="61"/>
      <c r="F18" s="61"/>
      <c r="G18" s="61"/>
      <c r="H18" s="61"/>
      <c r="I18" s="61"/>
      <c r="J18" s="61"/>
    </row>
    <row r="19" spans="1:11" ht="15.75" customHeight="1">
      <c r="A19" s="170" t="s">
        <v>103</v>
      </c>
      <c r="B19" s="169">
        <f>B14</f>
        <v>2015</v>
      </c>
      <c r="C19" s="169">
        <f t="shared" ref="C19:J19" si="3">C14</f>
        <v>2016</v>
      </c>
      <c r="D19" s="169">
        <f t="shared" si="3"/>
        <v>2017</v>
      </c>
      <c r="E19" s="169">
        <f t="shared" si="3"/>
        <v>2018</v>
      </c>
      <c r="F19" s="169">
        <f t="shared" si="3"/>
        <v>2019</v>
      </c>
      <c r="G19" s="169">
        <f t="shared" si="3"/>
        <v>2020</v>
      </c>
      <c r="H19" s="169">
        <f t="shared" si="3"/>
        <v>2021</v>
      </c>
      <c r="I19" s="169">
        <f t="shared" si="3"/>
        <v>2022</v>
      </c>
      <c r="J19" s="169">
        <f t="shared" si="3"/>
        <v>2023</v>
      </c>
      <c r="K19" s="171">
        <f>K14</f>
        <v>2024</v>
      </c>
    </row>
    <row r="20" spans="1:11" ht="15.75" customHeight="1">
      <c r="A20" s="54" t="s">
        <v>104</v>
      </c>
      <c r="B20" s="55"/>
      <c r="C20" s="180">
        <f>(C15/B15)-1</f>
        <v>8.284181690915271E-2</v>
      </c>
      <c r="D20" s="180">
        <f t="shared" ref="D20:I20" si="4">(D15/C15)-1</f>
        <v>4.041565224639454E-2</v>
      </c>
      <c r="E20" s="180">
        <f t="shared" si="4"/>
        <v>9.7346841266939821E-2</v>
      </c>
      <c r="F20" s="180">
        <f t="shared" si="4"/>
        <v>5.3199869306369996E-2</v>
      </c>
      <c r="G20" s="180">
        <f t="shared" si="4"/>
        <v>-5.2365855347055068E-2</v>
      </c>
      <c r="H20" s="180">
        <f t="shared" si="4"/>
        <v>5.291533764216827E-2</v>
      </c>
      <c r="I20" s="180">
        <f t="shared" si="4"/>
        <v>8.9616112046869256E-2</v>
      </c>
      <c r="J20" s="180">
        <f>(J15/I15)-1</f>
        <v>7.6858755644000354E-2</v>
      </c>
      <c r="K20" s="180">
        <f>(K15/J15)-1</f>
        <v>-1.7700044181331087E-2</v>
      </c>
    </row>
    <row r="21" spans="1:11" ht="15.75" customHeight="1">
      <c r="B21" s="62"/>
      <c r="C21" s="62"/>
      <c r="D21" s="62"/>
      <c r="E21" s="62"/>
      <c r="F21" s="62"/>
      <c r="G21" s="62"/>
      <c r="H21" s="62"/>
      <c r="I21" s="62"/>
      <c r="J21" s="62"/>
      <c r="K21" s="62"/>
    </row>
    <row r="22" spans="1:11" ht="15.75" customHeight="1">
      <c r="C22" s="61"/>
      <c r="D22" s="61"/>
      <c r="E22" s="61"/>
      <c r="F22" s="61"/>
      <c r="G22" s="61"/>
      <c r="H22" s="61"/>
      <c r="I22" s="61"/>
      <c r="J22" s="61"/>
    </row>
    <row r="23" spans="1:11" s="62" customFormat="1" ht="15.75" customHeight="1">
      <c r="A23" s="172" t="s">
        <v>108</v>
      </c>
      <c r="B23" s="172" t="s">
        <v>109</v>
      </c>
      <c r="C23" s="172" t="s">
        <v>110</v>
      </c>
      <c r="D23" s="172" t="s">
        <v>111</v>
      </c>
      <c r="E23" s="173"/>
    </row>
    <row r="24" spans="1:11" ht="15.75" customHeight="1">
      <c r="A24" s="63">
        <v>2015</v>
      </c>
      <c r="B24" s="174">
        <v>236.52500000000001</v>
      </c>
      <c r="C24" s="174">
        <f>$B$33/B24</f>
        <v>1.3343409787548886</v>
      </c>
      <c r="D24" s="62"/>
    </row>
    <row r="25" spans="1:11" ht="15.75" customHeight="1">
      <c r="A25" s="63">
        <f>A24+1</f>
        <v>2016</v>
      </c>
      <c r="B25" s="174">
        <v>241.43199999999999</v>
      </c>
      <c r="C25" s="174">
        <f t="shared" ref="C25:C33" si="5">$B$33/B25</f>
        <v>1.3072210808840585</v>
      </c>
      <c r="D25" s="46">
        <f>(B25-B24)/B24</f>
        <v>2.0746221329669093E-2</v>
      </c>
      <c r="J25" s="64"/>
    </row>
    <row r="26" spans="1:11" ht="15.75" customHeight="1">
      <c r="A26" s="63">
        <f t="shared" ref="A26:A33" si="6">A25+1</f>
        <v>2017</v>
      </c>
      <c r="B26" s="174">
        <v>246.524</v>
      </c>
      <c r="C26" s="174">
        <f t="shared" si="5"/>
        <v>1.2802201814022165</v>
      </c>
      <c r="D26" s="46">
        <f t="shared" ref="D26:D33" si="7">(B26-B25)/B25</f>
        <v>2.1090824745684141E-2</v>
      </c>
    </row>
    <row r="27" spans="1:11" ht="15.75" customHeight="1">
      <c r="A27" s="63">
        <f t="shared" si="6"/>
        <v>2018</v>
      </c>
      <c r="B27" s="174">
        <v>251.233</v>
      </c>
      <c r="C27" s="174">
        <f t="shared" si="5"/>
        <v>1.2562243017437997</v>
      </c>
      <c r="D27" s="46">
        <f t="shared" si="7"/>
        <v>1.9101588486313718E-2</v>
      </c>
    </row>
    <row r="28" spans="1:11" ht="15.75" customHeight="1">
      <c r="A28" s="63">
        <f t="shared" si="6"/>
        <v>2019</v>
      </c>
      <c r="B28" s="174">
        <v>256.97399999999999</v>
      </c>
      <c r="C28" s="174">
        <f t="shared" si="5"/>
        <v>1.2281592690311083</v>
      </c>
      <c r="D28" s="46">
        <f t="shared" si="7"/>
        <v>2.2851297401217139E-2</v>
      </c>
    </row>
    <row r="29" spans="1:11" ht="15.75" customHeight="1">
      <c r="A29" s="63">
        <f t="shared" si="6"/>
        <v>2020</v>
      </c>
      <c r="B29" s="174">
        <v>260.47399999999999</v>
      </c>
      <c r="C29" s="174">
        <f t="shared" si="5"/>
        <v>1.2116564417177915</v>
      </c>
      <c r="D29" s="46">
        <f t="shared" si="7"/>
        <v>1.3620054947193101E-2</v>
      </c>
    </row>
    <row r="30" spans="1:11" ht="15.75" customHeight="1">
      <c r="A30" s="63">
        <f t="shared" si="6"/>
        <v>2021</v>
      </c>
      <c r="B30" s="174">
        <v>278.80200000000002</v>
      </c>
      <c r="C30" s="174">
        <f t="shared" si="5"/>
        <v>1.1320040745762225</v>
      </c>
      <c r="D30" s="46">
        <f t="shared" si="7"/>
        <v>7.0364028655451341E-2</v>
      </c>
    </row>
    <row r="31" spans="1:11" ht="15.75" customHeight="1">
      <c r="A31" s="63">
        <f t="shared" si="6"/>
        <v>2022</v>
      </c>
      <c r="B31" s="174">
        <v>296.79700000000003</v>
      </c>
      <c r="C31" s="174">
        <f t="shared" si="5"/>
        <v>1.06336991276866</v>
      </c>
      <c r="D31" s="46">
        <f t="shared" si="7"/>
        <v>6.4544013314108237E-2</v>
      </c>
    </row>
    <row r="32" spans="1:11" ht="15.75" customHeight="1">
      <c r="A32" s="63">
        <f t="shared" si="6"/>
        <v>2023</v>
      </c>
      <c r="B32" s="174">
        <v>306.74599999999998</v>
      </c>
      <c r="C32" s="174">
        <f t="shared" si="5"/>
        <v>1.0288805721998007</v>
      </c>
      <c r="D32" s="46">
        <f t="shared" si="7"/>
        <v>3.3521228314302216E-2</v>
      </c>
    </row>
    <row r="33" spans="1:4" ht="15.75" customHeight="1">
      <c r="A33" s="63">
        <f t="shared" si="6"/>
        <v>2024</v>
      </c>
      <c r="B33" s="174">
        <v>315.60500000000002</v>
      </c>
      <c r="C33" s="174">
        <f t="shared" si="5"/>
        <v>1</v>
      </c>
      <c r="D33" s="46">
        <f t="shared" si="7"/>
        <v>2.888057219980061E-2</v>
      </c>
    </row>
    <row r="34" spans="1:4" ht="15.75" customHeight="1">
      <c r="A34" s="52"/>
      <c r="B34" s="65"/>
      <c r="C34" s="66"/>
      <c r="D34" s="47"/>
    </row>
    <row r="35" spans="1:4" ht="15.75" customHeight="1">
      <c r="A35" s="67" t="s">
        <v>488</v>
      </c>
      <c r="B35" s="68"/>
    </row>
    <row r="36" spans="1:4" ht="15.75" customHeight="1">
      <c r="A36" s="44" t="s">
        <v>490</v>
      </c>
    </row>
    <row r="37" spans="1:4" ht="15.75" customHeight="1">
      <c r="A37" s="44" t="s">
        <v>491</v>
      </c>
    </row>
    <row r="38" spans="1:4" ht="15.75" customHeight="1">
      <c r="A38" s="44" t="s">
        <v>492</v>
      </c>
    </row>
    <row r="39" spans="1:4" ht="15.75" customHeight="1">
      <c r="A39" s="44" t="s">
        <v>493</v>
      </c>
    </row>
    <row r="40" spans="1:4" ht="15.75" customHeight="1">
      <c r="A40" s="44" t="s">
        <v>206</v>
      </c>
    </row>
    <row r="41" spans="1:4" ht="15.75" customHeight="1">
      <c r="A41" s="44" t="s">
        <v>207</v>
      </c>
    </row>
    <row r="42" spans="1:4" ht="15.75" customHeight="1">
      <c r="A42" s="44" t="s">
        <v>208</v>
      </c>
    </row>
  </sheetData>
  <pageMargins left="0.7" right="0.7" top="0.75" bottom="0.75" header="0.3" footer="0.3"/>
  <pageSetup scale="61" orientation="landscape" horizontalDpi="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B883F-D9FB-FA45-8300-76188803978D}">
  <dimension ref="A2:M46"/>
  <sheetViews>
    <sheetView showGridLines="0" topLeftCell="A10" workbookViewId="0">
      <selection activeCell="I37" sqref="I37"/>
    </sheetView>
  </sheetViews>
  <sheetFormatPr baseColWidth="10" defaultColWidth="8.83203125" defaultRowHeight="15"/>
  <cols>
    <col min="1" max="1" width="29.6640625" style="49" customWidth="1"/>
    <col min="2" max="2" width="24.33203125" style="49" customWidth="1"/>
    <col min="3" max="3" width="13.83203125" style="49" customWidth="1"/>
    <col min="4" max="4" width="20.1640625" style="49" customWidth="1"/>
    <col min="5" max="5" width="15.1640625" style="49" customWidth="1"/>
    <col min="6" max="6" width="20.33203125" style="49" customWidth="1"/>
    <col min="7" max="11" width="11.6640625" style="49" bestFit="1" customWidth="1"/>
    <col min="12" max="16384" width="8.83203125" style="49"/>
  </cols>
  <sheetData>
    <row r="2" spans="1:11">
      <c r="A2" s="170" t="s">
        <v>101</v>
      </c>
      <c r="B2" s="169">
        <v>2015</v>
      </c>
      <c r="C2" s="169">
        <v>2016</v>
      </c>
      <c r="D2" s="169">
        <v>2017</v>
      </c>
      <c r="E2" s="169">
        <v>2018</v>
      </c>
      <c r="F2" s="169">
        <v>2019</v>
      </c>
      <c r="G2" s="169">
        <v>2020</v>
      </c>
      <c r="H2" s="169">
        <v>2021</v>
      </c>
      <c r="I2" s="169">
        <v>2022</v>
      </c>
      <c r="J2" s="169">
        <v>2023</v>
      </c>
      <c r="K2" s="169">
        <v>2024</v>
      </c>
    </row>
    <row r="3" spans="1:11">
      <c r="A3" s="54" t="s">
        <v>102</v>
      </c>
      <c r="B3" s="182">
        <f>'Real Operating Costs'!B16</f>
        <v>25569.575873586306</v>
      </c>
      <c r="C3" s="182">
        <f>'Real Operating Costs'!C16</f>
        <v>27864.593838016499</v>
      </c>
      <c r="D3" s="182">
        <f>'Real Operating Costs'!D16</f>
        <v>28660.033157015139</v>
      </c>
      <c r="E3" s="182">
        <f>'Real Operating Costs'!E16</f>
        <v>31053.236626955859</v>
      </c>
      <c r="F3" s="182">
        <f>'Real Operating Costs'!F16</f>
        <v>32556.782799038039</v>
      </c>
      <c r="G3" s="182">
        <f>'Real Operating Costs'!G16</f>
        <v>28495.73619631902</v>
      </c>
      <c r="H3" s="182">
        <f>'Real Operating Costs'!H16</f>
        <v>32896.71760962977</v>
      </c>
      <c r="I3" s="182">
        <f>'Real Operating Costs'!I16</f>
        <v>34293.998697763112</v>
      </c>
      <c r="J3" s="182">
        <f>'Real Operating Costs'!J16</f>
        <v>37014.595913231147</v>
      </c>
      <c r="K3" s="182">
        <f>'Real Operating Costs'!K16</f>
        <v>36176.199999999997</v>
      </c>
    </row>
    <row r="4" spans="1:11">
      <c r="A4" s="54" t="s">
        <v>123</v>
      </c>
      <c r="B4" s="181">
        <f>'Real Operating Costs'!B15</f>
        <v>18712.531017862806</v>
      </c>
      <c r="C4" s="181">
        <f>'Real Operating Costs'!C15</f>
        <v>20262.711086351439</v>
      </c>
      <c r="D4" s="181">
        <f>'Real Operating Costs'!D15</f>
        <v>21081.641771186583</v>
      </c>
      <c r="E4" s="181">
        <f>'Real Operating Costs'!E15</f>
        <v>23133.873006332771</v>
      </c>
      <c r="F4" s="181">
        <f>'Real Operating Costs'!F15</f>
        <v>24364.592026819835</v>
      </c>
      <c r="G4" s="181">
        <f>'Real Operating Costs'!G15</f>
        <v>23088.719325153375</v>
      </c>
      <c r="H4" s="181">
        <f>'Real Operating Costs'!H15</f>
        <v>24310.466703969123</v>
      </c>
      <c r="I4" s="181">
        <f>'Real Operating Costs'!I15</f>
        <v>26489.076212023705</v>
      </c>
      <c r="J4" s="181">
        <f>'Real Operating Costs'!J15</f>
        <v>28524.993647838935</v>
      </c>
      <c r="K4" s="181">
        <f>'Real Operating Costs'!K15</f>
        <v>28020.1</v>
      </c>
    </row>
    <row r="21" spans="1:6">
      <c r="A21" s="172" t="s">
        <v>122</v>
      </c>
      <c r="B21" s="172" t="s">
        <v>102</v>
      </c>
      <c r="C21" s="172" t="s">
        <v>121</v>
      </c>
      <c r="D21" s="62"/>
    </row>
    <row r="22" spans="1:6">
      <c r="A22" s="69">
        <v>2015</v>
      </c>
      <c r="B22" s="183">
        <v>25569.575873586306</v>
      </c>
      <c r="C22" s="62"/>
      <c r="D22" s="62"/>
    </row>
    <row r="23" spans="1:6">
      <c r="A23" s="69">
        <v>2016</v>
      </c>
      <c r="B23" s="183">
        <v>27864.593838016506</v>
      </c>
      <c r="C23" s="62"/>
      <c r="D23" s="62"/>
    </row>
    <row r="24" spans="1:6">
      <c r="A24" s="69">
        <v>2017</v>
      </c>
      <c r="B24" s="183">
        <v>28660.033157015139</v>
      </c>
      <c r="C24" s="62"/>
      <c r="D24" s="62"/>
    </row>
    <row r="25" spans="1:6">
      <c r="A25" s="69">
        <v>2018</v>
      </c>
      <c r="B25" s="183">
        <v>31053.236626955859</v>
      </c>
      <c r="C25" s="62"/>
      <c r="D25" s="62"/>
    </row>
    <row r="26" spans="1:6">
      <c r="A26" s="69">
        <v>2019</v>
      </c>
      <c r="B26" s="183">
        <v>32556.782799038036</v>
      </c>
      <c r="C26" s="62"/>
      <c r="D26" s="62"/>
      <c r="E26" s="70"/>
      <c r="F26" s="70"/>
    </row>
    <row r="27" spans="1:6">
      <c r="A27" s="69">
        <v>2021</v>
      </c>
      <c r="B27" s="183">
        <v>32896.71760962977</v>
      </c>
      <c r="C27" s="100" t="s">
        <v>127</v>
      </c>
      <c r="D27" s="62"/>
    </row>
    <row r="28" spans="1:6">
      <c r="A28" s="69">
        <v>2022</v>
      </c>
      <c r="B28" s="183">
        <v>34293.998697763112</v>
      </c>
      <c r="C28" s="62"/>
      <c r="D28" s="62"/>
    </row>
    <row r="29" spans="1:6">
      <c r="A29" s="69">
        <v>2023</v>
      </c>
      <c r="B29" s="183">
        <v>37014.595913231147</v>
      </c>
      <c r="C29" s="303" t="s">
        <v>120</v>
      </c>
      <c r="D29" s="303"/>
      <c r="E29" s="304"/>
      <c r="F29" s="304"/>
    </row>
    <row r="30" spans="1:6">
      <c r="A30" s="69">
        <v>2024</v>
      </c>
      <c r="B30" s="184">
        <v>36176.199999999997</v>
      </c>
      <c r="C30" s="172" t="s">
        <v>119</v>
      </c>
      <c r="D30" s="172" t="s">
        <v>118</v>
      </c>
      <c r="E30" s="71"/>
      <c r="F30" s="71"/>
    </row>
    <row r="31" spans="1:6">
      <c r="A31" s="69">
        <v>2025</v>
      </c>
      <c r="B31" s="72"/>
      <c r="C31" s="186">
        <f>_xlfn.FORECAST.LINEAR(A31,$B$22:$B$30,$A$22:$A$30)</f>
        <v>38288.669488809071</v>
      </c>
      <c r="D31" s="187">
        <f>(C31-B29)/B29</f>
        <v>3.4420842485072135E-2</v>
      </c>
      <c r="E31" s="44" t="s">
        <v>126</v>
      </c>
      <c r="F31" s="73"/>
    </row>
    <row r="32" spans="1:6">
      <c r="A32" s="69">
        <v>2026</v>
      </c>
      <c r="B32" s="62"/>
      <c r="C32" s="186">
        <f t="shared" ref="C32:C40" si="0">_xlfn.FORECAST.LINEAR(A32,$B$22:$B$30,$A$22:$A$30)</f>
        <v>39458.915306489915</v>
      </c>
      <c r="D32" s="187">
        <f t="shared" ref="D32:D40" si="1">(C32-C31)/C31</f>
        <v>3.0563762943574733E-2</v>
      </c>
      <c r="E32" s="74"/>
      <c r="F32" s="73"/>
    </row>
    <row r="33" spans="1:13">
      <c r="A33" s="69">
        <v>2027</v>
      </c>
      <c r="B33" s="62"/>
      <c r="C33" s="186">
        <f t="shared" si="0"/>
        <v>40629.161124170758</v>
      </c>
      <c r="D33" s="187">
        <f t="shared" si="1"/>
        <v>2.9657323537435651E-2</v>
      </c>
      <c r="E33" s="44" t="s">
        <v>128</v>
      </c>
      <c r="F33" s="73"/>
      <c r="G33" s="75"/>
      <c r="H33" s="75"/>
      <c r="I33" s="75"/>
      <c r="J33" s="75"/>
    </row>
    <row r="34" spans="1:13">
      <c r="A34" s="69">
        <v>2028</v>
      </c>
      <c r="B34" s="62"/>
      <c r="C34" s="186">
        <f t="shared" si="0"/>
        <v>41799.406941851601</v>
      </c>
      <c r="D34" s="187">
        <f t="shared" si="1"/>
        <v>2.8803100662215014E-2</v>
      </c>
      <c r="E34" s="74"/>
      <c r="F34" s="73"/>
    </row>
    <row r="35" spans="1:13">
      <c r="A35" s="69">
        <v>2029</v>
      </c>
      <c r="B35" s="62"/>
      <c r="C35" s="186">
        <f t="shared" si="0"/>
        <v>42969.652759532444</v>
      </c>
      <c r="D35" s="187">
        <f t="shared" si="1"/>
        <v>2.7996708644905104E-2</v>
      </c>
      <c r="E35" s="74"/>
      <c r="F35" s="73"/>
    </row>
    <row r="36" spans="1:13">
      <c r="A36" s="69">
        <v>2030</v>
      </c>
      <c r="B36" s="62"/>
      <c r="C36" s="186">
        <f t="shared" si="0"/>
        <v>44139.898577213753</v>
      </c>
      <c r="D36" s="187">
        <f t="shared" si="1"/>
        <v>2.7234239574386598E-2</v>
      </c>
      <c r="E36" s="74"/>
      <c r="F36" s="73"/>
    </row>
    <row r="37" spans="1:13">
      <c r="A37" s="69">
        <v>2031</v>
      </c>
      <c r="B37" s="62"/>
      <c r="C37" s="186">
        <f t="shared" si="0"/>
        <v>45310.144394894596</v>
      </c>
      <c r="D37" s="187">
        <f t="shared" si="1"/>
        <v>2.6512199968781913E-2</v>
      </c>
      <c r="E37" s="74"/>
      <c r="F37" s="73"/>
    </row>
    <row r="38" spans="1:13">
      <c r="A38" s="69">
        <v>2032</v>
      </c>
      <c r="B38" s="62"/>
      <c r="C38" s="186">
        <f t="shared" si="0"/>
        <v>46480.390212575439</v>
      </c>
      <c r="D38" s="187">
        <f t="shared" si="1"/>
        <v>2.5827457257291433E-2</v>
      </c>
      <c r="E38" s="74"/>
      <c r="F38" s="73"/>
      <c r="G38" s="75"/>
      <c r="H38" s="75"/>
      <c r="I38" s="75"/>
      <c r="J38" s="75"/>
      <c r="K38" s="75"/>
      <c r="L38" s="75"/>
      <c r="M38" s="75"/>
    </row>
    <row r="39" spans="1:13">
      <c r="A39" s="69">
        <v>2033</v>
      </c>
      <c r="B39" s="62"/>
      <c r="C39" s="186">
        <f t="shared" si="0"/>
        <v>47650.636030256283</v>
      </c>
      <c r="D39" s="187">
        <f t="shared" si="1"/>
        <v>2.5177194346449976E-2</v>
      </c>
      <c r="E39" s="74"/>
      <c r="F39" s="73"/>
    </row>
    <row r="40" spans="1:13">
      <c r="A40" s="69">
        <v>2034</v>
      </c>
      <c r="B40" s="62"/>
      <c r="C40" s="186">
        <f t="shared" si="0"/>
        <v>48820.881847937126</v>
      </c>
      <c r="D40" s="187">
        <f t="shared" si="1"/>
        <v>2.455887088134108E-2</v>
      </c>
      <c r="E40" s="74"/>
      <c r="F40" s="73"/>
    </row>
    <row r="41" spans="1:13">
      <c r="A41" s="62"/>
      <c r="B41" s="62"/>
      <c r="C41" s="62"/>
      <c r="D41" s="62"/>
    </row>
    <row r="42" spans="1:13">
      <c r="C42" s="305" t="s">
        <v>489</v>
      </c>
      <c r="D42" s="305"/>
      <c r="E42" s="305"/>
      <c r="F42" s="305"/>
    </row>
    <row r="43" spans="1:13">
      <c r="C43" s="305"/>
      <c r="D43" s="305"/>
      <c r="E43" s="305"/>
      <c r="F43" s="305"/>
    </row>
    <row r="44" spans="1:13">
      <c r="C44" s="305"/>
      <c r="D44" s="305"/>
      <c r="E44" s="305"/>
      <c r="F44" s="305"/>
    </row>
    <row r="46" spans="1:13">
      <c r="E46" s="75"/>
      <c r="F46" s="75"/>
      <c r="G46" s="75"/>
    </row>
  </sheetData>
  <mergeCells count="3">
    <mergeCell ref="C29:D29"/>
    <mergeCell ref="E29:F29"/>
    <mergeCell ref="C42:F44"/>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7E88A-295C-6940-BE51-A04C9A4EC47A}">
  <dimension ref="A2:N46"/>
  <sheetViews>
    <sheetView showGridLines="0" topLeftCell="A4" workbookViewId="0">
      <selection activeCell="L16" sqref="L16"/>
    </sheetView>
  </sheetViews>
  <sheetFormatPr baseColWidth="10" defaultColWidth="8.83203125" defaultRowHeight="15"/>
  <cols>
    <col min="1" max="1" width="30.33203125" style="49" customWidth="1"/>
    <col min="2" max="2" width="23.6640625" style="49" customWidth="1"/>
    <col min="3" max="3" width="28.83203125" style="49" customWidth="1"/>
    <col min="4" max="4" width="14.5" style="49" customWidth="1"/>
    <col min="5" max="5" width="9.6640625" style="49" customWidth="1"/>
    <col min="6" max="12" width="14.5" style="49" customWidth="1"/>
    <col min="13" max="16384" width="8.83203125" style="49"/>
  </cols>
  <sheetData>
    <row r="2" spans="1:12">
      <c r="A2" s="170" t="s">
        <v>122</v>
      </c>
      <c r="B2" s="169">
        <v>2015</v>
      </c>
      <c r="C2" s="169">
        <f>B2+1</f>
        <v>2016</v>
      </c>
      <c r="D2" s="169">
        <f t="shared" ref="D2:K2" si="0">C2+1</f>
        <v>2017</v>
      </c>
      <c r="E2" s="169">
        <f t="shared" si="0"/>
        <v>2018</v>
      </c>
      <c r="F2" s="169">
        <f t="shared" si="0"/>
        <v>2019</v>
      </c>
      <c r="G2" s="169">
        <f t="shared" si="0"/>
        <v>2020</v>
      </c>
      <c r="H2" s="169">
        <f t="shared" si="0"/>
        <v>2021</v>
      </c>
      <c r="I2" s="169">
        <f t="shared" si="0"/>
        <v>2022</v>
      </c>
      <c r="J2" s="169">
        <f t="shared" si="0"/>
        <v>2023</v>
      </c>
      <c r="K2" s="169">
        <f t="shared" si="0"/>
        <v>2024</v>
      </c>
    </row>
    <row r="3" spans="1:12">
      <c r="A3" s="54" t="s">
        <v>102</v>
      </c>
      <c r="B3" s="182">
        <f>'Real Operating Costs'!B16</f>
        <v>25569.575873586306</v>
      </c>
      <c r="C3" s="182">
        <f>'Real Operating Costs'!C16</f>
        <v>27864.593838016499</v>
      </c>
      <c r="D3" s="182">
        <f>'Real Operating Costs'!D16</f>
        <v>28660.033157015139</v>
      </c>
      <c r="E3" s="182">
        <f>'Real Operating Costs'!E16</f>
        <v>31053.236626955859</v>
      </c>
      <c r="F3" s="182">
        <f>'Real Operating Costs'!F16</f>
        <v>32556.782799038039</v>
      </c>
      <c r="G3" s="182">
        <f>'Real Operating Costs'!G16</f>
        <v>28495.73619631902</v>
      </c>
      <c r="H3" s="182">
        <f>'Real Operating Costs'!H16</f>
        <v>32896.71760962977</v>
      </c>
      <c r="I3" s="182">
        <f>'Real Operating Costs'!I16</f>
        <v>34293.998697763112</v>
      </c>
      <c r="J3" s="182">
        <f>'Real Operating Costs'!J16</f>
        <v>37014.595913231147</v>
      </c>
      <c r="K3" s="182">
        <f>'Real Operating Costs'!K16</f>
        <v>36176.199999999997</v>
      </c>
    </row>
    <row r="4" spans="1:12">
      <c r="A4" s="54" t="s">
        <v>123</v>
      </c>
      <c r="B4" s="181">
        <f>'Real Operating Costs'!B15</f>
        <v>18712.531017862806</v>
      </c>
      <c r="C4" s="181">
        <f>'Real Operating Costs'!C15</f>
        <v>20262.711086351439</v>
      </c>
      <c r="D4" s="181">
        <f>'Real Operating Costs'!D15</f>
        <v>21081.641771186583</v>
      </c>
      <c r="E4" s="181">
        <f>'Real Operating Costs'!E15</f>
        <v>23133.873006332771</v>
      </c>
      <c r="F4" s="181">
        <f>'Real Operating Costs'!F15</f>
        <v>24364.592026819835</v>
      </c>
      <c r="G4" s="181">
        <f>'Real Operating Costs'!G15</f>
        <v>23088.719325153375</v>
      </c>
      <c r="H4" s="181">
        <f>'Real Operating Costs'!H15</f>
        <v>24310.466703969123</v>
      </c>
      <c r="I4" s="181">
        <f>'Real Operating Costs'!I15</f>
        <v>26489.076212023705</v>
      </c>
      <c r="J4" s="181">
        <f>'Real Operating Costs'!J15</f>
        <v>28524.993647838935</v>
      </c>
      <c r="K4" s="181">
        <f>'Real Operating Costs'!K15</f>
        <v>28020.1</v>
      </c>
    </row>
    <row r="5" spans="1:12">
      <c r="J5" s="168" t="s">
        <v>129</v>
      </c>
      <c r="K5" s="76">
        <f>CORREL(B3:K3,B4:K4)</f>
        <v>0.97612696179035374</v>
      </c>
      <c r="L5" s="67" t="s">
        <v>510</v>
      </c>
    </row>
    <row r="21" spans="1:13">
      <c r="A21" s="172" t="s">
        <v>122</v>
      </c>
      <c r="B21" s="172" t="s">
        <v>102</v>
      </c>
      <c r="C21" s="172" t="s">
        <v>130</v>
      </c>
    </row>
    <row r="22" spans="1:13">
      <c r="A22" s="69">
        <v>2015</v>
      </c>
      <c r="B22" s="183">
        <v>25569.575873586306</v>
      </c>
      <c r="C22" s="189">
        <v>10795.218820420676</v>
      </c>
      <c r="E22" s="77" t="s">
        <v>131</v>
      </c>
      <c r="H22" s="178">
        <f>INTERCEPT(C22:C30,B22:B30)</f>
        <v>38871.150322006892</v>
      </c>
      <c r="I22" s="67" t="s">
        <v>511</v>
      </c>
      <c r="J22" s="67"/>
      <c r="K22" s="67"/>
      <c r="L22" s="67"/>
      <c r="M22" s="67"/>
    </row>
    <row r="23" spans="1:13">
      <c r="A23" s="69">
        <v>2016</v>
      </c>
      <c r="B23" s="183">
        <v>27864.593838016506</v>
      </c>
      <c r="C23" s="189">
        <v>11682.76552196892</v>
      </c>
      <c r="E23" s="77" t="s">
        <v>132</v>
      </c>
      <c r="G23" s="70"/>
      <c r="H23" s="78">
        <f>SLOPE(C22:C30,B22:B30)</f>
        <v>-1.0954158936588201</v>
      </c>
    </row>
    <row r="24" spans="1:13">
      <c r="A24" s="69">
        <v>2017</v>
      </c>
      <c r="B24" s="183">
        <v>28660.033157015139</v>
      </c>
      <c r="C24" s="189">
        <v>9554.027169768462</v>
      </c>
    </row>
    <row r="25" spans="1:13">
      <c r="A25" s="69">
        <v>2018</v>
      </c>
      <c r="B25" s="183">
        <v>31053.236626955859</v>
      </c>
      <c r="C25" s="189">
        <v>579.37064796424045</v>
      </c>
    </row>
    <row r="26" spans="1:13">
      <c r="A26" s="69">
        <v>2019</v>
      </c>
      <c r="B26" s="183">
        <v>32556.782799038036</v>
      </c>
      <c r="C26" s="189">
        <v>548.74156140309913</v>
      </c>
      <c r="E26" s="70"/>
    </row>
    <row r="27" spans="1:13">
      <c r="A27" s="69">
        <v>2021</v>
      </c>
      <c r="B27" s="183">
        <v>32896.71760962977</v>
      </c>
      <c r="C27" s="189">
        <v>555.7008002094675</v>
      </c>
    </row>
    <row r="28" spans="1:13">
      <c r="A28" s="69">
        <v>2022</v>
      </c>
      <c r="B28" s="183">
        <v>34293.998697763112</v>
      </c>
      <c r="C28" s="189">
        <v>621.11436604817425</v>
      </c>
    </row>
    <row r="29" spans="1:13">
      <c r="A29" s="69">
        <v>2023</v>
      </c>
      <c r="B29" s="183">
        <v>37014.595913231147</v>
      </c>
      <c r="C29" s="189">
        <v>1109.8534732319254</v>
      </c>
    </row>
    <row r="30" spans="1:13">
      <c r="A30" s="69">
        <v>2024</v>
      </c>
      <c r="B30" s="183">
        <v>36176.199999999997</v>
      </c>
      <c r="C30" s="189">
        <v>1010.7000000000003</v>
      </c>
      <c r="F30" s="75"/>
      <c r="G30" s="75"/>
      <c r="H30" s="75"/>
      <c r="I30" s="75"/>
      <c r="J30" s="75"/>
      <c r="K30" s="75"/>
    </row>
    <row r="31" spans="1:13">
      <c r="A31" s="69">
        <v>2025</v>
      </c>
      <c r="B31" s="188">
        <f>'Forecasting Sales'!C31</f>
        <v>38288.669488809071</v>
      </c>
      <c r="C31" s="190">
        <f>$H$22+$H$23*B31</f>
        <v>-3070.8667830840932</v>
      </c>
    </row>
    <row r="32" spans="1:13">
      <c r="A32" s="69">
        <v>2026</v>
      </c>
      <c r="B32" s="188">
        <f>'Forecasting Sales'!C32</f>
        <v>39458.915306489915</v>
      </c>
      <c r="C32" s="190">
        <f t="shared" ref="C32:C40" si="1">$H$22+$H$23*B32</f>
        <v>-4352.7726512594527</v>
      </c>
    </row>
    <row r="33" spans="1:14">
      <c r="A33" s="69">
        <v>2027</v>
      </c>
      <c r="B33" s="188">
        <f>'Forecasting Sales'!C33</f>
        <v>40629.161124170758</v>
      </c>
      <c r="C33" s="190">
        <f t="shared" si="1"/>
        <v>-5634.6785194348122</v>
      </c>
      <c r="E33" s="75"/>
    </row>
    <row r="34" spans="1:14">
      <c r="A34" s="69">
        <v>2028</v>
      </c>
      <c r="B34" s="188">
        <f>'Forecasting Sales'!C34</f>
        <v>41799.406941851601</v>
      </c>
      <c r="C34" s="190">
        <f t="shared" si="1"/>
        <v>-6916.5843876101644</v>
      </c>
    </row>
    <row r="35" spans="1:14">
      <c r="A35" s="69">
        <v>2029</v>
      </c>
      <c r="B35" s="188">
        <f>'Forecasting Sales'!C35</f>
        <v>42969.652759532444</v>
      </c>
      <c r="C35" s="190">
        <f t="shared" si="1"/>
        <v>-8198.4902557855239</v>
      </c>
      <c r="F35" s="75"/>
      <c r="G35" s="75"/>
      <c r="H35" s="75"/>
      <c r="I35" s="75"/>
      <c r="J35" s="75"/>
      <c r="K35" s="75"/>
      <c r="L35" s="75"/>
      <c r="M35" s="75"/>
      <c r="N35" s="75"/>
    </row>
    <row r="36" spans="1:14">
      <c r="A36" s="69">
        <v>2030</v>
      </c>
      <c r="B36" s="188">
        <f>'Forecasting Sales'!C36</f>
        <v>44139.898577213753</v>
      </c>
      <c r="C36" s="190">
        <f t="shared" si="1"/>
        <v>-9480.3961239613927</v>
      </c>
    </row>
    <row r="37" spans="1:14">
      <c r="A37" s="69">
        <v>2031</v>
      </c>
      <c r="B37" s="188">
        <f>'Forecasting Sales'!C37</f>
        <v>45310.144394894596</v>
      </c>
      <c r="C37" s="190">
        <f t="shared" si="1"/>
        <v>-10762.301992136752</v>
      </c>
    </row>
    <row r="38" spans="1:14">
      <c r="A38" s="69">
        <v>2032</v>
      </c>
      <c r="B38" s="188">
        <f>'Forecasting Sales'!C38</f>
        <v>46480.390212575439</v>
      </c>
      <c r="C38" s="190">
        <f t="shared" si="1"/>
        <v>-12044.207860312104</v>
      </c>
      <c r="E38" s="75"/>
    </row>
    <row r="39" spans="1:14">
      <c r="A39" s="69">
        <v>2033</v>
      </c>
      <c r="B39" s="188">
        <f>'Forecasting Sales'!C39</f>
        <v>47650.636030256283</v>
      </c>
      <c r="C39" s="190">
        <f t="shared" si="1"/>
        <v>-13326.113728487464</v>
      </c>
    </row>
    <row r="40" spans="1:14">
      <c r="A40" s="69">
        <v>2034</v>
      </c>
      <c r="B40" s="188">
        <f>'Forecasting Sales'!C40</f>
        <v>48820.881847937126</v>
      </c>
      <c r="C40" s="190">
        <f t="shared" si="1"/>
        <v>-14608.019596662823</v>
      </c>
    </row>
    <row r="43" spans="1:14">
      <c r="F43" s="75"/>
      <c r="G43" s="75"/>
      <c r="H43" s="75"/>
    </row>
    <row r="46" spans="1:14">
      <c r="E46" s="75"/>
    </row>
  </sheetData>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4C80-F489-DC48-88E0-BF284438C4BC}">
  <sheetPr>
    <outlinePr summaryBelow="0" summaryRight="0"/>
    <pageSetUpPr fitToPage="1"/>
  </sheetPr>
  <dimension ref="A1:L24"/>
  <sheetViews>
    <sheetView showGridLines="0" zoomScaleNormal="100" workbookViewId="0">
      <selection activeCell="N34" sqref="N34"/>
    </sheetView>
  </sheetViews>
  <sheetFormatPr baseColWidth="10" defaultColWidth="14.5" defaultRowHeight="15.75" customHeight="1"/>
  <cols>
    <col min="1" max="1" width="38.6640625" style="81" bestFit="1" customWidth="1"/>
    <col min="2" max="11" width="10.83203125" style="81" bestFit="1" customWidth="1"/>
    <col min="12" max="16384" width="14.5" style="81"/>
  </cols>
  <sheetData>
    <row r="1" spans="1:12" ht="15.75" customHeight="1">
      <c r="A1" s="80" t="s">
        <v>504</v>
      </c>
    </row>
    <row r="2" spans="1:12" ht="15.75" customHeight="1">
      <c r="A2" s="191"/>
      <c r="B2" s="192">
        <v>2015</v>
      </c>
      <c r="C2" s="192">
        <f>B2+1</f>
        <v>2016</v>
      </c>
      <c r="D2" s="192">
        <f t="shared" ref="D2:K2" si="0">C2+1</f>
        <v>2017</v>
      </c>
      <c r="E2" s="192">
        <f t="shared" si="0"/>
        <v>2018</v>
      </c>
      <c r="F2" s="192">
        <f t="shared" si="0"/>
        <v>2019</v>
      </c>
      <c r="G2" s="192">
        <f t="shared" si="0"/>
        <v>2020</v>
      </c>
      <c r="H2" s="192">
        <f t="shared" si="0"/>
        <v>2021</v>
      </c>
      <c r="I2" s="192">
        <f t="shared" si="0"/>
        <v>2022</v>
      </c>
      <c r="J2" s="192">
        <f t="shared" si="0"/>
        <v>2023</v>
      </c>
      <c r="K2" s="192">
        <f t="shared" si="0"/>
        <v>2024</v>
      </c>
    </row>
    <row r="3" spans="1:12" ht="15.75" customHeight="1">
      <c r="A3" s="82" t="s">
        <v>217</v>
      </c>
      <c r="B3" s="196">
        <f>'Real Operating Costs'!B16</f>
        <v>25569.575873586306</v>
      </c>
      <c r="C3" s="196">
        <f>'Real Operating Costs'!C16</f>
        <v>27864.593838016499</v>
      </c>
      <c r="D3" s="196">
        <f>'Real Operating Costs'!D16</f>
        <v>28660.033157015139</v>
      </c>
      <c r="E3" s="196">
        <f>'Real Operating Costs'!E16</f>
        <v>31053.236626955859</v>
      </c>
      <c r="F3" s="196">
        <f>'Real Operating Costs'!F16</f>
        <v>32556.782799038039</v>
      </c>
      <c r="G3" s="196">
        <f>'Real Operating Costs'!G16</f>
        <v>28495.73619631902</v>
      </c>
      <c r="H3" s="196">
        <f>'Real Operating Costs'!H16</f>
        <v>32896.71760962977</v>
      </c>
      <c r="I3" s="196">
        <f>'Real Operating Costs'!I16</f>
        <v>34293.998697763112</v>
      </c>
      <c r="J3" s="196">
        <f>'Real Operating Costs'!J16</f>
        <v>37014.595913231147</v>
      </c>
      <c r="K3" s="196">
        <f>'Real Operating Costs'!K16</f>
        <v>36176.199999999997</v>
      </c>
    </row>
    <row r="4" spans="1:12" ht="15.75" customHeight="1">
      <c r="A4" s="82" t="s">
        <v>165</v>
      </c>
      <c r="B4" s="197">
        <f>'Historical Income Statement'!B59</f>
        <v>4284.8999999999996</v>
      </c>
      <c r="C4" s="197">
        <f>'Historical Income Statement'!C59</f>
        <v>4883.8</v>
      </c>
      <c r="D4" s="197">
        <f>'Historical Income Statement'!D59</f>
        <v>4963.8999999999996</v>
      </c>
      <c r="E4" s="197">
        <f>'Historical Income Statement'!E59</f>
        <v>5116</v>
      </c>
      <c r="F4" s="197">
        <f>'Historical Income Statement'!F59</f>
        <v>5365</v>
      </c>
      <c r="G4" s="197">
        <f>'Historical Income Statement'!G59</f>
        <v>3103.1</v>
      </c>
      <c r="H4" s="197">
        <f>'Historical Income Statement'!H59</f>
        <v>6225.7</v>
      </c>
      <c r="I4" s="197">
        <f>'Historical Income Statement'!I59</f>
        <v>5973.4</v>
      </c>
      <c r="J4" s="197">
        <f>'Historical Income Statement'!J59</f>
        <v>6976.4</v>
      </c>
      <c r="K4" s="197">
        <f>'Historical Income Statement'!K59</f>
        <v>6723.3</v>
      </c>
    </row>
    <row r="5" spans="1:12" ht="15.75" customHeight="1">
      <c r="A5" s="82"/>
      <c r="B5" s="193"/>
      <c r="C5" s="193"/>
      <c r="D5" s="193"/>
      <c r="E5" s="193"/>
      <c r="F5" s="193"/>
      <c r="G5" s="193"/>
      <c r="H5" s="193"/>
      <c r="I5" s="193"/>
      <c r="J5" s="193"/>
      <c r="K5" s="193"/>
    </row>
    <row r="6" spans="1:12" ht="15.75" customHeight="1">
      <c r="A6" s="82" t="s">
        <v>209</v>
      </c>
      <c r="B6" s="197">
        <f>'Historical Balance Sheet'!B42</f>
        <v>2347.5</v>
      </c>
      <c r="C6" s="197">
        <f>'Historical Balance Sheet'!C42</f>
        <v>3185.3</v>
      </c>
      <c r="D6" s="197">
        <f>'Historical Balance Sheet'!D42</f>
        <v>3932.6</v>
      </c>
      <c r="E6" s="197">
        <f>'Historical Balance Sheet'!E42</f>
        <v>9122.7000000000007</v>
      </c>
      <c r="F6" s="197">
        <f>'Historical Balance Sheet'!F42</f>
        <v>11169.6</v>
      </c>
      <c r="G6" s="197">
        <f>'Historical Balance Sheet'!G42</f>
        <v>14728.9</v>
      </c>
      <c r="H6" s="197">
        <f>'Historical Balance Sheet'!H42</f>
        <v>13618.2</v>
      </c>
      <c r="I6" s="197">
        <f>'Historical Balance Sheet'!I42</f>
        <v>13153.9</v>
      </c>
      <c r="J6" s="197">
        <f>'Historical Balance Sheet'!J42</f>
        <v>13589</v>
      </c>
      <c r="K6" s="197">
        <f>'Historical Balance Sheet'!K42</f>
        <v>14338.7</v>
      </c>
    </row>
    <row r="7" spans="1:12" ht="15.75" customHeight="1">
      <c r="A7" s="82" t="s">
        <v>140</v>
      </c>
      <c r="B7" s="196">
        <f>'Historical Income Statement'!B17</f>
        <v>70.5</v>
      </c>
      <c r="C7" s="196">
        <f>'Historical Income Statement'!C17</f>
        <v>-71.7</v>
      </c>
      <c r="D7" s="196">
        <f>'Historical Income Statement'!D17</f>
        <v>75.8</v>
      </c>
      <c r="E7" s="196">
        <f>'Historical Income Statement'!E17</f>
        <v>137.30000000000001</v>
      </c>
      <c r="F7" s="196">
        <f>'Historical Income Statement'!F17</f>
        <v>199.7</v>
      </c>
      <c r="G7" s="196">
        <f>'Historical Income Statement'!G17</f>
        <v>392</v>
      </c>
      <c r="H7" s="196">
        <f>'Historical Income Statement'!H17</f>
        <v>404.29999999999995</v>
      </c>
      <c r="I7" s="196">
        <f>'Historical Income Statement'!I17</f>
        <v>482.9</v>
      </c>
      <c r="J7" s="196">
        <f>'Historical Income Statement'!J17</f>
        <v>456.3</v>
      </c>
      <c r="K7" s="196">
        <f>'Historical Income Statement'!K17</f>
        <v>436.3</v>
      </c>
    </row>
    <row r="8" spans="1:12" ht="15.75" customHeight="1" thickBot="1">
      <c r="A8" s="199" t="s">
        <v>218</v>
      </c>
      <c r="B8" s="200">
        <f>B7/B6</f>
        <v>3.0031948881789138E-2</v>
      </c>
      <c r="C8" s="200">
        <f t="shared" ref="C8:K8" si="1">C7/C6</f>
        <v>-2.2509653721784446E-2</v>
      </c>
      <c r="D8" s="200">
        <f t="shared" si="1"/>
        <v>1.9274780043736967E-2</v>
      </c>
      <c r="E8" s="200">
        <f t="shared" si="1"/>
        <v>1.5050368860096244E-2</v>
      </c>
      <c r="F8" s="200">
        <f t="shared" si="1"/>
        <v>1.7878885546483311E-2</v>
      </c>
      <c r="G8" s="200">
        <f t="shared" si="1"/>
        <v>2.6614343229976443E-2</v>
      </c>
      <c r="H8" s="200">
        <f t="shared" si="1"/>
        <v>2.9688211364203781E-2</v>
      </c>
      <c r="I8" s="200">
        <f t="shared" si="1"/>
        <v>3.6711545625251828E-2</v>
      </c>
      <c r="J8" s="200">
        <f t="shared" si="1"/>
        <v>3.3578629774081978E-2</v>
      </c>
      <c r="K8" s="200">
        <f t="shared" si="1"/>
        <v>3.0428142021243207E-2</v>
      </c>
      <c r="L8" s="83"/>
    </row>
    <row r="10" spans="1:12" ht="15.75" customHeight="1">
      <c r="A10" s="81" t="s">
        <v>210</v>
      </c>
      <c r="B10" s="84">
        <f>AVERAGE(B8:K8)</f>
        <v>2.1674720162507849E-2</v>
      </c>
      <c r="C10" s="85"/>
    </row>
    <row r="11" spans="1:12" ht="15.75" customHeight="1">
      <c r="A11" s="81" t="s">
        <v>211</v>
      </c>
      <c r="B11" s="84">
        <f>B17</f>
        <v>0.26043365699085885</v>
      </c>
      <c r="C11" s="85" t="s">
        <v>512</v>
      </c>
    </row>
    <row r="13" spans="1:12" ht="15.75" customHeight="1">
      <c r="A13" s="191"/>
      <c r="B13" s="192">
        <f t="shared" ref="B13:K13" si="2">B2</f>
        <v>2015</v>
      </c>
      <c r="C13" s="192">
        <f t="shared" si="2"/>
        <v>2016</v>
      </c>
      <c r="D13" s="192">
        <f t="shared" si="2"/>
        <v>2017</v>
      </c>
      <c r="E13" s="192">
        <f t="shared" si="2"/>
        <v>2018</v>
      </c>
      <c r="F13" s="192">
        <f t="shared" si="2"/>
        <v>2019</v>
      </c>
      <c r="G13" s="192">
        <f t="shared" si="2"/>
        <v>2020</v>
      </c>
      <c r="H13" s="192">
        <f t="shared" si="2"/>
        <v>2021</v>
      </c>
      <c r="I13" s="192">
        <f t="shared" si="2"/>
        <v>2022</v>
      </c>
      <c r="J13" s="192">
        <f t="shared" si="2"/>
        <v>2023</v>
      </c>
      <c r="K13" s="192">
        <f t="shared" si="2"/>
        <v>2024</v>
      </c>
    </row>
    <row r="14" spans="1:12" ht="15.75" customHeight="1">
      <c r="A14" s="86" t="s">
        <v>212</v>
      </c>
      <c r="B14" s="198">
        <f>'Historical Income Statement'!B21</f>
        <v>3579.6000000000008</v>
      </c>
      <c r="C14" s="198">
        <f>'Historical Income Statement'!C21</f>
        <v>4191.5999999999985</v>
      </c>
      <c r="D14" s="198">
        <f>'Historical Income Statement'!D21</f>
        <v>4380.9999999999973</v>
      </c>
      <c r="E14" s="198">
        <f>'Historical Income Statement'!E21</f>
        <v>4137.699999999998</v>
      </c>
      <c r="F14" s="198">
        <f>'Historical Income Statement'!F21</f>
        <v>3978.3000000000025</v>
      </c>
      <c r="G14" s="198">
        <f>'Historical Income Statement'!G21</f>
        <v>1520.1999999999987</v>
      </c>
      <c r="H14" s="198">
        <f>'Historical Income Statement'!H21</f>
        <v>4705.3999999999978</v>
      </c>
      <c r="I14" s="198">
        <f>'Historical Income Statement'!I21</f>
        <v>4292.5999999999976</v>
      </c>
      <c r="J14" s="198">
        <f>'Historical Income Statement'!J21</f>
        <v>5357.5999999999967</v>
      </c>
      <c r="K14" s="198">
        <f>'Historical Income Statement'!K21</f>
        <v>4993.9999999999973</v>
      </c>
    </row>
    <row r="15" spans="1:12" ht="15.75" customHeight="1">
      <c r="A15" s="81" t="s">
        <v>213</v>
      </c>
      <c r="B15" s="196">
        <f>'Historical Income Statement'!B30</f>
        <v>1143.7</v>
      </c>
      <c r="C15" s="196">
        <f>'Historical Income Statement'!C30</f>
        <v>1379.7</v>
      </c>
      <c r="D15" s="196">
        <f>'Historical Income Statement'!D30</f>
        <v>1432.6</v>
      </c>
      <c r="E15" s="196">
        <f>'Historical Income Statement'!E30</f>
        <v>1262</v>
      </c>
      <c r="F15" s="196">
        <f>'Historical Income Statement'!F30</f>
        <v>871.6</v>
      </c>
      <c r="G15" s="196">
        <f>'Historical Income Statement'!G30</f>
        <v>239.7</v>
      </c>
      <c r="H15" s="196">
        <f>'Historical Income Statement'!H30</f>
        <v>1156.5999999999999</v>
      </c>
      <c r="I15" s="196">
        <f>'Historical Income Statement'!I30</f>
        <v>948.5</v>
      </c>
      <c r="J15" s="196">
        <f>'Historical Income Statement'!J30</f>
        <v>1277.2</v>
      </c>
      <c r="K15" s="196">
        <f>'Historical Income Statement'!K30</f>
        <v>1207.3</v>
      </c>
    </row>
    <row r="16" spans="1:12" ht="15.75" customHeight="1" thickBot="1">
      <c r="A16" s="194" t="s">
        <v>214</v>
      </c>
      <c r="B16" s="195">
        <f>B15/B14</f>
        <v>0.31950497262263933</v>
      </c>
      <c r="C16" s="195">
        <f>C15/C14</f>
        <v>0.32915831663326667</v>
      </c>
      <c r="D16" s="195">
        <f t="shared" ref="D16:K16" si="3">D15/D14</f>
        <v>0.3270029673590506</v>
      </c>
      <c r="E16" s="195">
        <f t="shared" si="3"/>
        <v>0.30500036252024088</v>
      </c>
      <c r="F16" s="195">
        <f t="shared" si="3"/>
        <v>0.21908855541311603</v>
      </c>
      <c r="G16" s="195">
        <f t="shared" si="3"/>
        <v>0.15767662149717154</v>
      </c>
      <c r="H16" s="195">
        <f t="shared" si="3"/>
        <v>0.24580269477621466</v>
      </c>
      <c r="I16" s="195">
        <f t="shared" si="3"/>
        <v>0.22096165494106149</v>
      </c>
      <c r="J16" s="195">
        <f t="shared" si="3"/>
        <v>0.2383903240256833</v>
      </c>
      <c r="K16" s="195">
        <f t="shared" si="3"/>
        <v>0.24175010012014431</v>
      </c>
    </row>
    <row r="17" spans="1:2" ht="15.75" customHeight="1">
      <c r="A17" s="81" t="s">
        <v>215</v>
      </c>
      <c r="B17" s="84">
        <f>AVERAGE(B16:K16)</f>
        <v>0.26043365699085885</v>
      </c>
    </row>
    <row r="18" spans="1:2" ht="15.75" customHeight="1">
      <c r="B18" s="87"/>
    </row>
    <row r="19" spans="1:2" ht="15.75" customHeight="1">
      <c r="A19" s="81" t="s">
        <v>220</v>
      </c>
      <c r="B19" s="88">
        <v>0.31</v>
      </c>
    </row>
    <row r="20" spans="1:2" ht="15.75" customHeight="1">
      <c r="B20" s="89"/>
    </row>
    <row r="21" spans="1:2" ht="15.75" customHeight="1">
      <c r="A21" s="90" t="s">
        <v>488</v>
      </c>
    </row>
    <row r="22" spans="1:2" ht="15.75" customHeight="1">
      <c r="A22" s="91" t="s">
        <v>216</v>
      </c>
    </row>
    <row r="23" spans="1:2" ht="15.75" customHeight="1">
      <c r="A23" s="85" t="s">
        <v>219</v>
      </c>
    </row>
    <row r="24" spans="1:2" ht="15.75" customHeight="1">
      <c r="A24" s="85" t="s">
        <v>221</v>
      </c>
    </row>
  </sheetData>
  <pageMargins left="0.7" right="0.7" top="0.75" bottom="0.75" header="0.3" footer="0.3"/>
  <pageSetup scale="68" orientation="landscape" horizontalDpi="0"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08D5-C19F-4A44-AF03-AC1E8A5DA818}">
  <dimension ref="A1:L12"/>
  <sheetViews>
    <sheetView showGridLines="0" workbookViewId="0">
      <selection activeCell="P33" sqref="P33"/>
    </sheetView>
  </sheetViews>
  <sheetFormatPr baseColWidth="10" defaultColWidth="8.83203125" defaultRowHeight="15"/>
  <cols>
    <col min="1" max="1" width="29.6640625" style="49" customWidth="1"/>
    <col min="2" max="2" width="9.5" style="49" bestFit="1" customWidth="1"/>
    <col min="3" max="11" width="10.5" style="49" bestFit="1" customWidth="1"/>
    <col min="12" max="16384" width="8.83203125" style="49"/>
  </cols>
  <sheetData>
    <row r="1" spans="1:12">
      <c r="A1" s="48" t="s">
        <v>505</v>
      </c>
    </row>
    <row r="2" spans="1:12">
      <c r="A2" s="168"/>
      <c r="B2" s="168">
        <v>2015</v>
      </c>
      <c r="C2" s="168">
        <f>B2+1</f>
        <v>2016</v>
      </c>
      <c r="D2" s="168">
        <f t="shared" ref="D2:K2" si="0">C2+1</f>
        <v>2017</v>
      </c>
      <c r="E2" s="168">
        <f t="shared" si="0"/>
        <v>2018</v>
      </c>
      <c r="F2" s="168">
        <f t="shared" si="0"/>
        <v>2019</v>
      </c>
      <c r="G2" s="168">
        <f t="shared" si="0"/>
        <v>2020</v>
      </c>
      <c r="H2" s="168">
        <f t="shared" si="0"/>
        <v>2021</v>
      </c>
      <c r="I2" s="168">
        <f t="shared" si="0"/>
        <v>2022</v>
      </c>
      <c r="J2" s="168">
        <f t="shared" si="0"/>
        <v>2023</v>
      </c>
      <c r="K2" s="168">
        <f t="shared" si="0"/>
        <v>2024</v>
      </c>
    </row>
    <row r="3" spans="1:12">
      <c r="A3" s="54" t="s">
        <v>257</v>
      </c>
      <c r="B3" s="181">
        <f>'Historical Balance Sheet'!B20</f>
        <v>9641.7999999999993</v>
      </c>
      <c r="C3" s="181">
        <f>'Historical Balance Sheet'!C20</f>
        <v>10573.3</v>
      </c>
      <c r="D3" s="181">
        <f>'Historical Balance Sheet'!D20</f>
        <v>11584</v>
      </c>
      <c r="E3" s="181">
        <f>'Historical Balance Sheet'!E20</f>
        <v>13197.1</v>
      </c>
      <c r="F3" s="181">
        <f>'Historical Balance Sheet'!F20</f>
        <v>14273.5</v>
      </c>
      <c r="G3" s="181">
        <f>'Historical Balance Sheet'!G20</f>
        <v>22289.4</v>
      </c>
      <c r="H3" s="181">
        <f>'Historical Balance Sheet'!H20</f>
        <v>23064.799999999999</v>
      </c>
      <c r="I3" s="181">
        <f>'Historical Balance Sheet'!I20</f>
        <v>23625.4</v>
      </c>
      <c r="J3" s="181">
        <f>'Historical Balance Sheet'!J20</f>
        <v>25722.799999999999</v>
      </c>
      <c r="K3" s="181">
        <f>'Historical Balance Sheet'!K20</f>
        <v>28727.200000000001</v>
      </c>
      <c r="L3" s="77"/>
    </row>
    <row r="4" spans="1:12" ht="16" thickBot="1">
      <c r="A4" s="202" t="s">
        <v>258</v>
      </c>
      <c r="B4" s="202"/>
      <c r="C4" s="203">
        <f>(C3-B3)/B3</f>
        <v>9.6610591383351666E-2</v>
      </c>
      <c r="D4" s="203">
        <f t="shared" ref="D4:J4" si="1">(D3-C3)/C3</f>
        <v>9.5589834772493054E-2</v>
      </c>
      <c r="E4" s="203">
        <f t="shared" si="1"/>
        <v>0.13925241712707184</v>
      </c>
      <c r="F4" s="203">
        <f t="shared" si="1"/>
        <v>8.1563373771510378E-2</v>
      </c>
      <c r="G4" s="203">
        <f t="shared" si="1"/>
        <v>0.56159316215364141</v>
      </c>
      <c r="H4" s="203">
        <f t="shared" si="1"/>
        <v>3.4787836370651422E-2</v>
      </c>
      <c r="I4" s="203">
        <f t="shared" si="1"/>
        <v>2.4305435121917476E-2</v>
      </c>
      <c r="J4" s="203">
        <f t="shared" si="1"/>
        <v>8.8777332870554476E-2</v>
      </c>
      <c r="K4" s="204">
        <f>(K3-J3)/J3</f>
        <v>0.11679910429657742</v>
      </c>
      <c r="L4" s="77"/>
    </row>
    <row r="6" spans="1:12">
      <c r="A6" s="54" t="s">
        <v>259</v>
      </c>
      <c r="B6" s="181">
        <f>'Historical Balance Sheet'!B24</f>
        <v>664.5</v>
      </c>
      <c r="C6" s="181">
        <f>'Historical Balance Sheet'!C24</f>
        <v>1496.2</v>
      </c>
      <c r="D6" s="181">
        <f>'Historical Balance Sheet'!D24</f>
        <v>1023.9</v>
      </c>
      <c r="E6" s="181">
        <f>'Historical Balance Sheet'!E24</f>
        <v>602.4</v>
      </c>
      <c r="F6" s="181">
        <f>'Historical Balance Sheet'!F24</f>
        <v>634.29999999999995</v>
      </c>
      <c r="G6" s="181">
        <f>'Historical Balance Sheet'!G24</f>
        <v>730.6</v>
      </c>
      <c r="H6" s="181">
        <f>'Historical Balance Sheet'!H24</f>
        <v>572.9</v>
      </c>
      <c r="I6" s="181">
        <f>'Historical Balance Sheet'!I24</f>
        <v>590.29999999999995</v>
      </c>
      <c r="J6" s="181">
        <f>'Historical Balance Sheet'!J24</f>
        <v>687.3</v>
      </c>
      <c r="K6" s="181">
        <f>'Historical Balance Sheet'!K24</f>
        <v>739.9</v>
      </c>
    </row>
    <row r="7" spans="1:12">
      <c r="A7" s="54" t="s">
        <v>12</v>
      </c>
      <c r="B7" s="181">
        <f>'Historical Balance Sheet'!B25</f>
        <v>1575.4</v>
      </c>
      <c r="C7" s="181">
        <f>'Historical Balance Sheet'!C25</f>
        <v>1719.6</v>
      </c>
      <c r="D7" s="181">
        <f>'Historical Balance Sheet'!D25</f>
        <v>1539.2</v>
      </c>
      <c r="E7" s="181">
        <f>'Historical Balance Sheet'!E25</f>
        <v>3541.6</v>
      </c>
      <c r="F7" s="181">
        <f>'Historical Balance Sheet'!F25</f>
        <v>3490.8</v>
      </c>
      <c r="G7" s="181">
        <f>'Historical Balance Sheet'!G25</f>
        <v>3597.2</v>
      </c>
      <c r="H7" s="181">
        <f>'Historical Balance Sheet'!H25</f>
        <v>3677.3</v>
      </c>
      <c r="I7" s="181">
        <f>'Historical Balance Sheet'!I25</f>
        <v>3283.5</v>
      </c>
      <c r="J7" s="181">
        <f>'Historical Balance Sheet'!J25</f>
        <v>3218.3</v>
      </c>
      <c r="K7" s="181">
        <f>'Historical Balance Sheet'!K25</f>
        <v>3315.7</v>
      </c>
    </row>
    <row r="8" spans="1:12">
      <c r="A8" s="54" t="s">
        <v>260</v>
      </c>
      <c r="B8" s="181">
        <f>'Historical Balance Sheet'!B26</f>
        <v>520.4</v>
      </c>
      <c r="C8" s="181">
        <f>'Historical Balance Sheet'!C26</f>
        <v>516.29999999999995</v>
      </c>
      <c r="D8" s="181">
        <f>'Historical Balance Sheet'!D26</f>
        <v>441.4</v>
      </c>
      <c r="E8" s="181">
        <f>'Historical Balance Sheet'!E26</f>
        <v>1042.2</v>
      </c>
      <c r="F8" s="181">
        <f>'Historical Balance Sheet'!F26</f>
        <v>781.8</v>
      </c>
      <c r="G8" s="181">
        <f>'Historical Balance Sheet'!G26</f>
        <v>552.1</v>
      </c>
      <c r="H8" s="181">
        <f>'Historical Balance Sheet'!H26</f>
        <v>349.9</v>
      </c>
      <c r="I8" s="181">
        <f>'Historical Balance Sheet'!I26</f>
        <v>155.9</v>
      </c>
      <c r="J8" s="181">
        <f>'Historical Balance Sheet'!J26</f>
        <v>120.5</v>
      </c>
      <c r="K8" s="181">
        <f>'Historical Balance Sheet'!K26</f>
        <v>100.9</v>
      </c>
    </row>
    <row r="9" spans="1:12">
      <c r="A9" s="54" t="s">
        <v>261</v>
      </c>
      <c r="B9" s="181">
        <f>'Historical Balance Sheet'!B27</f>
        <v>1180.8</v>
      </c>
      <c r="C9" s="181">
        <f>'Historical Balance Sheet'!C27</f>
        <v>885.4</v>
      </c>
      <c r="D9" s="181">
        <f>'Historical Balance Sheet'!D27</f>
        <v>795.4</v>
      </c>
      <c r="E9" s="181">
        <f>'Historical Balance Sheet'!E27</f>
        <v>134.69999999999999</v>
      </c>
      <c r="F9" s="181">
        <f>'Historical Balance Sheet'!F27</f>
        <v>1765.8</v>
      </c>
      <c r="G9" s="181">
        <f>'Historical Balance Sheet'!G27</f>
        <v>1789.9</v>
      </c>
      <c r="H9" s="181">
        <f>'Historical Balance Sheet'!H27</f>
        <v>1874.8</v>
      </c>
      <c r="I9" s="181">
        <f>'Historical Balance Sheet'!I27</f>
        <v>1799.7</v>
      </c>
      <c r="J9" s="181">
        <f>'Historical Balance Sheet'!J27</f>
        <v>1769.8</v>
      </c>
      <c r="K9" s="181">
        <f>'Historical Balance Sheet'!K27</f>
        <v>1766.7</v>
      </c>
    </row>
    <row r="10" spans="1:12">
      <c r="A10" s="54" t="s">
        <v>262</v>
      </c>
      <c r="B10" s="181">
        <f>'Historical Balance Sheet'!B28</f>
        <v>415.9</v>
      </c>
      <c r="C10" s="181">
        <f>'Historical Balance Sheet'!C28</f>
        <v>403.3</v>
      </c>
      <c r="D10" s="181">
        <f>'Historical Balance Sheet'!D28</f>
        <v>362.8</v>
      </c>
      <c r="E10" s="181">
        <f>'Historical Balance Sheet'!E28</f>
        <v>412.2</v>
      </c>
      <c r="F10" s="181">
        <f>'Historical Balance Sheet'!F28</f>
        <v>461.3</v>
      </c>
      <c r="G10" s="181">
        <f>'Historical Balance Sheet'!G28</f>
        <v>522.79999999999995</v>
      </c>
      <c r="H10" s="181">
        <f>'Historical Balance Sheet'!H28</f>
        <v>555.79999999999995</v>
      </c>
      <c r="I10" s="181">
        <f>'Historical Balance Sheet'!I28</f>
        <v>554.20000000000005</v>
      </c>
      <c r="J10" s="181">
        <f>'Historical Balance Sheet'!J28</f>
        <v>546.5</v>
      </c>
      <c r="K10" s="181">
        <f>'Historical Balance Sheet'!K28</f>
        <v>617</v>
      </c>
    </row>
    <row r="11" spans="1:12">
      <c r="B11" s="181">
        <f>SUM(B6:B10)</f>
        <v>4357</v>
      </c>
      <c r="C11" s="181">
        <f t="shared" ref="C11:K11" si="2">SUM(C6:C10)</f>
        <v>5020.8</v>
      </c>
      <c r="D11" s="181">
        <f t="shared" si="2"/>
        <v>4162.7</v>
      </c>
      <c r="E11" s="181">
        <f t="shared" si="2"/>
        <v>5733.0999999999995</v>
      </c>
      <c r="F11" s="181">
        <f t="shared" si="2"/>
        <v>7134.0000000000009</v>
      </c>
      <c r="G11" s="181">
        <f t="shared" si="2"/>
        <v>7192.6000000000013</v>
      </c>
      <c r="H11" s="181">
        <f t="shared" si="2"/>
        <v>7030.7</v>
      </c>
      <c r="I11" s="181">
        <f t="shared" si="2"/>
        <v>6383.6</v>
      </c>
      <c r="J11" s="181">
        <f t="shared" si="2"/>
        <v>6342.4000000000005</v>
      </c>
      <c r="K11" s="181">
        <f t="shared" si="2"/>
        <v>6540.2</v>
      </c>
    </row>
    <row r="12" spans="1:12" ht="16" thickBot="1">
      <c r="A12" s="202" t="s">
        <v>258</v>
      </c>
      <c r="B12" s="202"/>
      <c r="C12" s="203">
        <f>(C11-B11)/B11</f>
        <v>0.15235253614872624</v>
      </c>
      <c r="D12" s="203">
        <f t="shared" ref="D12:K12" si="3">(D11-C11)/C11</f>
        <v>-0.17090901848311033</v>
      </c>
      <c r="E12" s="203">
        <f t="shared" si="3"/>
        <v>0.37725514689984857</v>
      </c>
      <c r="F12" s="203">
        <f t="shared" si="3"/>
        <v>0.24435296785334315</v>
      </c>
      <c r="G12" s="203">
        <f t="shared" si="3"/>
        <v>8.2141855901318138E-3</v>
      </c>
      <c r="H12" s="203">
        <f t="shared" si="3"/>
        <v>-2.2509245613547457E-2</v>
      </c>
      <c r="I12" s="203">
        <f t="shared" si="3"/>
        <v>-9.2039199510717207E-2</v>
      </c>
      <c r="J12" s="203">
        <f t="shared" si="3"/>
        <v>-6.4540384735885421E-3</v>
      </c>
      <c r="K12" s="204">
        <f t="shared" si="3"/>
        <v>3.1186932391523595E-2</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A6D5-F752-CF49-9037-C73C0B82EA45}">
  <dimension ref="A2:K7"/>
  <sheetViews>
    <sheetView showGridLines="0" workbookViewId="0">
      <selection activeCell="K4" sqref="K4"/>
    </sheetView>
  </sheetViews>
  <sheetFormatPr baseColWidth="10" defaultColWidth="8.83203125" defaultRowHeight="15"/>
  <cols>
    <col min="1" max="1" width="22" style="49" bestFit="1" customWidth="1"/>
    <col min="2" max="16384" width="8.83203125" style="49"/>
  </cols>
  <sheetData>
    <row r="2" spans="1:11">
      <c r="A2" s="168"/>
      <c r="B2" s="168">
        <v>2015</v>
      </c>
      <c r="C2" s="168">
        <f>B2+1</f>
        <v>2016</v>
      </c>
      <c r="D2" s="168">
        <f t="shared" ref="D2:K2" si="0">C2+1</f>
        <v>2017</v>
      </c>
      <c r="E2" s="168">
        <f t="shared" si="0"/>
        <v>2018</v>
      </c>
      <c r="F2" s="168">
        <f t="shared" si="0"/>
        <v>2019</v>
      </c>
      <c r="G2" s="168">
        <f t="shared" si="0"/>
        <v>2020</v>
      </c>
      <c r="H2" s="168">
        <f t="shared" si="0"/>
        <v>2021</v>
      </c>
      <c r="I2" s="168">
        <f t="shared" si="0"/>
        <v>2022</v>
      </c>
      <c r="J2" s="168">
        <f t="shared" si="0"/>
        <v>2023</v>
      </c>
      <c r="K2" s="168">
        <f t="shared" si="0"/>
        <v>2024</v>
      </c>
    </row>
    <row r="3" spans="1:11" ht="15.75" customHeight="1">
      <c r="A3" s="49" t="s">
        <v>161</v>
      </c>
      <c r="B3" s="206">
        <f>'Historical Income Statement'!B53</f>
        <v>0.68</v>
      </c>
      <c r="C3" s="206">
        <f>'Historical Income Statement'!C53</f>
        <v>0.85</v>
      </c>
      <c r="D3" s="206">
        <f>'Historical Income Statement'!D53</f>
        <v>1.05</v>
      </c>
      <c r="E3" s="206">
        <f>'Historical Income Statement'!E53</f>
        <v>1.32</v>
      </c>
      <c r="F3" s="206">
        <f>'Historical Income Statement'!F53</f>
        <v>1.49</v>
      </c>
      <c r="G3" s="206">
        <f>'Historical Income Statement'!G53</f>
        <v>1.68</v>
      </c>
      <c r="H3" s="206">
        <f>'Historical Income Statement'!H53</f>
        <v>1.84</v>
      </c>
      <c r="I3" s="206">
        <f>'Historical Income Statement'!I53</f>
        <v>2</v>
      </c>
      <c r="J3" s="206">
        <f>'Historical Income Statement'!J53</f>
        <v>2.16</v>
      </c>
      <c r="K3" s="206">
        <f>'Historical Income Statement'!K53</f>
        <v>2.3199999999999998</v>
      </c>
    </row>
    <row r="4" spans="1:11" ht="15.75" customHeight="1">
      <c r="A4" s="49" t="s">
        <v>162</v>
      </c>
      <c r="B4" s="207">
        <f>'Historical Income Statement'!B54</f>
        <v>0.33676600000000001</v>
      </c>
      <c r="C4" s="207">
        <f>'Historical Income Statement'!C54</f>
        <v>0.41807100000000003</v>
      </c>
      <c r="D4" s="207">
        <f>'Historical Income Statement'!D54</f>
        <v>0.50278999999999996</v>
      </c>
      <c r="E4" s="207">
        <f>'Historical Income Statement'!E54</f>
        <v>0.385853</v>
      </c>
      <c r="F4" s="207">
        <f>'Historical Income Statement'!F54</f>
        <v>0.48935800000000002</v>
      </c>
      <c r="G4" s="207">
        <f>'Historical Income Statement'!G54</f>
        <v>2.0720670000000001</v>
      </c>
      <c r="H4" s="207">
        <f>'Historical Income Statement'!H54</f>
        <v>0.50460700000000003</v>
      </c>
      <c r="I4" s="207">
        <f>'Historical Income Statement'!I54</f>
        <v>0.68969400000000003</v>
      </c>
      <c r="J4" s="207">
        <f>'Historical Income Statement'!J54</f>
        <v>0.58959799999999996</v>
      </c>
      <c r="K4" s="207">
        <f>'Historical Income Statement'!K54</f>
        <v>0.68733500000000003</v>
      </c>
    </row>
    <row r="6" spans="1:11">
      <c r="A6" s="92" t="s">
        <v>263</v>
      </c>
      <c r="B6" s="92"/>
      <c r="C6" s="208">
        <f>(C3-B3)/C3</f>
        <v>0.19999999999999993</v>
      </c>
      <c r="D6" s="208">
        <f t="shared" ref="D6:J6" si="1">(D3-C3)/D3</f>
        <v>0.19047619047619052</v>
      </c>
      <c r="E6" s="208">
        <f t="shared" si="1"/>
        <v>0.20454545454545456</v>
      </c>
      <c r="F6" s="208">
        <f t="shared" si="1"/>
        <v>0.11409395973154357</v>
      </c>
      <c r="G6" s="208">
        <f t="shared" si="1"/>
        <v>0.11309523809523807</v>
      </c>
      <c r="H6" s="208">
        <f t="shared" si="1"/>
        <v>8.6956521739130502E-2</v>
      </c>
      <c r="I6" s="208">
        <f t="shared" si="1"/>
        <v>7.999999999999996E-2</v>
      </c>
      <c r="J6" s="208">
        <f t="shared" si="1"/>
        <v>7.4074074074074139E-2</v>
      </c>
      <c r="K6" s="208">
        <f>(K3-J3)/K3</f>
        <v>6.8965517241379184E-2</v>
      </c>
    </row>
    <row r="7" spans="1:11" ht="16" thickBot="1">
      <c r="A7" s="201" t="s">
        <v>264</v>
      </c>
      <c r="B7" s="201"/>
      <c r="C7" s="209">
        <f>C3-B3</f>
        <v>0.16999999999999993</v>
      </c>
      <c r="D7" s="209">
        <f t="shared" ref="D7:K7" si="2">D3-C3</f>
        <v>0.20000000000000007</v>
      </c>
      <c r="E7" s="209">
        <f t="shared" si="2"/>
        <v>0.27</v>
      </c>
      <c r="F7" s="209">
        <f t="shared" si="2"/>
        <v>0.16999999999999993</v>
      </c>
      <c r="G7" s="209">
        <f t="shared" si="2"/>
        <v>0.18999999999999995</v>
      </c>
      <c r="H7" s="209">
        <f t="shared" si="2"/>
        <v>0.16000000000000014</v>
      </c>
      <c r="I7" s="209">
        <f t="shared" si="2"/>
        <v>0.15999999999999992</v>
      </c>
      <c r="J7" s="209">
        <f t="shared" si="2"/>
        <v>0.16000000000000014</v>
      </c>
      <c r="K7" s="209">
        <f t="shared" si="2"/>
        <v>0.1599999999999997</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D3ED-E179-2B48-8F6D-48D088F33EB8}">
  <sheetPr>
    <pageSetUpPr fitToPage="1"/>
  </sheetPr>
  <dimension ref="A1:L57"/>
  <sheetViews>
    <sheetView showGridLines="0" zoomScaleNormal="100" workbookViewId="0">
      <pane xSplit="1" topLeftCell="B1" activePane="topRight" state="frozen"/>
      <selection pane="topRight" activeCell="N11" sqref="N11"/>
    </sheetView>
  </sheetViews>
  <sheetFormatPr baseColWidth="10" defaultColWidth="11.83203125" defaultRowHeight="15"/>
  <cols>
    <col min="1" max="1" width="33" style="49" customWidth="1"/>
    <col min="2" max="11" width="11.83203125" style="49"/>
    <col min="12" max="12" width="12.83203125" style="49" customWidth="1"/>
    <col min="13" max="16384" width="11.83203125" style="49"/>
  </cols>
  <sheetData>
    <row r="1" spans="1:11">
      <c r="A1" s="48" t="s">
        <v>505</v>
      </c>
    </row>
    <row r="3" spans="1:11">
      <c r="A3" s="168" t="s">
        <v>222</v>
      </c>
      <c r="B3" s="167">
        <v>2015</v>
      </c>
      <c r="C3" s="167">
        <f>B3+1</f>
        <v>2016</v>
      </c>
      <c r="D3" s="167">
        <f t="shared" ref="D3:K3" si="0">C3+1</f>
        <v>2017</v>
      </c>
      <c r="E3" s="167">
        <f t="shared" si="0"/>
        <v>2018</v>
      </c>
      <c r="F3" s="167">
        <f t="shared" si="0"/>
        <v>2019</v>
      </c>
      <c r="G3" s="167">
        <f t="shared" si="0"/>
        <v>2020</v>
      </c>
      <c r="H3" s="167">
        <f t="shared" si="0"/>
        <v>2021</v>
      </c>
      <c r="I3" s="167">
        <f t="shared" si="0"/>
        <v>2022</v>
      </c>
      <c r="J3" s="167">
        <f t="shared" si="0"/>
        <v>2023</v>
      </c>
      <c r="K3" s="167">
        <f t="shared" si="0"/>
        <v>2024</v>
      </c>
    </row>
    <row r="4" spans="1:11">
      <c r="A4" s="92" t="s">
        <v>49</v>
      </c>
      <c r="B4" s="212">
        <f>'Historical Income Statement'!B6</f>
        <v>19162.7</v>
      </c>
      <c r="C4" s="212">
        <f>'Historical Income Statement'!C6</f>
        <v>21315.899999999998</v>
      </c>
      <c r="D4" s="212">
        <f>'Historical Income Statement'!D6</f>
        <v>22386.799999999999</v>
      </c>
      <c r="E4" s="212">
        <f>'Historical Income Statement'!E6</f>
        <v>24719.5</v>
      </c>
      <c r="F4" s="212">
        <f>'Historical Income Statement'!F6</f>
        <v>26508.600000000002</v>
      </c>
      <c r="G4" s="212">
        <f>'Historical Income Statement'!G6</f>
        <v>23518</v>
      </c>
      <c r="H4" s="212">
        <f>'Historical Income Statement'!H6</f>
        <v>29060.6</v>
      </c>
      <c r="I4" s="212">
        <f>'Historical Income Statement'!I6</f>
        <v>32250.3</v>
      </c>
      <c r="J4" s="212">
        <f>'Historical Income Statement'!J6</f>
        <v>35975.599999999999</v>
      </c>
      <c r="K4" s="212">
        <f>'Historical Income Statement'!K6</f>
        <v>36176.199999999997</v>
      </c>
    </row>
    <row r="5" spans="1:11">
      <c r="A5" s="54" t="s">
        <v>393</v>
      </c>
      <c r="B5" s="213">
        <f>'Historical Income Statement'!B7</f>
        <v>13198.6</v>
      </c>
      <c r="C5" s="213">
        <f>'Historical Income Statement'!C7</f>
        <v>14573.3</v>
      </c>
      <c r="D5" s="213">
        <f>'Historical Income Statement'!D7</f>
        <v>15552.2</v>
      </c>
      <c r="E5" s="213">
        <f>'Historical Income Statement'!E7</f>
        <v>17402.900000000001</v>
      </c>
      <c r="F5" s="213">
        <f>'Historical Income Statement'!F7</f>
        <v>19020.5</v>
      </c>
      <c r="G5" s="213">
        <f>'Historical Income Statement'!G7</f>
        <v>18376.900000000001</v>
      </c>
      <c r="H5" s="213">
        <f>'Historical Income Statement'!H7</f>
        <v>20625.2</v>
      </c>
      <c r="I5" s="213">
        <f>'Historical Income Statement'!I7</f>
        <v>23864.9</v>
      </c>
      <c r="J5" s="213">
        <f>'Historical Income Statement'!J7</f>
        <v>26106.2</v>
      </c>
      <c r="K5" s="213">
        <f>'Historical Income Statement'!K7</f>
        <v>26443.8</v>
      </c>
    </row>
    <row r="6" spans="1:11">
      <c r="A6" s="54" t="s">
        <v>137</v>
      </c>
      <c r="B6" s="213">
        <f>'Historical Income Statement'!B9</f>
        <v>1196.7</v>
      </c>
      <c r="C6" s="213">
        <f>'Historical Income Statement'!C9</f>
        <v>1408.9</v>
      </c>
      <c r="D6" s="213">
        <f>'Historical Income Statement'!D9</f>
        <v>1408.4</v>
      </c>
      <c r="E6" s="213">
        <f>'Historical Income Statement'!E9</f>
        <v>1704.6</v>
      </c>
      <c r="F6" s="213">
        <f>'Historical Income Statement'!F9</f>
        <v>1824.1</v>
      </c>
      <c r="G6" s="213">
        <f>'Historical Income Statement'!G9</f>
        <v>1679.6</v>
      </c>
      <c r="H6" s="213">
        <f>'Historical Income Statement'!H9</f>
        <v>1932.6</v>
      </c>
      <c r="I6" s="213">
        <f>'Historical Income Statement'!I9</f>
        <v>2032</v>
      </c>
      <c r="J6" s="213">
        <f>'Historical Income Statement'!J9</f>
        <v>2441.3000000000002</v>
      </c>
      <c r="K6" s="213">
        <f>'Historical Income Statement'!K9</f>
        <v>2523.3000000000002</v>
      </c>
    </row>
    <row r="7" spans="1:11">
      <c r="A7" s="54" t="s">
        <v>138</v>
      </c>
      <c r="B7" s="213">
        <f>'Historical Income Statement'!B11</f>
        <v>893.9</v>
      </c>
      <c r="C7" s="213">
        <f>'Historical Income Statement'!C11</f>
        <v>980.8</v>
      </c>
      <c r="D7" s="213">
        <f>'Historical Income Statement'!D11</f>
        <v>1011.4</v>
      </c>
      <c r="E7" s="213">
        <f>'Historical Income Statement'!E11</f>
        <v>1247</v>
      </c>
      <c r="F7" s="213">
        <f>'Historical Income Statement'!F11</f>
        <v>1377.3</v>
      </c>
      <c r="G7" s="213">
        <f>'Historical Income Statement'!G11</f>
        <v>1431.3</v>
      </c>
      <c r="H7" s="213">
        <f>'Historical Income Statement'!H11</f>
        <v>1441.7</v>
      </c>
      <c r="I7" s="213">
        <f>'Historical Income Statement'!I11</f>
        <v>1447.9</v>
      </c>
      <c r="J7" s="213">
        <f>'Historical Income Statement'!J11</f>
        <v>1362.6</v>
      </c>
      <c r="K7" s="213">
        <f>'Historical Income Statement'!K11</f>
        <v>1512.6</v>
      </c>
    </row>
    <row r="8" spans="1:11">
      <c r="A8" s="54" t="s">
        <v>371</v>
      </c>
      <c r="B8" s="213">
        <f>'Historical Income Statement'!B12</f>
        <v>522.4</v>
      </c>
      <c r="C8" s="213">
        <f>'Historical Income Statement'!C12</f>
        <v>499.2</v>
      </c>
      <c r="D8" s="213">
        <f>'Historical Income Statement'!D12</f>
        <v>518</v>
      </c>
      <c r="E8" s="213">
        <f>'Historical Income Statement'!E12</f>
        <v>554.9</v>
      </c>
      <c r="F8" s="213">
        <f>'Historical Income Statement'!F12</f>
        <v>371</v>
      </c>
      <c r="G8" s="213">
        <f>'Historical Income Statement'!G12</f>
        <v>430.3</v>
      </c>
      <c r="H8" s="213">
        <f>'Historical Income Statement'!H12</f>
        <v>359.5</v>
      </c>
      <c r="I8" s="213">
        <f>'Historical Income Statement'!I12</f>
        <v>461.5</v>
      </c>
      <c r="J8" s="213">
        <f>'Historical Income Statement'!J12</f>
        <v>539.4</v>
      </c>
      <c r="K8" s="213">
        <f>'Historical Income Statement'!K12</f>
        <v>565.6</v>
      </c>
    </row>
    <row r="9" spans="1:11" ht="16" thickBot="1">
      <c r="A9" s="211" t="s">
        <v>223</v>
      </c>
      <c r="B9" s="214">
        <f>'Historical Income Statement'!B13+'Historical Income Statement'!B7</f>
        <v>15811.6</v>
      </c>
      <c r="C9" s="214">
        <f>'Historical Income Statement'!C13+'Historical Income Statement'!C7</f>
        <v>17462.199999999997</v>
      </c>
      <c r="D9" s="214">
        <f>'Historical Income Statement'!D13+'Historical Income Statement'!D7</f>
        <v>18490</v>
      </c>
      <c r="E9" s="214">
        <f>'Historical Income Statement'!E13+'Historical Income Statement'!E7</f>
        <v>20909.400000000001</v>
      </c>
      <c r="F9" s="214">
        <f>'Historical Income Statement'!F13+'Historical Income Statement'!F7</f>
        <v>22592.9</v>
      </c>
      <c r="G9" s="214">
        <f>'Historical Income Statement'!G13+'Historical Income Statement'!G7</f>
        <v>21918.100000000002</v>
      </c>
      <c r="H9" s="214">
        <f>'Historical Income Statement'!H13+'Historical Income Statement'!H7</f>
        <v>24359</v>
      </c>
      <c r="I9" s="214">
        <f>'Historical Income Statement'!I13+'Historical Income Statement'!I7</f>
        <v>27806.300000000003</v>
      </c>
      <c r="J9" s="214">
        <f>'Historical Income Statement'!J13+'Historical Income Statement'!J7</f>
        <v>30449.5</v>
      </c>
      <c r="K9" s="214">
        <f>'Historical Income Statement'!K13+'Historical Income Statement'!K7</f>
        <v>31045.3</v>
      </c>
    </row>
    <row r="10" spans="1:11">
      <c r="B10" s="210"/>
      <c r="C10" s="210"/>
      <c r="D10" s="210"/>
      <c r="E10" s="210"/>
      <c r="F10" s="210"/>
      <c r="G10" s="210"/>
      <c r="H10" s="210"/>
      <c r="I10" s="210"/>
      <c r="J10" s="210"/>
      <c r="K10" s="210"/>
    </row>
    <row r="11" spans="1:11">
      <c r="A11" s="48" t="s">
        <v>26</v>
      </c>
      <c r="B11" s="93"/>
      <c r="C11" s="93"/>
      <c r="D11" s="93"/>
      <c r="E11" s="93"/>
      <c r="F11" s="93"/>
      <c r="G11" s="93"/>
      <c r="H11" s="93"/>
      <c r="I11" s="93"/>
      <c r="J11" s="93"/>
      <c r="K11" s="93"/>
    </row>
    <row r="12" spans="1:11">
      <c r="A12" s="49" t="s">
        <v>394</v>
      </c>
      <c r="B12" s="213">
        <f>'Historical Balance Sheet'!B6</f>
        <v>1530.1</v>
      </c>
      <c r="C12" s="213">
        <f>'Historical Balance Sheet'!C6</f>
        <v>2128.8000000000002</v>
      </c>
      <c r="D12" s="213">
        <f>'Historical Balance Sheet'!D6</f>
        <v>2462.3000000000002</v>
      </c>
      <c r="E12" s="213">
        <f>'Historical Balance Sheet'!E6</f>
        <v>8756.2999999999993</v>
      </c>
      <c r="F12" s="213">
        <f>'Historical Balance Sheet'!F6</f>
        <v>2686.6</v>
      </c>
      <c r="G12" s="213">
        <f>'Historical Balance Sheet'!G6</f>
        <v>4350.8999999999996</v>
      </c>
      <c r="H12" s="213">
        <f>'Historical Balance Sheet'!H6</f>
        <v>6455.7</v>
      </c>
      <c r="I12" s="213">
        <f>'Historical Balance Sheet'!I6</f>
        <v>2818.4</v>
      </c>
      <c r="J12" s="213">
        <f>'Historical Balance Sheet'!J6</f>
        <v>3551.5</v>
      </c>
      <c r="K12" s="213">
        <f>'Historical Balance Sheet'!K6</f>
        <v>3286.2</v>
      </c>
    </row>
    <row r="13" spans="1:11">
      <c r="A13" s="49" t="s">
        <v>328</v>
      </c>
      <c r="B13" s="213">
        <f>'Historical Balance Sheet'!B7</f>
        <v>81.3</v>
      </c>
      <c r="C13" s="213">
        <f>'Historical Balance Sheet'!C7</f>
        <v>134.4</v>
      </c>
      <c r="D13" s="213">
        <f>'Historical Balance Sheet'!D7</f>
        <v>228.6</v>
      </c>
      <c r="E13" s="213">
        <f>'Historical Balance Sheet'!E7</f>
        <v>181.5</v>
      </c>
      <c r="F13" s="213">
        <f>'Historical Balance Sheet'!F7</f>
        <v>70.5</v>
      </c>
      <c r="G13" s="213">
        <f>'Historical Balance Sheet'!G7</f>
        <v>281.2</v>
      </c>
      <c r="H13" s="213">
        <f>'Historical Balance Sheet'!H7</f>
        <v>162.19999999999999</v>
      </c>
      <c r="I13" s="213">
        <f>'Historical Balance Sheet'!I7</f>
        <v>364.5</v>
      </c>
      <c r="J13" s="213">
        <f>'Historical Balance Sheet'!J7</f>
        <v>401.5</v>
      </c>
      <c r="K13" s="213">
        <f>'Historical Balance Sheet'!K7</f>
        <v>257</v>
      </c>
    </row>
    <row r="14" spans="1:11">
      <c r="A14" s="49" t="s">
        <v>333</v>
      </c>
      <c r="B14" s="213">
        <f>'Historical Balance Sheet'!B8</f>
        <v>0</v>
      </c>
      <c r="C14" s="213">
        <f>'Historical Balance Sheet'!C8</f>
        <v>0</v>
      </c>
      <c r="D14" s="213">
        <f>'Historical Balance Sheet'!D8</f>
        <v>0</v>
      </c>
      <c r="E14" s="213">
        <f>'Historical Balance Sheet'!E8</f>
        <v>0</v>
      </c>
      <c r="F14" s="213">
        <f>'Historical Balance Sheet'!F8</f>
        <v>0</v>
      </c>
      <c r="G14" s="213">
        <f>'Historical Balance Sheet'!G8</f>
        <v>0</v>
      </c>
      <c r="H14" s="213">
        <f>'Historical Balance Sheet'!H8</f>
        <v>0</v>
      </c>
      <c r="I14" s="213">
        <f>'Historical Balance Sheet'!I8</f>
        <v>0</v>
      </c>
      <c r="J14" s="213">
        <f>'Historical Balance Sheet'!J8</f>
        <v>0.4</v>
      </c>
      <c r="K14" s="213">
        <f>'Historical Balance Sheet'!K8</f>
        <v>0</v>
      </c>
    </row>
    <row r="15" spans="1:11">
      <c r="A15" s="54" t="s">
        <v>224</v>
      </c>
      <c r="B15" s="213">
        <f>'Historical Balance Sheet'!B12</f>
        <v>719</v>
      </c>
      <c r="C15" s="213">
        <f>'Historical Balance Sheet'!C12</f>
        <v>768.8</v>
      </c>
      <c r="D15" s="213">
        <f>'Historical Balance Sheet'!D12</f>
        <v>938.4</v>
      </c>
      <c r="E15" s="213">
        <f>'Historical Balance Sheet'!E12</f>
        <v>1648.5</v>
      </c>
      <c r="F15" s="213">
        <f>'Historical Balance Sheet'!F12</f>
        <v>1020.3000000000001</v>
      </c>
      <c r="G15" s="213">
        <f>'Historical Balance Sheet'!G12</f>
        <v>1395.4</v>
      </c>
      <c r="H15" s="213">
        <f>'Historical Balance Sheet'!H12</f>
        <v>1133.0999999999999</v>
      </c>
      <c r="I15" s="213">
        <f>'Historical Balance Sheet'!I12</f>
        <v>1244.9000000000001</v>
      </c>
      <c r="J15" s="213">
        <f>'Historical Balance Sheet'!J12</f>
        <v>1184.0999999999999</v>
      </c>
      <c r="K15" s="213">
        <f>'Historical Balance Sheet'!K12</f>
        <v>1213.8</v>
      </c>
    </row>
    <row r="16" spans="1:11">
      <c r="A16" s="54" t="s">
        <v>11</v>
      </c>
      <c r="B16" s="213">
        <f>'Historical Balance Sheet'!B13</f>
        <v>1306.4000000000001</v>
      </c>
      <c r="C16" s="213">
        <f>'Historical Balance Sheet'!C13</f>
        <v>1378.5</v>
      </c>
      <c r="D16" s="213">
        <f>'Historical Balance Sheet'!D13</f>
        <v>1364</v>
      </c>
      <c r="E16" s="213">
        <f>'Historical Balance Sheet'!E13</f>
        <v>1400.5</v>
      </c>
      <c r="F16" s="213">
        <f>'Historical Balance Sheet'!F13</f>
        <v>1529.4</v>
      </c>
      <c r="G16" s="213">
        <f>'Historical Balance Sheet'!G13</f>
        <v>1551.4</v>
      </c>
      <c r="H16" s="213">
        <f>'Historical Balance Sheet'!H13</f>
        <v>1603.9</v>
      </c>
      <c r="I16" s="213">
        <f>'Historical Balance Sheet'!I13</f>
        <v>2176.6</v>
      </c>
      <c r="J16" s="213">
        <f>'Historical Balance Sheet'!J13</f>
        <v>1806.4</v>
      </c>
      <c r="K16" s="213">
        <f>'Historical Balance Sheet'!K13</f>
        <v>1777.3</v>
      </c>
    </row>
    <row r="17" spans="1:12">
      <c r="A17" s="54" t="s">
        <v>366</v>
      </c>
      <c r="B17" s="213">
        <f>'Historical Balance Sheet'!B14</f>
        <v>283.39999999999998</v>
      </c>
      <c r="C17" s="213">
        <f>'Historical Balance Sheet'!C14</f>
        <v>319.7</v>
      </c>
      <c r="D17" s="213">
        <f>'Historical Balance Sheet'!D14</f>
        <v>276.7</v>
      </c>
      <c r="E17" s="213">
        <f>'Historical Balance Sheet'!E14</f>
        <v>482.9</v>
      </c>
      <c r="F17" s="213">
        <f>'Historical Balance Sheet'!F14</f>
        <v>334.5</v>
      </c>
      <c r="G17" s="213">
        <f>'Historical Balance Sheet'!G14</f>
        <v>211.9</v>
      </c>
      <c r="H17" s="213">
        <f>'Historical Balance Sheet'!H14</f>
        <v>253.9</v>
      </c>
      <c r="I17" s="213">
        <f>'Historical Balance Sheet'!I14</f>
        <v>339.2</v>
      </c>
      <c r="J17" s="213">
        <f>'Historical Balance Sheet'!J14</f>
        <v>298.3</v>
      </c>
      <c r="K17" s="213">
        <f>'Historical Balance Sheet'!K14</f>
        <v>292</v>
      </c>
    </row>
    <row r="18" spans="1:12">
      <c r="A18" s="54" t="s">
        <v>334</v>
      </c>
      <c r="B18" s="213">
        <f>'Historical Balance Sheet'!B15</f>
        <v>0</v>
      </c>
      <c r="C18" s="213">
        <f>'Historical Balance Sheet'!C15</f>
        <v>0</v>
      </c>
      <c r="D18" s="213">
        <f>'Historical Balance Sheet'!D15</f>
        <v>0</v>
      </c>
      <c r="E18" s="213">
        <f>'Historical Balance Sheet'!E15</f>
        <v>0</v>
      </c>
      <c r="F18" s="213">
        <f>'Historical Balance Sheet'!F15</f>
        <v>0</v>
      </c>
      <c r="G18" s="213">
        <f>'Historical Balance Sheet'!G15</f>
        <v>0</v>
      </c>
      <c r="H18" s="213">
        <f>'Historical Balance Sheet'!H15</f>
        <v>0</v>
      </c>
      <c r="I18" s="213">
        <f>'Historical Balance Sheet'!I15</f>
        <v>0</v>
      </c>
      <c r="J18" s="213">
        <f>'Historical Balance Sheet'!J15</f>
        <v>20.6</v>
      </c>
      <c r="K18" s="213">
        <f>'Historical Balance Sheet'!K15</f>
        <v>12.4</v>
      </c>
    </row>
    <row r="19" spans="1:12">
      <c r="A19" s="49" t="s">
        <v>227</v>
      </c>
      <c r="B19" s="213">
        <f>'Historical Balance Sheet'!B16</f>
        <v>50.8</v>
      </c>
      <c r="C19" s="213">
        <f>'Historical Balance Sheet'!C16</f>
        <v>27.7</v>
      </c>
      <c r="D19" s="213">
        <f>'Historical Balance Sheet'!D16</f>
        <v>13.4</v>
      </c>
      <c r="E19" s="213">
        <f>'Historical Balance Sheet'!E16</f>
        <v>24.5</v>
      </c>
      <c r="F19" s="213">
        <f>'Historical Balance Sheet'!F16</f>
        <v>12.6</v>
      </c>
      <c r="G19" s="213">
        <f>'Historical Balance Sheet'!G16</f>
        <v>15.6</v>
      </c>
      <c r="H19" s="213">
        <f>'Historical Balance Sheet'!H16</f>
        <v>147.6</v>
      </c>
      <c r="I19" s="213">
        <f>'Historical Balance Sheet'!I16</f>
        <v>75.099999999999994</v>
      </c>
      <c r="J19" s="213">
        <f>'Historical Balance Sheet'!J16</f>
        <v>40.6</v>
      </c>
      <c r="K19" s="213">
        <f>'Historical Balance Sheet'!K16</f>
        <v>8.6999999999999993</v>
      </c>
    </row>
    <row r="20" spans="1:12">
      <c r="B20" s="213"/>
      <c r="C20" s="213"/>
      <c r="D20" s="213"/>
      <c r="E20" s="213"/>
      <c r="F20" s="213"/>
      <c r="G20" s="213"/>
      <c r="H20" s="213"/>
      <c r="I20" s="213"/>
      <c r="J20" s="213"/>
      <c r="K20" s="213"/>
    </row>
    <row r="21" spans="1:12">
      <c r="A21" s="48" t="s">
        <v>228</v>
      </c>
      <c r="B21" s="213"/>
      <c r="C21" s="213"/>
      <c r="D21" s="213"/>
      <c r="E21" s="213"/>
      <c r="F21" s="213"/>
      <c r="G21" s="213"/>
      <c r="H21" s="213"/>
      <c r="I21" s="213"/>
      <c r="J21" s="213"/>
      <c r="K21" s="213"/>
    </row>
    <row r="22" spans="1:12">
      <c r="A22" s="54" t="s">
        <v>229</v>
      </c>
      <c r="B22" s="213">
        <f>'Historical Balance Sheet'!B32</f>
        <v>684.2</v>
      </c>
      <c r="C22" s="213">
        <f>'Historical Balance Sheet'!C32</f>
        <v>730.6</v>
      </c>
      <c r="D22" s="213">
        <f>'Historical Balance Sheet'!D32</f>
        <v>782.5</v>
      </c>
      <c r="E22" s="213">
        <f>'Historical Balance Sheet'!E32</f>
        <v>1179.3</v>
      </c>
      <c r="F22" s="213">
        <f>'Historical Balance Sheet'!F32</f>
        <v>1189.7</v>
      </c>
      <c r="G22" s="213">
        <f>'Historical Balance Sheet'!G32</f>
        <v>997.9</v>
      </c>
      <c r="H22" s="213">
        <f>'Historical Balance Sheet'!H32</f>
        <v>1211.5999999999999</v>
      </c>
      <c r="I22" s="213">
        <f>'Historical Balance Sheet'!I32</f>
        <v>1441.4</v>
      </c>
      <c r="J22" s="213">
        <f>'Historical Balance Sheet'!J32</f>
        <v>1544.3</v>
      </c>
      <c r="K22" s="213">
        <f>'Historical Balance Sheet'!K32</f>
        <v>1595.5</v>
      </c>
    </row>
    <row r="23" spans="1:12">
      <c r="A23" s="54" t="s">
        <v>395</v>
      </c>
      <c r="B23" s="213">
        <f>'Historical Balance Sheet'!B33</f>
        <v>884.3</v>
      </c>
      <c r="C23" s="213">
        <f>'Historical Balance Sheet'!C33</f>
        <v>894.3</v>
      </c>
      <c r="D23" s="213">
        <f>'Historical Balance Sheet'!D33</f>
        <v>891</v>
      </c>
      <c r="E23" s="213">
        <f>'Historical Balance Sheet'!E33</f>
        <v>1218.5</v>
      </c>
      <c r="F23" s="213">
        <f>'Historical Balance Sheet'!F33</f>
        <v>1228.7</v>
      </c>
      <c r="G23" s="213">
        <f>'Historical Balance Sheet'!G33</f>
        <v>1179.5</v>
      </c>
      <c r="H23" s="213">
        <f>'Historical Balance Sheet'!H33</f>
        <v>1326.7</v>
      </c>
      <c r="I23" s="213">
        <f>'Historical Balance Sheet'!I33</f>
        <v>1273.2</v>
      </c>
      <c r="J23" s="213">
        <f>'Historical Balance Sheet'!J33</f>
        <v>1361.2</v>
      </c>
      <c r="K23" s="213">
        <f>'Historical Balance Sheet'!K33</f>
        <v>1323.8</v>
      </c>
    </row>
    <row r="24" spans="1:12">
      <c r="A24" s="49" t="s">
        <v>336</v>
      </c>
      <c r="B24" s="213">
        <f>'Historical Balance Sheet'!B34</f>
        <v>0</v>
      </c>
      <c r="C24" s="213">
        <f>'Historical Balance Sheet'!C34</f>
        <v>0</v>
      </c>
      <c r="D24" s="213">
        <f>'Historical Balance Sheet'!D34</f>
        <v>0</v>
      </c>
      <c r="E24" s="213">
        <f>'Historical Balance Sheet'!E34</f>
        <v>0</v>
      </c>
      <c r="F24" s="213">
        <f>'Historical Balance Sheet'!F34</f>
        <v>0</v>
      </c>
      <c r="G24" s="213">
        <f>'Historical Balance Sheet'!G34</f>
        <v>438.8</v>
      </c>
      <c r="H24" s="213">
        <f>'Historical Balance Sheet'!H34</f>
        <v>0</v>
      </c>
      <c r="I24" s="213">
        <f>'Historical Balance Sheet'!I34</f>
        <v>175</v>
      </c>
      <c r="J24" s="213">
        <f>'Historical Balance Sheet'!J34</f>
        <v>33.5</v>
      </c>
      <c r="K24" s="213">
        <f>'Historical Balance Sheet'!K34</f>
        <v>0</v>
      </c>
      <c r="L24" s="94"/>
    </row>
    <row r="25" spans="1:12">
      <c r="A25" s="54" t="s">
        <v>231</v>
      </c>
      <c r="B25" s="213">
        <f>'Historical Balance Sheet'!B35</f>
        <v>0</v>
      </c>
      <c r="C25" s="213">
        <f>'Historical Balance Sheet'!C35</f>
        <v>399.9</v>
      </c>
      <c r="D25" s="213">
        <f>'Historical Balance Sheet'!D35</f>
        <v>0</v>
      </c>
      <c r="E25" s="213">
        <f>'Historical Balance Sheet'!E35</f>
        <v>349.9</v>
      </c>
      <c r="F25" s="213">
        <f>'Historical Balance Sheet'!F35</f>
        <v>0</v>
      </c>
      <c r="G25" s="213">
        <f>'Historical Balance Sheet'!G35</f>
        <v>1249.9000000000001</v>
      </c>
      <c r="H25" s="213">
        <f>'Historical Balance Sheet'!H35</f>
        <v>998.9</v>
      </c>
      <c r="I25" s="213">
        <f>'Historical Balance Sheet'!I35</f>
        <v>1761</v>
      </c>
      <c r="J25" s="213">
        <f>'Historical Balance Sheet'!J35</f>
        <v>1818.6</v>
      </c>
      <c r="K25" s="213">
        <f>'Historical Balance Sheet'!K35</f>
        <v>1248.9000000000001</v>
      </c>
      <c r="L25" s="94"/>
    </row>
    <row r="26" spans="1:12">
      <c r="A26" s="54" t="s">
        <v>232</v>
      </c>
      <c r="B26" s="213">
        <f>'Historical Balance Sheet'!B36</f>
        <v>0</v>
      </c>
      <c r="C26" s="213">
        <f>'Historical Balance Sheet'!C36</f>
        <v>0</v>
      </c>
      <c r="D26" s="213">
        <f>'Historical Balance Sheet'!D36</f>
        <v>0</v>
      </c>
      <c r="E26" s="213">
        <f>'Historical Balance Sheet'!E36</f>
        <v>0</v>
      </c>
      <c r="F26" s="213">
        <f>'Historical Balance Sheet'!F36</f>
        <v>0</v>
      </c>
      <c r="G26" s="213">
        <f>'Historical Balance Sheet'!G36</f>
        <v>1248.8</v>
      </c>
      <c r="H26" s="213">
        <f>'Historical Balance Sheet'!H36</f>
        <v>1251.3</v>
      </c>
      <c r="I26" s="213">
        <f>'Historical Balance Sheet'!I36</f>
        <v>1245.7</v>
      </c>
      <c r="J26" s="213">
        <f>'Historical Balance Sheet'!J36</f>
        <v>1275.3</v>
      </c>
      <c r="K26" s="213">
        <f>'Historical Balance Sheet'!K36</f>
        <v>1463.1</v>
      </c>
    </row>
    <row r="27" spans="1:12">
      <c r="A27" s="49" t="s">
        <v>233</v>
      </c>
      <c r="B27" s="213">
        <f>'Historical Balance Sheet'!B37</f>
        <v>259</v>
      </c>
      <c r="C27" s="213">
        <f>'Historical Balance Sheet'!C37</f>
        <v>368.4</v>
      </c>
      <c r="D27" s="213">
        <f>'Historical Balance Sheet'!D37</f>
        <v>226.6</v>
      </c>
      <c r="E27" s="213">
        <f>'Historical Balance Sheet'!E37</f>
        <v>102.8</v>
      </c>
      <c r="F27" s="213">
        <f>'Historical Balance Sheet'!F37</f>
        <v>1291.7</v>
      </c>
      <c r="G27" s="213">
        <f>'Historical Balance Sheet'!G37</f>
        <v>98.2</v>
      </c>
      <c r="H27" s="213">
        <f>'Historical Balance Sheet'!H37</f>
        <v>348</v>
      </c>
      <c r="I27" s="213">
        <f>'Historical Balance Sheet'!I37</f>
        <v>139.19999999999999</v>
      </c>
      <c r="J27" s="213">
        <f>'Historical Balance Sheet'!J37</f>
        <v>189.3</v>
      </c>
      <c r="K27" s="213">
        <f>'Historical Balance Sheet'!K37</f>
        <v>123.5</v>
      </c>
    </row>
    <row r="28" spans="1:12">
      <c r="A28" s="49" t="s">
        <v>234</v>
      </c>
      <c r="B28" s="213">
        <f>'Historical Balance Sheet'!B38</f>
        <v>983.8</v>
      </c>
      <c r="C28" s="213">
        <f>'Historical Balance Sheet'!C38</f>
        <v>1171.2</v>
      </c>
      <c r="D28" s="213">
        <f>'Historical Balance Sheet'!D38</f>
        <v>1288.5</v>
      </c>
      <c r="E28" s="213">
        <f>'Historical Balance Sheet'!E38</f>
        <v>1642.9</v>
      </c>
      <c r="F28" s="213">
        <f>'Historical Balance Sheet'!F38</f>
        <v>1269</v>
      </c>
      <c r="G28" s="213">
        <f>'Historical Balance Sheet'!G38</f>
        <v>1456.5</v>
      </c>
      <c r="H28" s="213">
        <f>'Historical Balance Sheet'!H38</f>
        <v>1596.1</v>
      </c>
      <c r="I28" s="213">
        <f>'Historical Balance Sheet'!I38</f>
        <v>1641.9</v>
      </c>
      <c r="J28" s="213">
        <f>'Historical Balance Sheet'!J38</f>
        <v>1700.2</v>
      </c>
      <c r="K28" s="213">
        <f>'Historical Balance Sheet'!K38</f>
        <v>1781.2</v>
      </c>
    </row>
    <row r="29" spans="1:12">
      <c r="A29" s="54" t="s">
        <v>235</v>
      </c>
      <c r="B29" s="213">
        <f>'Historical Balance Sheet'!B39</f>
        <v>836.8</v>
      </c>
      <c r="C29" s="213">
        <f>'Historical Balance Sheet'!C39</f>
        <v>982.4</v>
      </c>
      <c r="D29" s="213">
        <f>'Historical Balance Sheet'!D39</f>
        <v>1032.0999999999999</v>
      </c>
      <c r="E29" s="213">
        <f>'Historical Balance Sheet'!E39</f>
        <v>1190.8</v>
      </c>
      <c r="F29" s="213">
        <f>'Historical Balance Sheet'!F39</f>
        <v>1189.5999999999999</v>
      </c>
      <c r="G29" s="213">
        <f>'Historical Balance Sheet'!G39</f>
        <v>677.2</v>
      </c>
      <c r="H29" s="213">
        <f>'Historical Balance Sheet'!H39</f>
        <v>1418.8</v>
      </c>
      <c r="I29" s="213">
        <f>'Historical Balance Sheet'!I39</f>
        <v>1474.4</v>
      </c>
      <c r="J29" s="213">
        <f>'Historical Balance Sheet'!J39</f>
        <v>1422.9</v>
      </c>
      <c r="K29" s="213">
        <f>'Historical Balance Sheet'!K39</f>
        <v>1534</v>
      </c>
    </row>
    <row r="30" spans="1:12">
      <c r="A30" s="54"/>
      <c r="B30" s="93"/>
      <c r="C30" s="93"/>
      <c r="D30" s="93"/>
      <c r="E30" s="93"/>
      <c r="F30" s="93"/>
      <c r="G30" s="93"/>
      <c r="H30" s="93"/>
      <c r="I30" s="93"/>
      <c r="J30" s="93"/>
      <c r="K30" s="93"/>
    </row>
    <row r="31" spans="1:12" s="48" customFormat="1" ht="16" thickBot="1">
      <c r="A31" s="215" t="s">
        <v>329</v>
      </c>
      <c r="B31" s="216">
        <f>SUM(B12:B19)-SUM(B22:B29)</f>
        <v>322.89999999999964</v>
      </c>
      <c r="C31" s="216">
        <f>SUM(C12:C19)-SUM(C22:C29)</f>
        <v>211.09999999999945</v>
      </c>
      <c r="D31" s="216">
        <f t="shared" ref="D31:J31" si="1">SUM(D12:D19)-SUM(D22:D29)</f>
        <v>1062.6999999999998</v>
      </c>
      <c r="E31" s="216">
        <f t="shared" si="1"/>
        <v>6809.9999999999982</v>
      </c>
      <c r="F31" s="216">
        <f t="shared" si="1"/>
        <v>-514.80000000000018</v>
      </c>
      <c r="G31" s="216">
        <f t="shared" si="1"/>
        <v>459.59999999999945</v>
      </c>
      <c r="H31" s="216">
        <f t="shared" si="1"/>
        <v>1604.9999999999991</v>
      </c>
      <c r="I31" s="216">
        <f t="shared" si="1"/>
        <v>-2133.0999999999995</v>
      </c>
      <c r="J31" s="216">
        <f t="shared" si="1"/>
        <v>-2041.9000000000005</v>
      </c>
      <c r="K31" s="216">
        <f>SUM(K12:K19)-SUM(K22:K29)</f>
        <v>-2222.6000000000004</v>
      </c>
    </row>
    <row r="33" spans="1:12">
      <c r="A33" s="51" t="s">
        <v>331</v>
      </c>
      <c r="L33" s="185" t="s">
        <v>332</v>
      </c>
    </row>
    <row r="34" spans="1:12">
      <c r="A34" s="49" t="s">
        <v>236</v>
      </c>
      <c r="B34" s="95">
        <f t="shared" ref="B34:K34" si="2">B12/B4</f>
        <v>7.9847829376862328E-2</v>
      </c>
      <c r="C34" s="95">
        <f t="shared" si="2"/>
        <v>9.9869111789790743E-2</v>
      </c>
      <c r="D34" s="95">
        <f t="shared" si="2"/>
        <v>0.10998892204334698</v>
      </c>
      <c r="E34" s="95">
        <f t="shared" si="2"/>
        <v>0.35422642043730657</v>
      </c>
      <c r="F34" s="95">
        <f t="shared" si="2"/>
        <v>0.1013482417026927</v>
      </c>
      <c r="G34" s="95">
        <f t="shared" si="2"/>
        <v>0.18500297644357511</v>
      </c>
      <c r="H34" s="95">
        <f t="shared" si="2"/>
        <v>0.22214613600545069</v>
      </c>
      <c r="I34" s="95">
        <f t="shared" si="2"/>
        <v>8.7391435118433017E-2</v>
      </c>
      <c r="J34" s="95">
        <f t="shared" si="2"/>
        <v>9.8719687788389909E-2</v>
      </c>
      <c r="K34" s="95">
        <f t="shared" si="2"/>
        <v>9.0838728224633875E-2</v>
      </c>
      <c r="L34" s="217">
        <f>AVERAGE(B34:K34)</f>
        <v>0.1429379488930482</v>
      </c>
    </row>
    <row r="35" spans="1:12">
      <c r="A35" s="49" t="s">
        <v>237</v>
      </c>
      <c r="B35" s="95">
        <f t="shared" ref="B35:K35" si="3">B5/B4</f>
        <v>0.68876515313604036</v>
      </c>
      <c r="C35" s="95">
        <f t="shared" si="3"/>
        <v>0.68368213399387312</v>
      </c>
      <c r="D35" s="95">
        <f t="shared" si="3"/>
        <v>0.69470402201297199</v>
      </c>
      <c r="E35" s="95">
        <f t="shared" si="3"/>
        <v>0.70401504884807542</v>
      </c>
      <c r="F35" s="95">
        <f t="shared" si="3"/>
        <v>0.71752186083007019</v>
      </c>
      <c r="G35" s="95">
        <f t="shared" si="3"/>
        <v>0.78139722765541297</v>
      </c>
      <c r="H35" s="95">
        <f t="shared" si="3"/>
        <v>0.70973070067376454</v>
      </c>
      <c r="I35" s="95">
        <f t="shared" si="3"/>
        <v>0.73999001559675415</v>
      </c>
      <c r="J35" s="95">
        <f t="shared" si="3"/>
        <v>0.72566406119703364</v>
      </c>
      <c r="K35" s="95">
        <f t="shared" si="3"/>
        <v>0.7309722967033575</v>
      </c>
      <c r="L35" s="217">
        <f>AVERAGE(B35:K35)</f>
        <v>0.71764425206473537</v>
      </c>
    </row>
    <row r="36" spans="1:12">
      <c r="A36" s="54" t="s">
        <v>238</v>
      </c>
      <c r="B36" s="95">
        <f>B6/B4</f>
        <v>6.2449446059271399E-2</v>
      </c>
      <c r="C36" s="95">
        <f t="shared" ref="C36:K36" si="4">C6/C4</f>
        <v>6.6096200488836979E-2</v>
      </c>
      <c r="D36" s="95">
        <f t="shared" si="4"/>
        <v>6.2912073185984602E-2</v>
      </c>
      <c r="E36" s="95">
        <f t="shared" si="4"/>
        <v>6.8957705455207421E-2</v>
      </c>
      <c r="F36" s="95">
        <f t="shared" si="4"/>
        <v>6.8811630942411134E-2</v>
      </c>
      <c r="G36" s="95">
        <f t="shared" si="4"/>
        <v>7.1417637554213792E-2</v>
      </c>
      <c r="H36" s="95">
        <f t="shared" si="4"/>
        <v>6.6502412200711611E-2</v>
      </c>
      <c r="I36" s="95">
        <f t="shared" si="4"/>
        <v>6.300716582481404E-2</v>
      </c>
      <c r="J36" s="95">
        <f t="shared" si="4"/>
        <v>6.7859882809459759E-2</v>
      </c>
      <c r="K36" s="95">
        <f t="shared" si="4"/>
        <v>6.975027780695596E-2</v>
      </c>
      <c r="L36" s="217">
        <f t="shared" ref="L36:L38" si="5">AVERAGE(B36:K36)</f>
        <v>6.677644323278667E-2</v>
      </c>
    </row>
    <row r="37" spans="1:12">
      <c r="A37" s="54" t="s">
        <v>239</v>
      </c>
      <c r="B37" s="95">
        <f>B7/B4</f>
        <v>4.6647914959791675E-2</v>
      </c>
      <c r="C37" s="95">
        <f t="shared" ref="C37:K37" si="6">C7/C4</f>
        <v>4.601260092231621E-2</v>
      </c>
      <c r="D37" s="95">
        <f t="shared" si="6"/>
        <v>4.5178408705129812E-2</v>
      </c>
      <c r="E37" s="95">
        <f t="shared" si="6"/>
        <v>5.0446004166750949E-2</v>
      </c>
      <c r="F37" s="95">
        <f t="shared" si="6"/>
        <v>5.1956723478418315E-2</v>
      </c>
      <c r="G37" s="95">
        <f t="shared" si="6"/>
        <v>6.0859766986988688E-2</v>
      </c>
      <c r="H37" s="95">
        <f t="shared" si="6"/>
        <v>4.9610125049035468E-2</v>
      </c>
      <c r="I37" s="95">
        <f t="shared" si="6"/>
        <v>4.489570639652965E-2</v>
      </c>
      <c r="J37" s="95">
        <f t="shared" si="6"/>
        <v>3.7875671288317633E-2</v>
      </c>
      <c r="K37" s="95">
        <f t="shared" si="6"/>
        <v>4.1812020057385796E-2</v>
      </c>
      <c r="L37" s="217">
        <f t="shared" si="5"/>
        <v>4.7529494201066412E-2</v>
      </c>
    </row>
    <row r="38" spans="1:12">
      <c r="A38" s="54" t="s">
        <v>401</v>
      </c>
      <c r="B38" s="95">
        <f>B8/B4</f>
        <v>2.7261294076513225E-2</v>
      </c>
      <c r="C38" s="95">
        <f t="shared" ref="C38:K38" si="7">C8/C4</f>
        <v>2.3419137826692752E-2</v>
      </c>
      <c r="D38" s="95">
        <f t="shared" si="7"/>
        <v>2.3138635267211036E-2</v>
      </c>
      <c r="E38" s="95">
        <f t="shared" si="7"/>
        <v>2.2447865045814034E-2</v>
      </c>
      <c r="F38" s="95">
        <f t="shared" si="7"/>
        <v>1.3995458077755898E-2</v>
      </c>
      <c r="G38" s="95">
        <f t="shared" si="7"/>
        <v>1.8296623862573348E-2</v>
      </c>
      <c r="H38" s="95">
        <f t="shared" si="7"/>
        <v>1.2370701224338108E-2</v>
      </c>
      <c r="I38" s="95">
        <f t="shared" si="7"/>
        <v>1.4309944403617951E-2</v>
      </c>
      <c r="J38" s="95">
        <f t="shared" si="7"/>
        <v>1.4993495591456431E-2</v>
      </c>
      <c r="K38" s="95">
        <f t="shared" si="7"/>
        <v>1.5634588486352907E-2</v>
      </c>
      <c r="L38" s="217">
        <f t="shared" si="5"/>
        <v>1.8586774386232571E-2</v>
      </c>
    </row>
    <row r="39" spans="1:12">
      <c r="A39" s="49" t="s">
        <v>240</v>
      </c>
      <c r="B39" s="95">
        <f>B9/B4</f>
        <v>0.82512380823161657</v>
      </c>
      <c r="C39" s="95">
        <f t="shared" ref="C39:K39" si="8">C9/C4</f>
        <v>0.81921007323171902</v>
      </c>
      <c r="D39" s="95">
        <f t="shared" si="8"/>
        <v>0.8259331391712974</v>
      </c>
      <c r="E39" s="95">
        <f t="shared" si="8"/>
        <v>0.84586662351584785</v>
      </c>
      <c r="F39" s="95">
        <f t="shared" si="8"/>
        <v>0.85228567332865557</v>
      </c>
      <c r="G39" s="95">
        <f t="shared" si="8"/>
        <v>0.93197125605918885</v>
      </c>
      <c r="H39" s="95">
        <f t="shared" si="8"/>
        <v>0.8382139391478497</v>
      </c>
      <c r="I39" s="95">
        <f t="shared" si="8"/>
        <v>0.8622028322217159</v>
      </c>
      <c r="J39" s="95">
        <f t="shared" si="8"/>
        <v>0.84639311088626734</v>
      </c>
      <c r="K39" s="95">
        <f t="shared" si="8"/>
        <v>0.85816918305405221</v>
      </c>
      <c r="L39" s="217">
        <f>AVERAGE(B39:K39)</f>
        <v>0.85053696388482114</v>
      </c>
    </row>
    <row r="40" spans="1:12">
      <c r="A40" s="49" t="s">
        <v>241</v>
      </c>
      <c r="B40" s="95">
        <f t="shared" ref="B40:K40" si="9">B17/B4</f>
        <v>1.4789147667082404E-2</v>
      </c>
      <c r="C40" s="95">
        <f t="shared" si="9"/>
        <v>1.4998193836525786E-2</v>
      </c>
      <c r="D40" s="95">
        <f t="shared" si="9"/>
        <v>1.2359962120535315E-2</v>
      </c>
      <c r="E40" s="95">
        <f t="shared" si="9"/>
        <v>1.9535184773154794E-2</v>
      </c>
      <c r="F40" s="95">
        <f t="shared" si="9"/>
        <v>1.261854643398746E-2</v>
      </c>
      <c r="G40" s="95">
        <f t="shared" si="9"/>
        <v>9.0101199081554558E-3</v>
      </c>
      <c r="H40" s="95">
        <f t="shared" si="9"/>
        <v>8.7369152736006834E-3</v>
      </c>
      <c r="I40" s="95">
        <f t="shared" si="9"/>
        <v>1.0517731618000452E-2</v>
      </c>
      <c r="J40" s="95">
        <f t="shared" si="9"/>
        <v>8.2917310621643571E-3</v>
      </c>
      <c r="K40" s="95">
        <f t="shared" si="9"/>
        <v>8.0716050884283037E-3</v>
      </c>
      <c r="L40" s="217">
        <f t="shared" ref="L40:L47" si="10">AVERAGE(B40:K40)</f>
        <v>1.18929137781635E-2</v>
      </c>
    </row>
    <row r="41" spans="1:12">
      <c r="A41" s="49" t="s">
        <v>396</v>
      </c>
      <c r="B41" s="95">
        <f>(B13+B14)/B4</f>
        <v>4.2426171677268859E-3</v>
      </c>
      <c r="C41" s="95">
        <f>(C13+C14)/C4</f>
        <v>6.3051524918018948E-3</v>
      </c>
      <c r="D41" s="95">
        <f t="shared" ref="D41:K41" si="11">(D13+D14)/D4</f>
        <v>1.0211374560008576E-2</v>
      </c>
      <c r="E41" s="95">
        <f t="shared" si="11"/>
        <v>7.3423815206618255E-3</v>
      </c>
      <c r="F41" s="95">
        <f t="shared" si="11"/>
        <v>2.6595142708404065E-3</v>
      </c>
      <c r="G41" s="95">
        <f t="shared" si="11"/>
        <v>1.1956799047538056E-2</v>
      </c>
      <c r="H41" s="95">
        <f t="shared" si="11"/>
        <v>5.5814401629697939E-3</v>
      </c>
      <c r="I41" s="95">
        <f t="shared" si="11"/>
        <v>1.1302220444460982E-2</v>
      </c>
      <c r="J41" s="95">
        <f t="shared" si="11"/>
        <v>1.1171460656667296E-2</v>
      </c>
      <c r="K41" s="95">
        <f t="shared" si="11"/>
        <v>7.1041181771440897E-3</v>
      </c>
      <c r="L41" s="217">
        <f t="shared" si="10"/>
        <v>7.7877078499819802E-3</v>
      </c>
    </row>
    <row r="42" spans="1:12">
      <c r="A42" s="54" t="s">
        <v>243</v>
      </c>
      <c r="B42" s="95">
        <f>B23/B$4</f>
        <v>4.6146941714894037E-2</v>
      </c>
      <c r="C42" s="95">
        <f t="shared" ref="C42:K42" si="12">C23/C$4</f>
        <v>4.1954597272458587E-2</v>
      </c>
      <c r="D42" s="95">
        <f t="shared" si="12"/>
        <v>3.9800239426805085E-2</v>
      </c>
      <c r="E42" s="95">
        <f t="shared" si="12"/>
        <v>4.9293068225489997E-2</v>
      </c>
      <c r="F42" s="95">
        <f t="shared" si="12"/>
        <v>4.6350995525980244E-2</v>
      </c>
      <c r="G42" s="95">
        <f t="shared" si="12"/>
        <v>5.0153074241006887E-2</v>
      </c>
      <c r="H42" s="95">
        <f t="shared" si="12"/>
        <v>4.5652877091319523E-2</v>
      </c>
      <c r="I42" s="95">
        <f t="shared" si="12"/>
        <v>3.9478702523697458E-2</v>
      </c>
      <c r="J42" s="95">
        <f t="shared" si="12"/>
        <v>3.7836756023527061E-2</v>
      </c>
      <c r="K42" s="95">
        <f t="shared" si="12"/>
        <v>3.6593119233086946E-2</v>
      </c>
      <c r="L42" s="217">
        <f t="shared" si="10"/>
        <v>4.332603712782658E-2</v>
      </c>
    </row>
    <row r="43" spans="1:12">
      <c r="A43" s="49" t="s">
        <v>244</v>
      </c>
      <c r="B43" s="95">
        <f>B25/B$4</f>
        <v>0</v>
      </c>
      <c r="C43" s="95">
        <f t="shared" ref="C43:K43" si="13">C25/C$4</f>
        <v>1.8760643463330191E-2</v>
      </c>
      <c r="D43" s="95">
        <f t="shared" si="13"/>
        <v>0</v>
      </c>
      <c r="E43" s="95">
        <f t="shared" si="13"/>
        <v>1.4154817047270373E-2</v>
      </c>
      <c r="F43" s="95">
        <f t="shared" si="13"/>
        <v>0</v>
      </c>
      <c r="G43" s="95">
        <f t="shared" si="13"/>
        <v>5.31465260651416E-2</v>
      </c>
      <c r="H43" s="95">
        <f t="shared" si="13"/>
        <v>3.4372999869238766E-2</v>
      </c>
      <c r="I43" s="95">
        <f t="shared" si="13"/>
        <v>5.4604143217272395E-2</v>
      </c>
      <c r="J43" s="95">
        <f t="shared" si="13"/>
        <v>5.0550928962963787E-2</v>
      </c>
      <c r="K43" s="95">
        <f t="shared" si="13"/>
        <v>3.452269724293873E-2</v>
      </c>
      <c r="L43" s="217">
        <f t="shared" si="10"/>
        <v>2.6011275586815586E-2</v>
      </c>
    </row>
    <row r="44" spans="1:12">
      <c r="A44" s="54" t="s">
        <v>245</v>
      </c>
      <c r="B44" s="95">
        <f>B26/B$4</f>
        <v>0</v>
      </c>
      <c r="C44" s="95">
        <f t="shared" ref="C44:K44" si="14">C26/C$4</f>
        <v>0</v>
      </c>
      <c r="D44" s="95">
        <f t="shared" si="14"/>
        <v>0</v>
      </c>
      <c r="E44" s="95">
        <f t="shared" si="14"/>
        <v>0</v>
      </c>
      <c r="F44" s="95">
        <f t="shared" si="14"/>
        <v>0</v>
      </c>
      <c r="G44" s="95">
        <f t="shared" si="14"/>
        <v>5.309975338038949E-2</v>
      </c>
      <c r="H44" s="95">
        <f t="shared" si="14"/>
        <v>4.3058298865130108E-2</v>
      </c>
      <c r="I44" s="95">
        <f t="shared" si="14"/>
        <v>3.8625997277544705E-2</v>
      </c>
      <c r="J44" s="95">
        <f t="shared" si="14"/>
        <v>3.5449026562447881E-2</v>
      </c>
      <c r="K44" s="95">
        <f t="shared" si="14"/>
        <v>4.0443717139998121E-2</v>
      </c>
      <c r="L44" s="217">
        <f t="shared" si="10"/>
        <v>2.106767932255103E-2</v>
      </c>
    </row>
    <row r="45" spans="1:12">
      <c r="A45" s="54" t="s">
        <v>246</v>
      </c>
      <c r="B45" s="95">
        <f>B27/B4</f>
        <v>1.3515840669634236E-2</v>
      </c>
      <c r="C45" s="95">
        <f t="shared" ref="C45:K45" si="15">C27/C4</f>
        <v>1.7282873348064123E-2</v>
      </c>
      <c r="D45" s="95">
        <f t="shared" si="15"/>
        <v>1.0122036199903515E-2</v>
      </c>
      <c r="E45" s="95">
        <f t="shared" si="15"/>
        <v>4.1586601670745771E-3</v>
      </c>
      <c r="F45" s="95">
        <f t="shared" si="15"/>
        <v>4.8727582746731245E-2</v>
      </c>
      <c r="G45" s="95">
        <f t="shared" si="15"/>
        <v>4.1755251296878987E-3</v>
      </c>
      <c r="H45" s="95">
        <f t="shared" si="15"/>
        <v>1.1974976428566514E-2</v>
      </c>
      <c r="I45" s="95">
        <f t="shared" si="15"/>
        <v>4.3162389187077323E-3</v>
      </c>
      <c r="J45" s="95">
        <f t="shared" si="15"/>
        <v>5.2618997320406057E-3</v>
      </c>
      <c r="K45" s="95">
        <f t="shared" si="15"/>
        <v>3.4138466726742998E-3</v>
      </c>
      <c r="L45" s="217">
        <f t="shared" si="10"/>
        <v>1.2294948001308476E-2</v>
      </c>
    </row>
    <row r="46" spans="1:12">
      <c r="A46" s="54" t="s">
        <v>397</v>
      </c>
      <c r="B46" s="95">
        <f>B28/B4</f>
        <v>5.1339320659406031E-2</v>
      </c>
      <c r="C46" s="95">
        <f t="shared" ref="C46:K46" si="16">C28/C4</f>
        <v>5.4944900285702231E-2</v>
      </c>
      <c r="D46" s="95">
        <f t="shared" si="16"/>
        <v>5.7556238497686138E-2</v>
      </c>
      <c r="E46" s="95">
        <f t="shared" si="16"/>
        <v>6.6461700277109168E-2</v>
      </c>
      <c r="F46" s="95">
        <f t="shared" si="16"/>
        <v>4.7871256875127312E-2</v>
      </c>
      <c r="G46" s="95">
        <f t="shared" si="16"/>
        <v>6.1931286674036905E-2</v>
      </c>
      <c r="H46" s="95">
        <f t="shared" si="16"/>
        <v>5.4923160567916698E-2</v>
      </c>
      <c r="I46" s="95">
        <f t="shared" si="16"/>
        <v>5.0911154314843589E-2</v>
      </c>
      <c r="J46" s="95">
        <f t="shared" si="16"/>
        <v>4.7259809426389E-2</v>
      </c>
      <c r="K46" s="95">
        <f t="shared" si="16"/>
        <v>4.9236791039412656E-2</v>
      </c>
      <c r="L46" s="217">
        <f t="shared" si="10"/>
        <v>5.4243561861762976E-2</v>
      </c>
    </row>
    <row r="47" spans="1:12">
      <c r="A47" s="54" t="s">
        <v>248</v>
      </c>
      <c r="B47" s="95">
        <f>B29/B$4</f>
        <v>4.3668167846910924E-2</v>
      </c>
      <c r="C47" s="95">
        <f t="shared" ref="C47:K47" si="17">C29/C$4</f>
        <v>4.6087662261504327E-2</v>
      </c>
      <c r="D47" s="95">
        <f t="shared" si="17"/>
        <v>4.6103060732217198E-2</v>
      </c>
      <c r="E47" s="95">
        <f t="shared" si="17"/>
        <v>4.8172495398369708E-2</v>
      </c>
      <c r="F47" s="95">
        <f t="shared" si="17"/>
        <v>4.4876002504847474E-2</v>
      </c>
      <c r="G47" s="95">
        <f t="shared" si="17"/>
        <v>2.8794965558295776E-2</v>
      </c>
      <c r="H47" s="95">
        <f t="shared" si="17"/>
        <v>4.8822116542672898E-2</v>
      </c>
      <c r="I47" s="95">
        <f t="shared" si="17"/>
        <v>4.5717404179185933E-2</v>
      </c>
      <c r="J47" s="95">
        <f t="shared" si="17"/>
        <v>3.955180733608335E-2</v>
      </c>
      <c r="K47" s="95">
        <f t="shared" si="17"/>
        <v>4.2403569197428145E-2</v>
      </c>
      <c r="L47" s="217">
        <f t="shared" si="10"/>
        <v>4.3419725155751564E-2</v>
      </c>
    </row>
    <row r="48" spans="1:12">
      <c r="B48" s="95"/>
      <c r="C48" s="95"/>
      <c r="D48" s="95"/>
      <c r="E48" s="95"/>
      <c r="F48" s="95"/>
      <c r="G48" s="95"/>
      <c r="H48" s="95"/>
      <c r="I48" s="95"/>
      <c r="J48" s="95"/>
      <c r="K48" s="95"/>
      <c r="L48" s="217"/>
    </row>
    <row r="49" spans="1:12">
      <c r="A49" s="48" t="s">
        <v>330</v>
      </c>
      <c r="B49" s="95"/>
      <c r="C49" s="95"/>
      <c r="D49" s="95"/>
      <c r="E49" s="95"/>
      <c r="F49" s="95"/>
      <c r="G49" s="95"/>
      <c r="H49" s="95"/>
      <c r="I49" s="95"/>
      <c r="J49" s="95"/>
      <c r="K49" s="95"/>
      <c r="L49" s="217"/>
    </row>
    <row r="50" spans="1:12">
      <c r="A50" s="49" t="s">
        <v>249</v>
      </c>
      <c r="B50" s="76">
        <f>B4/B15</f>
        <v>26.651877607788595</v>
      </c>
      <c r="C50" s="76">
        <f t="shared" ref="C50:K50" si="18">C4/C15</f>
        <v>27.726196670135273</v>
      </c>
      <c r="D50" s="76">
        <f t="shared" si="18"/>
        <v>23.856351236146633</v>
      </c>
      <c r="E50" s="76">
        <f t="shared" si="18"/>
        <v>14.995147103427358</v>
      </c>
      <c r="F50" s="76">
        <f t="shared" si="18"/>
        <v>25.98118200529256</v>
      </c>
      <c r="G50" s="76">
        <f t="shared" si="18"/>
        <v>16.853948688548087</v>
      </c>
      <c r="H50" s="76">
        <f t="shared" si="18"/>
        <v>25.64698614420616</v>
      </c>
      <c r="I50" s="76">
        <f t="shared" si="18"/>
        <v>25.905936219776688</v>
      </c>
      <c r="J50" s="76">
        <f t="shared" si="18"/>
        <v>30.382231230470399</v>
      </c>
      <c r="K50" s="76">
        <f t="shared" si="18"/>
        <v>29.804086340418518</v>
      </c>
      <c r="L50" s="218">
        <f>AVERAGE(B50:K50)</f>
        <v>24.780394324621028</v>
      </c>
    </row>
    <row r="51" spans="1:12">
      <c r="A51" s="49" t="s">
        <v>250</v>
      </c>
      <c r="B51" s="76">
        <f>365/B50</f>
        <v>13.695095158824174</v>
      </c>
      <c r="C51" s="76">
        <f t="shared" ref="C51:K51" si="19">365/C50</f>
        <v>13.16444532016007</v>
      </c>
      <c r="D51" s="76">
        <f t="shared" si="19"/>
        <v>15.299908874872692</v>
      </c>
      <c r="E51" s="76">
        <f t="shared" si="19"/>
        <v>24.341208357774228</v>
      </c>
      <c r="F51" s="76">
        <f t="shared" si="19"/>
        <v>14.048629501369367</v>
      </c>
      <c r="G51" s="76">
        <f t="shared" si="19"/>
        <v>21.656645973297049</v>
      </c>
      <c r="H51" s="76">
        <f t="shared" si="19"/>
        <v>14.231691706296498</v>
      </c>
      <c r="I51" s="76">
        <f t="shared" si="19"/>
        <v>14.089434826962851</v>
      </c>
      <c r="J51" s="76">
        <f t="shared" si="19"/>
        <v>12.013600885044308</v>
      </c>
      <c r="K51" s="76">
        <f t="shared" si="19"/>
        <v>12.246642820417845</v>
      </c>
      <c r="L51" s="218">
        <f t="shared" ref="L51:L55" si="20">AVERAGE(B51:K51)</f>
        <v>15.478730342501905</v>
      </c>
    </row>
    <row r="52" spans="1:12">
      <c r="A52" s="49" t="s">
        <v>251</v>
      </c>
      <c r="B52" s="76">
        <f>B4/B16</f>
        <v>14.668325168401713</v>
      </c>
      <c r="C52" s="76">
        <f t="shared" ref="C52:K52" si="21">C4/C16</f>
        <v>15.463112078346027</v>
      </c>
      <c r="D52" s="76">
        <f t="shared" si="21"/>
        <v>16.412609970674485</v>
      </c>
      <c r="E52" s="76">
        <f t="shared" si="21"/>
        <v>17.650481970724741</v>
      </c>
      <c r="F52" s="76">
        <f t="shared" si="21"/>
        <v>17.332679482149864</v>
      </c>
      <c r="G52" s="76">
        <f t="shared" si="21"/>
        <v>15.159211035194017</v>
      </c>
      <c r="H52" s="76">
        <f t="shared" si="21"/>
        <v>18.118710642808153</v>
      </c>
      <c r="I52" s="76">
        <f t="shared" si="21"/>
        <v>14.816824405035376</v>
      </c>
      <c r="J52" s="76">
        <f t="shared" si="21"/>
        <v>19.915633303808679</v>
      </c>
      <c r="K52" s="76">
        <f t="shared" si="21"/>
        <v>20.354582794125921</v>
      </c>
      <c r="L52" s="218">
        <f t="shared" si="20"/>
        <v>16.989217085126896</v>
      </c>
    </row>
    <row r="53" spans="1:12">
      <c r="A53" s="49" t="s">
        <v>252</v>
      </c>
      <c r="B53" s="76">
        <f>365/B52</f>
        <v>24.883549812917806</v>
      </c>
      <c r="C53" s="76">
        <f t="shared" ref="C53:K53" si="22">365/C52</f>
        <v>23.6045627911559</v>
      </c>
      <c r="D53" s="76">
        <f t="shared" si="22"/>
        <v>22.238997980953066</v>
      </c>
      <c r="E53" s="76">
        <f t="shared" si="22"/>
        <v>20.679321992758755</v>
      </c>
      <c r="F53" s="76">
        <f t="shared" si="22"/>
        <v>21.058486679794481</v>
      </c>
      <c r="G53" s="76">
        <f t="shared" si="22"/>
        <v>24.077770218556001</v>
      </c>
      <c r="H53" s="76">
        <f t="shared" si="22"/>
        <v>20.14492130238192</v>
      </c>
      <c r="I53" s="76">
        <f t="shared" si="22"/>
        <v>24.634158441936975</v>
      </c>
      <c r="J53" s="76">
        <f t="shared" si="22"/>
        <v>18.327310732830028</v>
      </c>
      <c r="K53" s="76">
        <f t="shared" si="22"/>
        <v>17.932079654579532</v>
      </c>
      <c r="L53" s="218">
        <f t="shared" si="20"/>
        <v>21.758115960786448</v>
      </c>
    </row>
    <row r="54" spans="1:12">
      <c r="A54" s="49" t="s">
        <v>253</v>
      </c>
      <c r="B54" s="76">
        <f>B4/B22</f>
        <v>28.007453960830166</v>
      </c>
      <c r="C54" s="76">
        <f t="shared" ref="C54:K54" si="23">C4/C22</f>
        <v>29.175882836025181</v>
      </c>
      <c r="D54" s="76">
        <f t="shared" si="23"/>
        <v>28.609329073482428</v>
      </c>
      <c r="E54" s="76">
        <f t="shared" si="23"/>
        <v>20.961163402018148</v>
      </c>
      <c r="F54" s="76">
        <f t="shared" si="23"/>
        <v>22.281751702109776</v>
      </c>
      <c r="G54" s="76">
        <f t="shared" si="23"/>
        <v>23.56749173263854</v>
      </c>
      <c r="H54" s="76">
        <f t="shared" si="23"/>
        <v>23.985308682733574</v>
      </c>
      <c r="I54" s="76">
        <f t="shared" si="23"/>
        <v>22.374288885805466</v>
      </c>
      <c r="J54" s="76">
        <f t="shared" si="23"/>
        <v>23.295732694424657</v>
      </c>
      <c r="K54" s="76">
        <f t="shared" si="23"/>
        <v>22.673895330617359</v>
      </c>
      <c r="L54" s="218">
        <f t="shared" si="20"/>
        <v>24.493229830068529</v>
      </c>
    </row>
    <row r="55" spans="1:12">
      <c r="A55" s="49" t="s">
        <v>254</v>
      </c>
      <c r="B55" s="76">
        <f>365/B54</f>
        <v>13.032244934168984</v>
      </c>
      <c r="C55" s="76">
        <f t="shared" ref="C55:K55" si="24">365/C54</f>
        <v>12.510332662472615</v>
      </c>
      <c r="D55" s="76">
        <f t="shared" si="24"/>
        <v>12.758076187753497</v>
      </c>
      <c r="E55" s="76">
        <f t="shared" si="24"/>
        <v>17.413155605898176</v>
      </c>
      <c r="F55" s="76">
        <f t="shared" si="24"/>
        <v>16.381117825913098</v>
      </c>
      <c r="G55" s="76">
        <f t="shared" si="24"/>
        <v>15.487435156050685</v>
      </c>
      <c r="H55" s="76">
        <f t="shared" si="24"/>
        <v>15.217648637674378</v>
      </c>
      <c r="I55" s="76">
        <f t="shared" si="24"/>
        <v>16.313367627587962</v>
      </c>
      <c r="J55" s="76">
        <f t="shared" si="24"/>
        <v>15.668105604909995</v>
      </c>
      <c r="K55" s="76">
        <f t="shared" si="24"/>
        <v>16.097807398234199</v>
      </c>
      <c r="L55" s="218">
        <f t="shared" si="20"/>
        <v>15.087929164066358</v>
      </c>
    </row>
    <row r="56" spans="1:12">
      <c r="A56" s="49" t="s">
        <v>255</v>
      </c>
      <c r="B56" s="76">
        <f t="shared" ref="B56:K56" si="25">B4/B31</f>
        <v>59.345617838340111</v>
      </c>
      <c r="C56" s="76">
        <f t="shared" si="25"/>
        <v>100.97536712458576</v>
      </c>
      <c r="D56" s="76">
        <f t="shared" si="25"/>
        <v>21.065964053825166</v>
      </c>
      <c r="E56" s="76">
        <f t="shared" si="25"/>
        <v>3.6298825256975045</v>
      </c>
      <c r="F56" s="76">
        <f t="shared" si="25"/>
        <v>-51.493006993006979</v>
      </c>
      <c r="G56" s="76">
        <f t="shared" si="25"/>
        <v>51.170583115752891</v>
      </c>
      <c r="H56" s="76">
        <f t="shared" si="25"/>
        <v>18.106292834890976</v>
      </c>
      <c r="I56" s="76">
        <f t="shared" si="25"/>
        <v>-15.118981763630401</v>
      </c>
      <c r="J56" s="76">
        <f t="shared" si="25"/>
        <v>-17.618688476419017</v>
      </c>
      <c r="K56" s="76">
        <f t="shared" si="25"/>
        <v>-16.276522991091511</v>
      </c>
      <c r="L56" s="218">
        <f>AVERAGE(B56:K56)</f>
        <v>15.378650726894449</v>
      </c>
    </row>
    <row r="57" spans="1:12">
      <c r="A57" s="49" t="s">
        <v>256</v>
      </c>
      <c r="B57" s="76">
        <f>365/B56</f>
        <v>6.1504119983092087</v>
      </c>
      <c r="C57" s="76">
        <f t="shared" ref="C57:K57" si="26">365/C56</f>
        <v>3.6147429852832769</v>
      </c>
      <c r="D57" s="76">
        <f t="shared" si="26"/>
        <v>17.326527239265992</v>
      </c>
      <c r="E57" s="76">
        <f t="shared" si="26"/>
        <v>100.55421832965875</v>
      </c>
      <c r="F57" s="76">
        <f t="shared" si="26"/>
        <v>-7.0883411421199174</v>
      </c>
      <c r="G57" s="76">
        <f t="shared" si="26"/>
        <v>7.1330045071859765</v>
      </c>
      <c r="H57" s="76">
        <f t="shared" si="26"/>
        <v>20.158737259382107</v>
      </c>
      <c r="I57" s="76">
        <f t="shared" si="26"/>
        <v>-24.141837440271868</v>
      </c>
      <c r="J57" s="76">
        <f t="shared" si="26"/>
        <v>-20.716638499427397</v>
      </c>
      <c r="K57" s="76">
        <f t="shared" si="26"/>
        <v>-22.424936836925941</v>
      </c>
      <c r="L57" s="218">
        <f>AVERAGE(B57:K57)</f>
        <v>8.0565888400340206</v>
      </c>
    </row>
  </sheetData>
  <pageMargins left="0.7" right="0.7" top="0.75" bottom="0.75" header="0.3" footer="0.3"/>
  <pageSetup scale="62" orientation="landscape"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F84F0-E4E2-8241-9A33-BC0305244F2A}">
  <sheetPr>
    <outlinePr summaryBelow="0" summaryRight="0"/>
    <pageSetUpPr fitToPage="1"/>
  </sheetPr>
  <dimension ref="A1:N123"/>
  <sheetViews>
    <sheetView showGridLines="0" topLeftCell="A87" zoomScaleNormal="100" workbookViewId="0">
      <pane xSplit="1" topLeftCell="B1" activePane="topRight" state="frozen"/>
      <selection pane="topRight" activeCell="F19" sqref="F19"/>
    </sheetView>
  </sheetViews>
  <sheetFormatPr baseColWidth="10" defaultColWidth="14.5" defaultRowHeight="15.75" customHeight="1"/>
  <cols>
    <col min="1" max="1" width="35.83203125" style="49" customWidth="1"/>
    <col min="2" max="2" width="30.6640625" style="67" customWidth="1"/>
    <col min="3" max="3" width="13.6640625" style="49" customWidth="1"/>
    <col min="4" max="13" width="16.33203125" style="49" bestFit="1" customWidth="1"/>
    <col min="14" max="14" width="10.6640625" style="49" customWidth="1"/>
    <col min="15" max="16384" width="14.5" style="49"/>
  </cols>
  <sheetData>
    <row r="1" spans="1:13" ht="15.75" customHeight="1">
      <c r="A1" s="48" t="s">
        <v>513</v>
      </c>
      <c r="B1" s="96"/>
    </row>
    <row r="2" spans="1:13" ht="15.75" customHeight="1">
      <c r="A2" s="51" t="s">
        <v>265</v>
      </c>
      <c r="B2" s="240"/>
      <c r="C2" s="51"/>
    </row>
    <row r="3" spans="1:13" ht="15.75" customHeight="1">
      <c r="A3" s="168"/>
      <c r="B3" s="168"/>
      <c r="C3" s="167">
        <v>2024</v>
      </c>
      <c r="D3" s="167">
        <v>2025</v>
      </c>
      <c r="E3" s="167">
        <v>2026</v>
      </c>
      <c r="F3" s="167">
        <v>2027</v>
      </c>
      <c r="G3" s="167">
        <v>2028</v>
      </c>
      <c r="H3" s="167">
        <v>2029</v>
      </c>
      <c r="I3" s="167">
        <v>2030</v>
      </c>
      <c r="J3" s="167">
        <v>2031</v>
      </c>
      <c r="K3" s="167">
        <v>2032</v>
      </c>
      <c r="L3" s="167">
        <v>2033</v>
      </c>
      <c r="M3" s="167">
        <v>2034</v>
      </c>
    </row>
    <row r="4" spans="1:13" ht="15.75" customHeight="1">
      <c r="A4" s="54" t="s">
        <v>266</v>
      </c>
      <c r="C4" s="54"/>
      <c r="D4" s="58">
        <f>(D6-C6)/C6</f>
        <v>5.839390231171529E-2</v>
      </c>
      <c r="E4" s="58">
        <f>(E6-D6)/D6</f>
        <v>3.0563762943574733E-2</v>
      </c>
      <c r="F4" s="58">
        <f t="shared" ref="F4:M4" si="0">(F6-E6)/E6</f>
        <v>2.9657323537435651E-2</v>
      </c>
      <c r="G4" s="58">
        <f t="shared" si="0"/>
        <v>2.8803100662215014E-2</v>
      </c>
      <c r="H4" s="58">
        <f t="shared" si="0"/>
        <v>2.7996708644905104E-2</v>
      </c>
      <c r="I4" s="58">
        <f t="shared" si="0"/>
        <v>2.7234239574386598E-2</v>
      </c>
      <c r="J4" s="58">
        <f t="shared" si="0"/>
        <v>2.6512199968781913E-2</v>
      </c>
      <c r="K4" s="58">
        <f t="shared" si="0"/>
        <v>2.5827457257291433E-2</v>
      </c>
      <c r="L4" s="58">
        <f t="shared" si="0"/>
        <v>2.5177194346449976E-2</v>
      </c>
      <c r="M4" s="58">
        <f t="shared" si="0"/>
        <v>2.455887088134108E-2</v>
      </c>
    </row>
    <row r="5" spans="1:13" ht="15.75" customHeight="1">
      <c r="A5" s="54"/>
      <c r="C5" s="54"/>
      <c r="D5" s="58"/>
      <c r="E5" s="58"/>
      <c r="F5" s="58"/>
      <c r="G5" s="58"/>
      <c r="H5" s="58"/>
      <c r="I5" s="58"/>
      <c r="J5" s="58"/>
      <c r="K5" s="58"/>
      <c r="L5" s="58"/>
      <c r="M5" s="58"/>
    </row>
    <row r="6" spans="1:13" ht="15.75" customHeight="1">
      <c r="A6" s="54" t="s">
        <v>267</v>
      </c>
      <c r="B6" s="67" t="s">
        <v>398</v>
      </c>
      <c r="C6" s="181">
        <f>'Forecasting Sales'!K3</f>
        <v>36176.199999999997</v>
      </c>
      <c r="D6" s="181" cm="1">
        <f t="array" ref="D6:M6">TRANSPOSE('Forecasting Sales'!C31:C40)</f>
        <v>38288.669488809071</v>
      </c>
      <c r="E6" s="181">
        <v>39458.915306489915</v>
      </c>
      <c r="F6" s="181">
        <v>40629.161124170758</v>
      </c>
      <c r="G6" s="181">
        <v>41799.406941851601</v>
      </c>
      <c r="H6" s="181">
        <v>42969.652759532444</v>
      </c>
      <c r="I6" s="181">
        <v>44139.898577213753</v>
      </c>
      <c r="J6" s="181">
        <v>45310.144394894596</v>
      </c>
      <c r="K6" s="181">
        <v>46480.390212575439</v>
      </c>
      <c r="L6" s="181">
        <v>47650.636030256283</v>
      </c>
      <c r="M6" s="181">
        <v>48820.881847937126</v>
      </c>
    </row>
    <row r="7" spans="1:13" ht="15">
      <c r="A7" s="54" t="s">
        <v>268</v>
      </c>
      <c r="B7" s="67" t="s">
        <v>269</v>
      </c>
      <c r="C7" s="97"/>
      <c r="D7" s="58">
        <f>3%</f>
        <v>0.03</v>
      </c>
      <c r="E7" s="58">
        <f>D7</f>
        <v>0.03</v>
      </c>
      <c r="F7" s="58">
        <f t="shared" ref="F7:M7" si="1">E7</f>
        <v>0.03</v>
      </c>
      <c r="G7" s="58">
        <f t="shared" si="1"/>
        <v>0.03</v>
      </c>
      <c r="H7" s="58">
        <f t="shared" si="1"/>
        <v>0.03</v>
      </c>
      <c r="I7" s="58">
        <f t="shared" si="1"/>
        <v>0.03</v>
      </c>
      <c r="J7" s="58">
        <f t="shared" si="1"/>
        <v>0.03</v>
      </c>
      <c r="K7" s="58">
        <f t="shared" si="1"/>
        <v>0.03</v>
      </c>
      <c r="L7" s="58">
        <f t="shared" si="1"/>
        <v>0.03</v>
      </c>
      <c r="M7" s="58">
        <f t="shared" si="1"/>
        <v>0.03</v>
      </c>
    </row>
    <row r="8" spans="1:13" ht="15.75" customHeight="1">
      <c r="A8" s="54" t="s">
        <v>270</v>
      </c>
      <c r="B8" s="67" t="s">
        <v>399</v>
      </c>
      <c r="C8" s="220">
        <f>'Real Revenue'!C26</f>
        <v>1</v>
      </c>
      <c r="D8" s="220">
        <f>C8*(1+D7)</f>
        <v>1.03</v>
      </c>
      <c r="E8" s="220">
        <f t="shared" ref="E8:M8" si="2">D8*(1+E7)</f>
        <v>1.0609</v>
      </c>
      <c r="F8" s="220">
        <f t="shared" si="2"/>
        <v>1.092727</v>
      </c>
      <c r="G8" s="220">
        <f t="shared" si="2"/>
        <v>1.1255088100000001</v>
      </c>
      <c r="H8" s="220">
        <f t="shared" si="2"/>
        <v>1.1592740743000001</v>
      </c>
      <c r="I8" s="220">
        <f t="shared" si="2"/>
        <v>1.1940522965290001</v>
      </c>
      <c r="J8" s="220">
        <f t="shared" si="2"/>
        <v>1.2298738654248702</v>
      </c>
      <c r="K8" s="220">
        <f t="shared" si="2"/>
        <v>1.2667700813876164</v>
      </c>
      <c r="L8" s="220">
        <f t="shared" si="2"/>
        <v>1.3047731838292449</v>
      </c>
      <c r="M8" s="220">
        <f t="shared" si="2"/>
        <v>1.3439163793441222</v>
      </c>
    </row>
    <row r="9" spans="1:13" ht="15.75" customHeight="1">
      <c r="A9" s="54"/>
      <c r="C9" s="98"/>
      <c r="D9" s="98"/>
      <c r="E9" s="98"/>
      <c r="F9" s="98"/>
      <c r="G9" s="98"/>
      <c r="H9" s="98"/>
      <c r="I9" s="98"/>
      <c r="J9" s="98"/>
      <c r="K9" s="98"/>
      <c r="L9" s="98"/>
      <c r="M9" s="98"/>
    </row>
    <row r="10" spans="1:13" ht="15.75" customHeight="1">
      <c r="A10" s="54" t="s">
        <v>271</v>
      </c>
      <c r="C10" s="177">
        <f>C6</f>
        <v>36176.199999999997</v>
      </c>
      <c r="D10" s="177">
        <f>D6*D8</f>
        <v>39437.329573473347</v>
      </c>
      <c r="E10" s="177">
        <f t="shared" ref="E10:M10" si="3">E6*E8</f>
        <v>41861.963248655149</v>
      </c>
      <c r="F10" s="177">
        <f t="shared" si="3"/>
        <v>44396.581347731742</v>
      </c>
      <c r="G10" s="177">
        <f t="shared" si="3"/>
        <v>47045.600765829142</v>
      </c>
      <c r="H10" s="177">
        <f t="shared" si="3"/>
        <v>49813.604425799414</v>
      </c>
      <c r="I10" s="177">
        <f t="shared" si="3"/>
        <v>52705.347264679229</v>
      </c>
      <c r="J10" s="177">
        <f t="shared" si="3"/>
        <v>55725.762429908034</v>
      </c>
      <c r="K10" s="177">
        <f t="shared" si="3"/>
        <v>58879.967692512357</v>
      </c>
      <c r="L10" s="177">
        <f t="shared" si="3"/>
        <v>62173.272084686017</v>
      </c>
      <c r="M10" s="177">
        <f t="shared" si="3"/>
        <v>65611.182769466846</v>
      </c>
    </row>
    <row r="11" spans="1:13" ht="15.75" customHeight="1">
      <c r="A11" s="54" t="s">
        <v>272</v>
      </c>
      <c r="C11" s="58"/>
      <c r="D11" s="58">
        <f>(D10/C10)-1</f>
        <v>9.0145719381066858E-2</v>
      </c>
      <c r="E11" s="58">
        <f>(E10/D10)-1</f>
        <v>6.148067583188177E-2</v>
      </c>
      <c r="F11" s="58">
        <f t="shared" ref="F11:M11" si="4">(F10/E10)-1</f>
        <v>6.0547043243558862E-2</v>
      </c>
      <c r="G11" s="58">
        <f t="shared" si="4"/>
        <v>5.9667193682081621E-2</v>
      </c>
      <c r="H11" s="58">
        <f t="shared" si="4"/>
        <v>5.8836609904252102E-2</v>
      </c>
      <c r="I11" s="58">
        <f t="shared" si="4"/>
        <v>5.8051266761618425E-2</v>
      </c>
      <c r="J11" s="58">
        <f t="shared" si="4"/>
        <v>5.7307565967845475E-2</v>
      </c>
      <c r="K11" s="58">
        <f t="shared" si="4"/>
        <v>5.6602280975010189E-2</v>
      </c>
      <c r="L11" s="58">
        <f t="shared" si="4"/>
        <v>5.5932510176843531E-2</v>
      </c>
      <c r="M11" s="58">
        <f t="shared" si="4"/>
        <v>5.5295637007781506E-2</v>
      </c>
    </row>
    <row r="13" spans="1:13" ht="15.75" customHeight="1">
      <c r="A13" s="69" t="s">
        <v>273</v>
      </c>
      <c r="B13" s="99"/>
      <c r="C13" s="69"/>
    </row>
    <row r="14" spans="1:13" ht="15.75" customHeight="1">
      <c r="A14" s="168"/>
      <c r="B14" s="168"/>
      <c r="C14" s="167">
        <f>C3</f>
        <v>2024</v>
      </c>
      <c r="D14" s="167">
        <f t="shared" ref="D14:M14" si="5">D3</f>
        <v>2025</v>
      </c>
      <c r="E14" s="167">
        <f t="shared" si="5"/>
        <v>2026</v>
      </c>
      <c r="F14" s="167">
        <f t="shared" si="5"/>
        <v>2027</v>
      </c>
      <c r="G14" s="167">
        <f t="shared" si="5"/>
        <v>2028</v>
      </c>
      <c r="H14" s="167">
        <f t="shared" si="5"/>
        <v>2029</v>
      </c>
      <c r="I14" s="167">
        <f t="shared" si="5"/>
        <v>2030</v>
      </c>
      <c r="J14" s="167">
        <f t="shared" si="5"/>
        <v>2031</v>
      </c>
      <c r="K14" s="167">
        <f t="shared" si="5"/>
        <v>2032</v>
      </c>
      <c r="L14" s="167">
        <f t="shared" si="5"/>
        <v>2033</v>
      </c>
      <c r="M14" s="167">
        <f t="shared" si="5"/>
        <v>2034</v>
      </c>
    </row>
    <row r="15" spans="1:13" ht="15.75" customHeight="1">
      <c r="A15" s="55" t="s">
        <v>274</v>
      </c>
      <c r="B15" s="100"/>
      <c r="C15" s="55"/>
      <c r="D15" s="95">
        <f>D11</f>
        <v>9.0145719381066858E-2</v>
      </c>
      <c r="E15" s="95">
        <f t="shared" ref="E15:I15" si="6">E11</f>
        <v>6.148067583188177E-2</v>
      </c>
      <c r="F15" s="95">
        <f t="shared" si="6"/>
        <v>6.0547043243558862E-2</v>
      </c>
      <c r="G15" s="95">
        <f t="shared" si="6"/>
        <v>5.9667193682081621E-2</v>
      </c>
      <c r="H15" s="95">
        <f t="shared" si="6"/>
        <v>5.8836609904252102E-2</v>
      </c>
      <c r="I15" s="95">
        <f t="shared" si="6"/>
        <v>5.8051266761618425E-2</v>
      </c>
      <c r="J15" s="95">
        <f t="shared" ref="J15:M15" si="7">J11</f>
        <v>5.7307565967845475E-2</v>
      </c>
      <c r="K15" s="95">
        <f t="shared" si="7"/>
        <v>5.6602280975010189E-2</v>
      </c>
      <c r="L15" s="95">
        <f t="shared" si="7"/>
        <v>5.5932510176843531E-2</v>
      </c>
      <c r="M15" s="95">
        <f t="shared" si="7"/>
        <v>5.5295637007781506E-2</v>
      </c>
    </row>
    <row r="17" spans="1:13" ht="15.75" customHeight="1">
      <c r="A17" s="55" t="s">
        <v>237</v>
      </c>
      <c r="B17" s="100" t="s">
        <v>275</v>
      </c>
      <c r="C17" s="55"/>
      <c r="D17" s="219">
        <f>'Net Working Capital'!$L$35</f>
        <v>0.71764425206473537</v>
      </c>
      <c r="E17" s="219">
        <f>'Net Working Capital'!$L$35</f>
        <v>0.71764425206473537</v>
      </c>
      <c r="F17" s="219">
        <f>'Net Working Capital'!$L$35</f>
        <v>0.71764425206473537</v>
      </c>
      <c r="G17" s="219">
        <f>'Net Working Capital'!$L$35</f>
        <v>0.71764425206473537</v>
      </c>
      <c r="H17" s="219">
        <f>'Net Working Capital'!$L$35</f>
        <v>0.71764425206473537</v>
      </c>
      <c r="I17" s="219">
        <f>'Net Working Capital'!$L$35</f>
        <v>0.71764425206473537</v>
      </c>
      <c r="J17" s="219">
        <f>'Net Working Capital'!$L$35</f>
        <v>0.71764425206473537</v>
      </c>
      <c r="K17" s="219">
        <f>'Net Working Capital'!$L$35</f>
        <v>0.71764425206473537</v>
      </c>
      <c r="L17" s="219">
        <f>'Net Working Capital'!$L$35</f>
        <v>0.71764425206473537</v>
      </c>
      <c r="M17" s="219">
        <f>'Net Working Capital'!$L$35</f>
        <v>0.71764425206473537</v>
      </c>
    </row>
    <row r="18" spans="1:13" ht="15.75" customHeight="1">
      <c r="A18" s="54" t="s">
        <v>238</v>
      </c>
      <c r="B18" s="100" t="s">
        <v>275</v>
      </c>
      <c r="C18" s="55"/>
      <c r="D18" s="219">
        <f>'Net Working Capital'!$L$36</f>
        <v>6.677644323278667E-2</v>
      </c>
      <c r="E18" s="219">
        <f>'Net Working Capital'!$L$36</f>
        <v>6.677644323278667E-2</v>
      </c>
      <c r="F18" s="219">
        <f>'Net Working Capital'!$L$36</f>
        <v>6.677644323278667E-2</v>
      </c>
      <c r="G18" s="219">
        <f>'Net Working Capital'!$L$36</f>
        <v>6.677644323278667E-2</v>
      </c>
      <c r="H18" s="219">
        <f>'Net Working Capital'!$L$36</f>
        <v>6.677644323278667E-2</v>
      </c>
      <c r="I18" s="219">
        <f>'Net Working Capital'!$L$36</f>
        <v>6.677644323278667E-2</v>
      </c>
      <c r="J18" s="219">
        <f>'Net Working Capital'!$L$36</f>
        <v>6.677644323278667E-2</v>
      </c>
      <c r="K18" s="219">
        <f>'Net Working Capital'!$L$36</f>
        <v>6.677644323278667E-2</v>
      </c>
      <c r="L18" s="219">
        <f>'Net Working Capital'!$L$36</f>
        <v>6.677644323278667E-2</v>
      </c>
      <c r="M18" s="219">
        <f>'Net Working Capital'!$L$36</f>
        <v>6.677644323278667E-2</v>
      </c>
    </row>
    <row r="19" spans="1:13" ht="15.75" customHeight="1">
      <c r="A19" s="54" t="s">
        <v>239</v>
      </c>
      <c r="B19" s="100" t="s">
        <v>275</v>
      </c>
      <c r="C19" s="55"/>
      <c r="D19" s="219">
        <f>'Net Working Capital'!$L$37</f>
        <v>4.7529494201066412E-2</v>
      </c>
      <c r="E19" s="219">
        <f>'Net Working Capital'!$L$37</f>
        <v>4.7529494201066412E-2</v>
      </c>
      <c r="F19" s="219">
        <f>'Net Working Capital'!$L$37</f>
        <v>4.7529494201066412E-2</v>
      </c>
      <c r="G19" s="219">
        <f>'Net Working Capital'!$L$37</f>
        <v>4.7529494201066412E-2</v>
      </c>
      <c r="H19" s="219">
        <f>'Net Working Capital'!$L$37</f>
        <v>4.7529494201066412E-2</v>
      </c>
      <c r="I19" s="219">
        <f>'Net Working Capital'!$L$37</f>
        <v>4.7529494201066412E-2</v>
      </c>
      <c r="J19" s="219">
        <f>'Net Working Capital'!$L$37</f>
        <v>4.7529494201066412E-2</v>
      </c>
      <c r="K19" s="219">
        <f>'Net Working Capital'!$L$37</f>
        <v>4.7529494201066412E-2</v>
      </c>
      <c r="L19" s="219">
        <f>'Net Working Capital'!$L$37</f>
        <v>4.7529494201066412E-2</v>
      </c>
      <c r="M19" s="219">
        <f>'Net Working Capital'!$L$37</f>
        <v>4.7529494201066412E-2</v>
      </c>
    </row>
    <row r="20" spans="1:13" ht="15.75" customHeight="1">
      <c r="A20" s="54" t="s">
        <v>402</v>
      </c>
      <c r="B20" s="100" t="s">
        <v>403</v>
      </c>
      <c r="C20" s="55"/>
      <c r="D20" s="219">
        <f>'Net Working Capital'!$L$38</f>
        <v>1.8586774386232571E-2</v>
      </c>
      <c r="E20" s="219">
        <f>'Net Working Capital'!$L$38</f>
        <v>1.8586774386232571E-2</v>
      </c>
      <c r="F20" s="219">
        <f>'Net Working Capital'!$L$38</f>
        <v>1.8586774386232571E-2</v>
      </c>
      <c r="G20" s="219">
        <f>'Net Working Capital'!$L$38</f>
        <v>1.8586774386232571E-2</v>
      </c>
      <c r="H20" s="219">
        <f>'Net Working Capital'!$L$38</f>
        <v>1.8586774386232571E-2</v>
      </c>
      <c r="I20" s="219">
        <f>'Net Working Capital'!$L$38</f>
        <v>1.8586774386232571E-2</v>
      </c>
      <c r="J20" s="219">
        <f>'Net Working Capital'!$L$38</f>
        <v>1.8586774386232571E-2</v>
      </c>
      <c r="K20" s="219">
        <f>'Net Working Capital'!$L$38</f>
        <v>1.8586774386232571E-2</v>
      </c>
      <c r="L20" s="219">
        <f>'Net Working Capital'!$L$38</f>
        <v>1.8586774386232571E-2</v>
      </c>
      <c r="M20" s="219">
        <f>'Net Working Capital'!$L$38</f>
        <v>1.8586774386232571E-2</v>
      </c>
    </row>
    <row r="21" spans="1:13" ht="15.75" customHeight="1">
      <c r="A21" s="55" t="s">
        <v>400</v>
      </c>
      <c r="B21" s="100" t="s">
        <v>276</v>
      </c>
      <c r="C21" s="55"/>
      <c r="D21" s="220">
        <f>'Forecasting Costs'!$H$23</f>
        <v>-1.0954158936588201</v>
      </c>
      <c r="E21" s="220">
        <f>'Forecasting Costs'!$H$23</f>
        <v>-1.0954158936588201</v>
      </c>
      <c r="F21" s="220">
        <f>'Forecasting Costs'!$H$23</f>
        <v>-1.0954158936588201</v>
      </c>
      <c r="G21" s="220">
        <f>'Forecasting Costs'!$H$23</f>
        <v>-1.0954158936588201</v>
      </c>
      <c r="H21" s="220">
        <f>'Forecasting Costs'!$H$23</f>
        <v>-1.0954158936588201</v>
      </c>
      <c r="I21" s="220">
        <f>'Forecasting Costs'!$H$23</f>
        <v>-1.0954158936588201</v>
      </c>
      <c r="J21" s="220">
        <f>'Forecasting Costs'!$H$23</f>
        <v>-1.0954158936588201</v>
      </c>
      <c r="K21" s="220">
        <f>'Forecasting Costs'!$H$23</f>
        <v>-1.0954158936588201</v>
      </c>
      <c r="L21" s="220">
        <f>'Forecasting Costs'!$H$23</f>
        <v>-1.0954158936588201</v>
      </c>
      <c r="M21" s="220">
        <f>'Forecasting Costs'!$H$23</f>
        <v>-1.0954158936588201</v>
      </c>
    </row>
    <row r="22" spans="1:13" ht="31.75" customHeight="1">
      <c r="A22" s="63" t="s">
        <v>277</v>
      </c>
      <c r="B22" s="100" t="s">
        <v>278</v>
      </c>
      <c r="C22" s="55"/>
      <c r="D22" s="223" cm="1">
        <f t="array" ref="D22:M22">TRANSPOSE(WACC!N5:N14)</f>
        <v>14380</v>
      </c>
      <c r="E22" s="223">
        <v>13060</v>
      </c>
      <c r="F22" s="223">
        <v>11740</v>
      </c>
      <c r="G22" s="223">
        <v>10420</v>
      </c>
      <c r="H22" s="223">
        <v>9100</v>
      </c>
      <c r="I22" s="223">
        <v>8200</v>
      </c>
      <c r="J22" s="223">
        <v>7300</v>
      </c>
      <c r="K22" s="223">
        <v>6400</v>
      </c>
      <c r="L22" s="223">
        <v>5500</v>
      </c>
      <c r="M22" s="223">
        <v>4600</v>
      </c>
    </row>
    <row r="23" spans="1:13" ht="15.75" customHeight="1">
      <c r="A23" s="63" t="s">
        <v>279</v>
      </c>
      <c r="B23" s="100" t="s">
        <v>481</v>
      </c>
      <c r="C23" s="55"/>
      <c r="D23" s="221" cm="1">
        <f t="array" ref="D23:M23">TRANSPOSE(WACC!O5:O14)</f>
        <v>3.7590577190542422E-2</v>
      </c>
      <c r="E23" s="221">
        <v>3.7738705972434915E-2</v>
      </c>
      <c r="F23" s="221">
        <v>3.7920144804088583E-2</v>
      </c>
      <c r="G23" s="221">
        <v>3.8147552783109405E-2</v>
      </c>
      <c r="H23" s="221">
        <v>3.8440934065934067E-2</v>
      </c>
      <c r="I23" s="221">
        <v>3.854420731707317E-2</v>
      </c>
      <c r="J23" s="221">
        <v>3.8672945205479453E-2</v>
      </c>
      <c r="K23" s="221">
        <v>3.8837890625000003E-2</v>
      </c>
      <c r="L23" s="221">
        <v>3.9056818181818179E-2</v>
      </c>
      <c r="M23" s="221">
        <v>3.9361413043478261E-2</v>
      </c>
    </row>
    <row r="24" spans="1:13" ht="15.75" customHeight="1">
      <c r="A24" s="63" t="s">
        <v>280</v>
      </c>
      <c r="B24" s="100" t="s">
        <v>482</v>
      </c>
      <c r="C24" s="55"/>
      <c r="D24" s="225">
        <v>400</v>
      </c>
      <c r="E24" s="225">
        <v>500</v>
      </c>
      <c r="F24" s="225">
        <v>800</v>
      </c>
      <c r="G24" s="225">
        <v>3400</v>
      </c>
      <c r="H24" s="225">
        <v>6400</v>
      </c>
      <c r="I24" s="225">
        <v>7300</v>
      </c>
      <c r="J24" s="225">
        <v>8200</v>
      </c>
      <c r="K24" s="225">
        <v>111300</v>
      </c>
      <c r="L24" s="225">
        <v>14500</v>
      </c>
      <c r="M24" s="225">
        <v>15800</v>
      </c>
    </row>
    <row r="25" spans="1:13" ht="15.75" customHeight="1">
      <c r="A25" s="63" t="s">
        <v>281</v>
      </c>
      <c r="B25" s="100" t="s">
        <v>282</v>
      </c>
      <c r="C25" s="55"/>
      <c r="D25" s="226">
        <v>4.7E-2</v>
      </c>
      <c r="E25" s="226">
        <f>D25</f>
        <v>4.7E-2</v>
      </c>
      <c r="F25" s="226">
        <f t="shared" ref="F25:M26" si="8">E25</f>
        <v>4.7E-2</v>
      </c>
      <c r="G25" s="226">
        <f t="shared" si="8"/>
        <v>4.7E-2</v>
      </c>
      <c r="H25" s="226">
        <f t="shared" si="8"/>
        <v>4.7E-2</v>
      </c>
      <c r="I25" s="226">
        <f t="shared" si="8"/>
        <v>4.7E-2</v>
      </c>
      <c r="J25" s="226">
        <f t="shared" si="8"/>
        <v>4.7E-2</v>
      </c>
      <c r="K25" s="226">
        <f t="shared" si="8"/>
        <v>4.7E-2</v>
      </c>
      <c r="L25" s="226">
        <f t="shared" si="8"/>
        <v>4.7E-2</v>
      </c>
      <c r="M25" s="226">
        <f t="shared" si="8"/>
        <v>4.7E-2</v>
      </c>
    </row>
    <row r="26" spans="1:13" ht="15.75" customHeight="1">
      <c r="A26" s="63" t="s">
        <v>283</v>
      </c>
      <c r="B26" s="100" t="s">
        <v>483</v>
      </c>
      <c r="C26" s="55"/>
      <c r="D26" s="226">
        <v>4.2500000000000003E-2</v>
      </c>
      <c r="E26" s="226">
        <f>D26</f>
        <v>4.2500000000000003E-2</v>
      </c>
      <c r="F26" s="226">
        <f t="shared" si="8"/>
        <v>4.2500000000000003E-2</v>
      </c>
      <c r="G26" s="226">
        <f t="shared" si="8"/>
        <v>4.2500000000000003E-2</v>
      </c>
      <c r="H26" s="226">
        <f t="shared" si="8"/>
        <v>4.2500000000000003E-2</v>
      </c>
      <c r="I26" s="226">
        <f t="shared" si="8"/>
        <v>4.2500000000000003E-2</v>
      </c>
      <c r="J26" s="226">
        <f t="shared" si="8"/>
        <v>4.2500000000000003E-2</v>
      </c>
      <c r="K26" s="226">
        <f t="shared" si="8"/>
        <v>4.2500000000000003E-2</v>
      </c>
      <c r="L26" s="226">
        <f t="shared" si="8"/>
        <v>4.2500000000000003E-2</v>
      </c>
      <c r="M26" s="226">
        <f t="shared" si="8"/>
        <v>4.2500000000000003E-2</v>
      </c>
    </row>
    <row r="27" spans="1:13" ht="15.75" customHeight="1">
      <c r="A27" s="63" t="s">
        <v>284</v>
      </c>
      <c r="B27" s="100" t="s">
        <v>285</v>
      </c>
      <c r="C27" s="55"/>
      <c r="D27" s="224">
        <f>1+D11</f>
        <v>1.0901457193810669</v>
      </c>
      <c r="E27" s="224">
        <f>D27*(1+E15)</f>
        <v>1.1571686149638478</v>
      </c>
      <c r="F27" s="224">
        <f>E27*(1+F15)</f>
        <v>1.227231753134153</v>
      </c>
      <c r="G27" s="224">
        <f t="shared" ref="G27:M27" si="9">F27*(1+G15)</f>
        <v>1.300457227841209</v>
      </c>
      <c r="H27" s="224">
        <f t="shared" si="9"/>
        <v>1.3769717224528673</v>
      </c>
      <c r="I27" s="224">
        <f t="shared" si="9"/>
        <v>1.4569066752361839</v>
      </c>
      <c r="J27" s="224">
        <f t="shared" si="9"/>
        <v>1.540398450636276</v>
      </c>
      <c r="K27" s="224">
        <f t="shared" si="9"/>
        <v>1.6275885165526609</v>
      </c>
      <c r="L27" s="224">
        <f t="shared" si="9"/>
        <v>1.7186236278184563</v>
      </c>
      <c r="M27" s="224">
        <f t="shared" si="9"/>
        <v>1.8136560160953024</v>
      </c>
    </row>
    <row r="28" spans="1:13" ht="15.75" customHeight="1">
      <c r="A28" s="63" t="s">
        <v>286</v>
      </c>
      <c r="B28" s="100" t="s">
        <v>287</v>
      </c>
      <c r="C28" s="55"/>
      <c r="D28" s="227">
        <v>0.31</v>
      </c>
      <c r="E28" s="227">
        <f>D28</f>
        <v>0.31</v>
      </c>
      <c r="F28" s="227">
        <f t="shared" ref="F28:M28" si="10">E28</f>
        <v>0.31</v>
      </c>
      <c r="G28" s="227">
        <f t="shared" si="10"/>
        <v>0.31</v>
      </c>
      <c r="H28" s="227">
        <f t="shared" si="10"/>
        <v>0.31</v>
      </c>
      <c r="I28" s="227">
        <f t="shared" si="10"/>
        <v>0.31</v>
      </c>
      <c r="J28" s="227">
        <f t="shared" si="10"/>
        <v>0.31</v>
      </c>
      <c r="K28" s="227">
        <f t="shared" si="10"/>
        <v>0.31</v>
      </c>
      <c r="L28" s="227">
        <f t="shared" si="10"/>
        <v>0.31</v>
      </c>
      <c r="M28" s="227">
        <f t="shared" si="10"/>
        <v>0.31</v>
      </c>
    </row>
    <row r="29" spans="1:13" ht="15.75" customHeight="1">
      <c r="A29" s="63"/>
      <c r="B29" s="100"/>
      <c r="C29" s="55"/>
      <c r="D29" s="47"/>
      <c r="E29" s="47"/>
      <c r="F29" s="47"/>
      <c r="G29" s="47"/>
      <c r="H29" s="47"/>
      <c r="I29" s="47"/>
      <c r="J29" s="47"/>
      <c r="K29" s="47"/>
      <c r="L29" s="47"/>
      <c r="M29" s="47"/>
    </row>
    <row r="30" spans="1:13" ht="15.75" customHeight="1">
      <c r="A30" s="55" t="s">
        <v>288</v>
      </c>
      <c r="B30" s="100" t="s">
        <v>275</v>
      </c>
      <c r="D30" s="219">
        <f>'Net Working Capital'!$L$34</f>
        <v>0.1429379488930482</v>
      </c>
      <c r="E30" s="219">
        <f>'Net Working Capital'!$L$34</f>
        <v>0.1429379488930482</v>
      </c>
      <c r="F30" s="219">
        <f>'Net Working Capital'!$L$34</f>
        <v>0.1429379488930482</v>
      </c>
      <c r="G30" s="219">
        <f>'Net Working Capital'!$L$34</f>
        <v>0.1429379488930482</v>
      </c>
      <c r="H30" s="219">
        <f>'Net Working Capital'!$L$34</f>
        <v>0.1429379488930482</v>
      </c>
      <c r="I30" s="219">
        <f>'Net Working Capital'!$L$34</f>
        <v>0.1429379488930482</v>
      </c>
      <c r="J30" s="219">
        <f>'Net Working Capital'!$L$34</f>
        <v>0.1429379488930482</v>
      </c>
      <c r="K30" s="219">
        <f>'Net Working Capital'!$L$34</f>
        <v>0.1429379488930482</v>
      </c>
      <c r="L30" s="219">
        <f>'Net Working Capital'!$L$34</f>
        <v>0.1429379488930482</v>
      </c>
      <c r="M30" s="219">
        <f>'Net Working Capital'!$L$34</f>
        <v>0.1429379488930482</v>
      </c>
    </row>
    <row r="31" spans="1:13" ht="15.75" customHeight="1">
      <c r="A31" s="55" t="s">
        <v>289</v>
      </c>
      <c r="B31" s="100" t="s">
        <v>275</v>
      </c>
      <c r="D31" s="220">
        <f>'Net Working Capital'!$L$50</f>
        <v>24.780394324621028</v>
      </c>
      <c r="E31" s="220">
        <f>'Net Working Capital'!$L$50</f>
        <v>24.780394324621028</v>
      </c>
      <c r="F31" s="220">
        <f>'Net Working Capital'!$L$50</f>
        <v>24.780394324621028</v>
      </c>
      <c r="G31" s="220">
        <f>'Net Working Capital'!$L$50</f>
        <v>24.780394324621028</v>
      </c>
      <c r="H31" s="220">
        <f>'Net Working Capital'!$L$50</f>
        <v>24.780394324621028</v>
      </c>
      <c r="I31" s="220">
        <f>'Net Working Capital'!$L$50</f>
        <v>24.780394324621028</v>
      </c>
      <c r="J31" s="220">
        <f>'Net Working Capital'!$L$50</f>
        <v>24.780394324621028</v>
      </c>
      <c r="K31" s="220">
        <f>'Net Working Capital'!$L$50</f>
        <v>24.780394324621028</v>
      </c>
      <c r="L31" s="220">
        <f>'Net Working Capital'!$L$50</f>
        <v>24.780394324621028</v>
      </c>
      <c r="M31" s="220">
        <f>'Net Working Capital'!$L$50</f>
        <v>24.780394324621028</v>
      </c>
    </row>
    <row r="32" spans="1:13" ht="15.75" customHeight="1">
      <c r="A32" s="55" t="s">
        <v>290</v>
      </c>
      <c r="B32" s="100" t="s">
        <v>275</v>
      </c>
      <c r="C32" s="54"/>
      <c r="D32" s="222">
        <f>'Net Working Capital'!$L$52</f>
        <v>16.989217085126896</v>
      </c>
      <c r="E32" s="222">
        <f>'Net Working Capital'!$L$52</f>
        <v>16.989217085126896</v>
      </c>
      <c r="F32" s="222">
        <f>'Net Working Capital'!$L$52</f>
        <v>16.989217085126896</v>
      </c>
      <c r="G32" s="222">
        <f>'Net Working Capital'!$L$52</f>
        <v>16.989217085126896</v>
      </c>
      <c r="H32" s="222">
        <f>'Net Working Capital'!$L$52</f>
        <v>16.989217085126896</v>
      </c>
      <c r="I32" s="222">
        <f>'Net Working Capital'!$L$52</f>
        <v>16.989217085126896</v>
      </c>
      <c r="J32" s="222">
        <f>'Net Working Capital'!$L$52</f>
        <v>16.989217085126896</v>
      </c>
      <c r="K32" s="222">
        <f>'Net Working Capital'!$L$52</f>
        <v>16.989217085126896</v>
      </c>
      <c r="L32" s="222">
        <f>'Net Working Capital'!$L$52</f>
        <v>16.989217085126896</v>
      </c>
      <c r="M32" s="222">
        <f>'Net Working Capital'!$L$52</f>
        <v>16.989217085126896</v>
      </c>
    </row>
    <row r="33" spans="1:13" ht="15.75" customHeight="1">
      <c r="A33" s="49" t="s">
        <v>237</v>
      </c>
      <c r="B33" s="100" t="s">
        <v>275</v>
      </c>
      <c r="C33" s="54"/>
      <c r="D33" s="219">
        <f>'Net Working Capital'!$L$35</f>
        <v>0.71764425206473537</v>
      </c>
      <c r="E33" s="219">
        <f>'Net Working Capital'!$L$35</f>
        <v>0.71764425206473537</v>
      </c>
      <c r="F33" s="219">
        <f>'Net Working Capital'!$L$35</f>
        <v>0.71764425206473537</v>
      </c>
      <c r="G33" s="219">
        <f>'Net Working Capital'!$L$35</f>
        <v>0.71764425206473537</v>
      </c>
      <c r="H33" s="219">
        <f>'Net Working Capital'!$L$35</f>
        <v>0.71764425206473537</v>
      </c>
      <c r="I33" s="219">
        <f>'Net Working Capital'!$L$35</f>
        <v>0.71764425206473537</v>
      </c>
      <c r="J33" s="219">
        <f>'Net Working Capital'!$L$35</f>
        <v>0.71764425206473537</v>
      </c>
      <c r="K33" s="219">
        <f>'Net Working Capital'!$L$35</f>
        <v>0.71764425206473537</v>
      </c>
      <c r="L33" s="219">
        <f>'Net Working Capital'!$L$35</f>
        <v>0.71764425206473537</v>
      </c>
      <c r="M33" s="219">
        <f>'Net Working Capital'!$L$35</f>
        <v>0.71764425206473537</v>
      </c>
    </row>
    <row r="34" spans="1:13" ht="15.75" customHeight="1">
      <c r="A34" s="54" t="s">
        <v>238</v>
      </c>
      <c r="B34" s="100" t="s">
        <v>275</v>
      </c>
      <c r="C34" s="54"/>
      <c r="D34" s="219">
        <f>'Net Working Capital'!$L$36</f>
        <v>6.677644323278667E-2</v>
      </c>
      <c r="E34" s="219">
        <f>'Net Working Capital'!$L$36</f>
        <v>6.677644323278667E-2</v>
      </c>
      <c r="F34" s="219">
        <f>'Net Working Capital'!$L$36</f>
        <v>6.677644323278667E-2</v>
      </c>
      <c r="G34" s="219">
        <f>'Net Working Capital'!$L$36</f>
        <v>6.677644323278667E-2</v>
      </c>
      <c r="H34" s="219">
        <f>'Net Working Capital'!$L$36</f>
        <v>6.677644323278667E-2</v>
      </c>
      <c r="I34" s="219">
        <f>'Net Working Capital'!$L$36</f>
        <v>6.677644323278667E-2</v>
      </c>
      <c r="J34" s="219">
        <f>'Net Working Capital'!$L$36</f>
        <v>6.677644323278667E-2</v>
      </c>
      <c r="K34" s="219">
        <f>'Net Working Capital'!$L$36</f>
        <v>6.677644323278667E-2</v>
      </c>
      <c r="L34" s="219">
        <f>'Net Working Capital'!$L$36</f>
        <v>6.677644323278667E-2</v>
      </c>
      <c r="M34" s="219">
        <f>'Net Working Capital'!$L$36</f>
        <v>6.677644323278667E-2</v>
      </c>
    </row>
    <row r="35" spans="1:13" ht="15.75" customHeight="1">
      <c r="A35" s="54" t="s">
        <v>239</v>
      </c>
      <c r="B35" s="100" t="s">
        <v>275</v>
      </c>
      <c r="C35" s="54"/>
      <c r="D35" s="219">
        <f>'Net Working Capital'!$L$37</f>
        <v>4.7529494201066412E-2</v>
      </c>
      <c r="E35" s="219">
        <f>'Net Working Capital'!$L$37</f>
        <v>4.7529494201066412E-2</v>
      </c>
      <c r="F35" s="219">
        <f>'Net Working Capital'!$L$37</f>
        <v>4.7529494201066412E-2</v>
      </c>
      <c r="G35" s="219">
        <f>'Net Working Capital'!$L$37</f>
        <v>4.7529494201066412E-2</v>
      </c>
      <c r="H35" s="219">
        <f>'Net Working Capital'!$L$37</f>
        <v>4.7529494201066412E-2</v>
      </c>
      <c r="I35" s="219">
        <f>'Net Working Capital'!$L$37</f>
        <v>4.7529494201066412E-2</v>
      </c>
      <c r="J35" s="219">
        <f>'Net Working Capital'!$L$37</f>
        <v>4.7529494201066412E-2</v>
      </c>
      <c r="K35" s="219">
        <f>'Net Working Capital'!$L$37</f>
        <v>4.7529494201066412E-2</v>
      </c>
      <c r="L35" s="219">
        <f>'Net Working Capital'!$L$37</f>
        <v>4.7529494201066412E-2</v>
      </c>
      <c r="M35" s="219">
        <f>'Net Working Capital'!$L$37</f>
        <v>4.7529494201066412E-2</v>
      </c>
    </row>
    <row r="36" spans="1:13" ht="15.75" customHeight="1">
      <c r="A36" s="54" t="s">
        <v>401</v>
      </c>
      <c r="B36" s="100" t="s">
        <v>275</v>
      </c>
      <c r="C36" s="54"/>
      <c r="D36" s="219">
        <f>'Net Working Capital'!$L$38</f>
        <v>1.8586774386232571E-2</v>
      </c>
      <c r="E36" s="219">
        <f>'Net Working Capital'!$L$38</f>
        <v>1.8586774386232571E-2</v>
      </c>
      <c r="F36" s="219">
        <f>'Net Working Capital'!$L$38</f>
        <v>1.8586774386232571E-2</v>
      </c>
      <c r="G36" s="219">
        <f>'Net Working Capital'!$L$38</f>
        <v>1.8586774386232571E-2</v>
      </c>
      <c r="H36" s="219">
        <f>'Net Working Capital'!$L$38</f>
        <v>1.8586774386232571E-2</v>
      </c>
      <c r="I36" s="219">
        <f>'Net Working Capital'!$L$38</f>
        <v>1.8586774386232571E-2</v>
      </c>
      <c r="J36" s="219">
        <f>'Net Working Capital'!$L$38</f>
        <v>1.8586774386232571E-2</v>
      </c>
      <c r="K36" s="219">
        <f>'Net Working Capital'!$L$38</f>
        <v>1.8586774386232571E-2</v>
      </c>
      <c r="L36" s="219">
        <f>'Net Working Capital'!$L$38</f>
        <v>1.8586774386232571E-2</v>
      </c>
      <c r="M36" s="219">
        <f>'Net Working Capital'!$L$38</f>
        <v>1.8586774386232571E-2</v>
      </c>
    </row>
    <row r="37" spans="1:13" ht="15.75" customHeight="1">
      <c r="A37" s="49" t="s">
        <v>240</v>
      </c>
      <c r="B37" s="100" t="s">
        <v>275</v>
      </c>
      <c r="C37" s="54"/>
      <c r="D37" s="219">
        <f>'Net Working Capital'!$L$39</f>
        <v>0.85053696388482114</v>
      </c>
      <c r="E37" s="219">
        <f>'Net Working Capital'!$L$39</f>
        <v>0.85053696388482114</v>
      </c>
      <c r="F37" s="219">
        <f>'Net Working Capital'!$L$39</f>
        <v>0.85053696388482114</v>
      </c>
      <c r="G37" s="219">
        <f>'Net Working Capital'!$L$39</f>
        <v>0.85053696388482114</v>
      </c>
      <c r="H37" s="219">
        <f>'Net Working Capital'!$L$39</f>
        <v>0.85053696388482114</v>
      </c>
      <c r="I37" s="219">
        <f>'Net Working Capital'!$L$39</f>
        <v>0.85053696388482114</v>
      </c>
      <c r="J37" s="219">
        <f>'Net Working Capital'!$L$39</f>
        <v>0.85053696388482114</v>
      </c>
      <c r="K37" s="219">
        <f>'Net Working Capital'!$L$39</f>
        <v>0.85053696388482114</v>
      </c>
      <c r="L37" s="219">
        <f>'Net Working Capital'!$L$39</f>
        <v>0.85053696388482114</v>
      </c>
      <c r="M37" s="219">
        <f>'Net Working Capital'!$L$39</f>
        <v>0.85053696388482114</v>
      </c>
    </row>
    <row r="38" spans="1:13" ht="15.75" customHeight="1">
      <c r="A38" s="49" t="s">
        <v>241</v>
      </c>
      <c r="B38" s="100" t="s">
        <v>275</v>
      </c>
      <c r="C38" s="54"/>
      <c r="D38" s="219">
        <f>'Net Working Capital'!$L$40</f>
        <v>1.18929137781635E-2</v>
      </c>
      <c r="E38" s="219">
        <f>'Net Working Capital'!$L$40</f>
        <v>1.18929137781635E-2</v>
      </c>
      <c r="F38" s="219">
        <f>'Net Working Capital'!$L$40</f>
        <v>1.18929137781635E-2</v>
      </c>
      <c r="G38" s="219">
        <f>'Net Working Capital'!$L$40</f>
        <v>1.18929137781635E-2</v>
      </c>
      <c r="H38" s="219">
        <f>'Net Working Capital'!$L$40</f>
        <v>1.18929137781635E-2</v>
      </c>
      <c r="I38" s="219">
        <f>'Net Working Capital'!$L$40</f>
        <v>1.18929137781635E-2</v>
      </c>
      <c r="J38" s="219">
        <f>'Net Working Capital'!$L$40</f>
        <v>1.18929137781635E-2</v>
      </c>
      <c r="K38" s="219">
        <f>'Net Working Capital'!$L$40</f>
        <v>1.18929137781635E-2</v>
      </c>
      <c r="L38" s="219">
        <f>'Net Working Capital'!$L$40</f>
        <v>1.18929137781635E-2</v>
      </c>
      <c r="M38" s="219">
        <f>'Net Working Capital'!$L$40</f>
        <v>1.18929137781635E-2</v>
      </c>
    </row>
    <row r="39" spans="1:13" ht="15.75" customHeight="1">
      <c r="A39" s="49" t="s">
        <v>242</v>
      </c>
      <c r="B39" s="100" t="s">
        <v>515</v>
      </c>
      <c r="C39" s="54"/>
      <c r="D39" s="219">
        <f>'Net Working Capital'!$L$41</f>
        <v>7.7877078499819802E-3</v>
      </c>
      <c r="E39" s="219">
        <f>'Net Working Capital'!$L$41</f>
        <v>7.7877078499819802E-3</v>
      </c>
      <c r="F39" s="219">
        <f>'Net Working Capital'!$L$41</f>
        <v>7.7877078499819802E-3</v>
      </c>
      <c r="G39" s="219">
        <f>'Net Working Capital'!$L$41</f>
        <v>7.7877078499819802E-3</v>
      </c>
      <c r="H39" s="219">
        <f>'Net Working Capital'!$L$41</f>
        <v>7.7877078499819802E-3</v>
      </c>
      <c r="I39" s="219">
        <f>'Net Working Capital'!$L$41</f>
        <v>7.7877078499819802E-3</v>
      </c>
      <c r="J39" s="219">
        <f>'Net Working Capital'!$L$41</f>
        <v>7.7877078499819802E-3</v>
      </c>
      <c r="K39" s="219">
        <f>'Net Working Capital'!$L$41</f>
        <v>7.7877078499819802E-3</v>
      </c>
      <c r="L39" s="219">
        <f>'Net Working Capital'!$L$41</f>
        <v>7.7877078499819802E-3</v>
      </c>
      <c r="M39" s="219">
        <f>'Net Working Capital'!$L$41</f>
        <v>7.7877078499819802E-3</v>
      </c>
    </row>
    <row r="40" spans="1:13" ht="15.75" customHeight="1">
      <c r="A40" s="55" t="s">
        <v>291</v>
      </c>
      <c r="B40" s="100" t="s">
        <v>292</v>
      </c>
      <c r="D40" s="219">
        <f>'Fixed Asset Forecasting'!$K$4</f>
        <v>0.11679910429657742</v>
      </c>
      <c r="E40" s="219">
        <f>'Fixed Asset Forecasting'!$K$4</f>
        <v>0.11679910429657742</v>
      </c>
      <c r="F40" s="219">
        <f>'Fixed Asset Forecasting'!$K$4</f>
        <v>0.11679910429657742</v>
      </c>
      <c r="G40" s="219">
        <f>'Fixed Asset Forecasting'!$K$4</f>
        <v>0.11679910429657742</v>
      </c>
      <c r="H40" s="219">
        <f>'Fixed Asset Forecasting'!$K$4</f>
        <v>0.11679910429657742</v>
      </c>
      <c r="I40" s="219">
        <f>'Fixed Asset Forecasting'!$K$4</f>
        <v>0.11679910429657742</v>
      </c>
      <c r="J40" s="219">
        <f>'Fixed Asset Forecasting'!$K$4</f>
        <v>0.11679910429657742</v>
      </c>
      <c r="K40" s="219">
        <f>'Fixed Asset Forecasting'!$K$4</f>
        <v>0.11679910429657742</v>
      </c>
      <c r="L40" s="219">
        <f>'Fixed Asset Forecasting'!$K$4</f>
        <v>0.11679910429657742</v>
      </c>
      <c r="M40" s="219">
        <f>'Fixed Asset Forecasting'!$K$4</f>
        <v>0.11679910429657742</v>
      </c>
    </row>
    <row r="41" spans="1:13" ht="15.75" customHeight="1">
      <c r="A41" s="55" t="s">
        <v>293</v>
      </c>
      <c r="B41" s="100" t="s">
        <v>292</v>
      </c>
      <c r="D41" s="219">
        <f>'Fixed Asset Forecasting'!$K$12</f>
        <v>3.1186932391523595E-2</v>
      </c>
      <c r="E41" s="219">
        <f>'Fixed Asset Forecasting'!$K$12</f>
        <v>3.1186932391523595E-2</v>
      </c>
      <c r="F41" s="219">
        <f>'Fixed Asset Forecasting'!$K$12</f>
        <v>3.1186932391523595E-2</v>
      </c>
      <c r="G41" s="219">
        <f>'Fixed Asset Forecasting'!$K$12</f>
        <v>3.1186932391523595E-2</v>
      </c>
      <c r="H41" s="219">
        <f>'Fixed Asset Forecasting'!$K$12</f>
        <v>3.1186932391523595E-2</v>
      </c>
      <c r="I41" s="219">
        <f>'Fixed Asset Forecasting'!$K$12</f>
        <v>3.1186932391523595E-2</v>
      </c>
      <c r="J41" s="219">
        <f>'Fixed Asset Forecasting'!$K$12</f>
        <v>3.1186932391523595E-2</v>
      </c>
      <c r="K41" s="219">
        <f>'Fixed Asset Forecasting'!$K$12</f>
        <v>3.1186932391523595E-2</v>
      </c>
      <c r="L41" s="219">
        <f>'Fixed Asset Forecasting'!$K$12</f>
        <v>3.1186932391523595E-2</v>
      </c>
      <c r="M41" s="219">
        <f>'Fixed Asset Forecasting'!$K$12</f>
        <v>3.1186932391523595E-2</v>
      </c>
    </row>
    <row r="42" spans="1:13" ht="15.75" customHeight="1">
      <c r="A42" s="49" t="s">
        <v>253</v>
      </c>
      <c r="B42" s="100" t="s">
        <v>275</v>
      </c>
      <c r="D42" s="222">
        <f>'Net Working Capital'!$L$54</f>
        <v>24.493229830068529</v>
      </c>
      <c r="E42" s="222">
        <f>'Net Working Capital'!$L$54</f>
        <v>24.493229830068529</v>
      </c>
      <c r="F42" s="222">
        <f>'Net Working Capital'!$L$54</f>
        <v>24.493229830068529</v>
      </c>
      <c r="G42" s="222">
        <f>'Net Working Capital'!$L$54</f>
        <v>24.493229830068529</v>
      </c>
      <c r="H42" s="222">
        <f>'Net Working Capital'!$L$54</f>
        <v>24.493229830068529</v>
      </c>
      <c r="I42" s="222">
        <f>'Net Working Capital'!$L$54</f>
        <v>24.493229830068529</v>
      </c>
      <c r="J42" s="222">
        <f>'Net Working Capital'!$L$54</f>
        <v>24.493229830068529</v>
      </c>
      <c r="K42" s="222">
        <f>'Net Working Capital'!$L$54</f>
        <v>24.493229830068529</v>
      </c>
      <c r="L42" s="222">
        <f>'Net Working Capital'!$L$54</f>
        <v>24.493229830068529</v>
      </c>
      <c r="M42" s="222">
        <f>'Net Working Capital'!$L$54</f>
        <v>24.493229830068529</v>
      </c>
    </row>
    <row r="43" spans="1:13" ht="15.75" customHeight="1">
      <c r="A43" s="54" t="s">
        <v>243</v>
      </c>
      <c r="B43" s="100" t="s">
        <v>275</v>
      </c>
      <c r="C43" s="54"/>
      <c r="D43" s="219">
        <f>'Net Working Capital'!$L$42</f>
        <v>4.332603712782658E-2</v>
      </c>
      <c r="E43" s="219">
        <f>'Net Working Capital'!$L$42</f>
        <v>4.332603712782658E-2</v>
      </c>
      <c r="F43" s="219">
        <f>'Net Working Capital'!$L$42</f>
        <v>4.332603712782658E-2</v>
      </c>
      <c r="G43" s="219">
        <f>'Net Working Capital'!$L$42</f>
        <v>4.332603712782658E-2</v>
      </c>
      <c r="H43" s="219">
        <f>'Net Working Capital'!$L$42</f>
        <v>4.332603712782658E-2</v>
      </c>
      <c r="I43" s="219">
        <f>'Net Working Capital'!$L$42</f>
        <v>4.332603712782658E-2</v>
      </c>
      <c r="J43" s="219">
        <f>'Net Working Capital'!$L$42</f>
        <v>4.332603712782658E-2</v>
      </c>
      <c r="K43" s="219">
        <f>'Net Working Capital'!$L$42</f>
        <v>4.332603712782658E-2</v>
      </c>
      <c r="L43" s="219">
        <f>'Net Working Capital'!$L$42</f>
        <v>4.332603712782658E-2</v>
      </c>
      <c r="M43" s="219">
        <f>'Net Working Capital'!$L$42</f>
        <v>4.332603712782658E-2</v>
      </c>
    </row>
    <row r="44" spans="1:13" ht="15.75" customHeight="1">
      <c r="A44" s="49" t="s">
        <v>244</v>
      </c>
      <c r="B44" s="100" t="s">
        <v>275</v>
      </c>
      <c r="D44" s="219">
        <f>'Net Working Capital'!$L$43</f>
        <v>2.6011275586815586E-2</v>
      </c>
      <c r="E44" s="219">
        <f>'Net Working Capital'!$L$43</f>
        <v>2.6011275586815586E-2</v>
      </c>
      <c r="F44" s="219">
        <f>'Net Working Capital'!$L$43</f>
        <v>2.6011275586815586E-2</v>
      </c>
      <c r="G44" s="219">
        <f>'Net Working Capital'!$L$43</f>
        <v>2.6011275586815586E-2</v>
      </c>
      <c r="H44" s="219">
        <f>'Net Working Capital'!$L$43</f>
        <v>2.6011275586815586E-2</v>
      </c>
      <c r="I44" s="219">
        <f>'Net Working Capital'!$L$43</f>
        <v>2.6011275586815586E-2</v>
      </c>
      <c r="J44" s="219">
        <f>'Net Working Capital'!$L$43</f>
        <v>2.6011275586815586E-2</v>
      </c>
      <c r="K44" s="219">
        <f>'Net Working Capital'!$L$43</f>
        <v>2.6011275586815586E-2</v>
      </c>
      <c r="L44" s="219">
        <f>'Net Working Capital'!$L$43</f>
        <v>2.6011275586815586E-2</v>
      </c>
      <c r="M44" s="219">
        <f>'Net Working Capital'!$L$43</f>
        <v>2.6011275586815586E-2</v>
      </c>
    </row>
    <row r="45" spans="1:13" ht="15.75" customHeight="1">
      <c r="A45" s="54" t="s">
        <v>245</v>
      </c>
      <c r="B45" s="100" t="s">
        <v>275</v>
      </c>
      <c r="C45" s="54"/>
      <c r="D45" s="219">
        <f>'Net Working Capital'!$L$44</f>
        <v>2.106767932255103E-2</v>
      </c>
      <c r="E45" s="219">
        <f>'Net Working Capital'!$L$44</f>
        <v>2.106767932255103E-2</v>
      </c>
      <c r="F45" s="219">
        <f>'Net Working Capital'!$L$44</f>
        <v>2.106767932255103E-2</v>
      </c>
      <c r="G45" s="219">
        <f>'Net Working Capital'!$L$44</f>
        <v>2.106767932255103E-2</v>
      </c>
      <c r="H45" s="219">
        <f>'Net Working Capital'!$L$44</f>
        <v>2.106767932255103E-2</v>
      </c>
      <c r="I45" s="219">
        <f>'Net Working Capital'!$L$44</f>
        <v>2.106767932255103E-2</v>
      </c>
      <c r="J45" s="219">
        <f>'Net Working Capital'!$L$44</f>
        <v>2.106767932255103E-2</v>
      </c>
      <c r="K45" s="219">
        <f>'Net Working Capital'!$L$44</f>
        <v>2.106767932255103E-2</v>
      </c>
      <c r="L45" s="219">
        <f>'Net Working Capital'!$L$44</f>
        <v>2.106767932255103E-2</v>
      </c>
      <c r="M45" s="219">
        <f>'Net Working Capital'!$L$44</f>
        <v>2.106767932255103E-2</v>
      </c>
    </row>
    <row r="46" spans="1:13" ht="15.75" customHeight="1">
      <c r="A46" s="54" t="s">
        <v>246</v>
      </c>
      <c r="B46" s="100" t="s">
        <v>275</v>
      </c>
      <c r="C46" s="54"/>
      <c r="D46" s="219">
        <f>'Net Working Capital'!$L$45</f>
        <v>1.2294948001308476E-2</v>
      </c>
      <c r="E46" s="219">
        <f>'Net Working Capital'!$L$45</f>
        <v>1.2294948001308476E-2</v>
      </c>
      <c r="F46" s="219">
        <f>'Net Working Capital'!$L$45</f>
        <v>1.2294948001308476E-2</v>
      </c>
      <c r="G46" s="219">
        <f>'Net Working Capital'!$L$45</f>
        <v>1.2294948001308476E-2</v>
      </c>
      <c r="H46" s="219">
        <f>'Net Working Capital'!$L$45</f>
        <v>1.2294948001308476E-2</v>
      </c>
      <c r="I46" s="219">
        <f>'Net Working Capital'!$L$45</f>
        <v>1.2294948001308476E-2</v>
      </c>
      <c r="J46" s="219">
        <f>'Net Working Capital'!$L$45</f>
        <v>1.2294948001308476E-2</v>
      </c>
      <c r="K46" s="219">
        <f>'Net Working Capital'!$L$45</f>
        <v>1.2294948001308476E-2</v>
      </c>
      <c r="L46" s="219">
        <f>'Net Working Capital'!$L$45</f>
        <v>1.2294948001308476E-2</v>
      </c>
      <c r="M46" s="219">
        <f>'Net Working Capital'!$L$45</f>
        <v>1.2294948001308476E-2</v>
      </c>
    </row>
    <row r="47" spans="1:13" ht="15.75" customHeight="1">
      <c r="A47" s="49" t="s">
        <v>247</v>
      </c>
      <c r="B47" s="100" t="s">
        <v>275</v>
      </c>
      <c r="C47" s="54"/>
      <c r="D47" s="219">
        <f>'Net Working Capital'!$L$46</f>
        <v>5.4243561861762976E-2</v>
      </c>
      <c r="E47" s="219">
        <f>'Net Working Capital'!$L$46</f>
        <v>5.4243561861762976E-2</v>
      </c>
      <c r="F47" s="219">
        <f>'Net Working Capital'!$L$46</f>
        <v>5.4243561861762976E-2</v>
      </c>
      <c r="G47" s="219">
        <f>'Net Working Capital'!$L$46</f>
        <v>5.4243561861762976E-2</v>
      </c>
      <c r="H47" s="219">
        <f>'Net Working Capital'!$L$46</f>
        <v>5.4243561861762976E-2</v>
      </c>
      <c r="I47" s="219">
        <f>'Net Working Capital'!$L$46</f>
        <v>5.4243561861762976E-2</v>
      </c>
      <c r="J47" s="219">
        <f>'Net Working Capital'!$L$46</f>
        <v>5.4243561861762976E-2</v>
      </c>
      <c r="K47" s="219">
        <f>'Net Working Capital'!$L$46</f>
        <v>5.4243561861762976E-2</v>
      </c>
      <c r="L47" s="219">
        <f>'Net Working Capital'!$L$46</f>
        <v>5.4243561861762976E-2</v>
      </c>
      <c r="M47" s="219">
        <f>'Net Working Capital'!$L$46</f>
        <v>5.4243561861762976E-2</v>
      </c>
    </row>
    <row r="48" spans="1:13" ht="15.75" customHeight="1">
      <c r="A48" s="54" t="s">
        <v>248</v>
      </c>
      <c r="B48" s="100" t="s">
        <v>275</v>
      </c>
      <c r="C48" s="54"/>
      <c r="D48" s="219">
        <f>'Net Working Capital'!$L$47</f>
        <v>4.3419725155751564E-2</v>
      </c>
      <c r="E48" s="219">
        <f>'Net Working Capital'!$L$47</f>
        <v>4.3419725155751564E-2</v>
      </c>
      <c r="F48" s="219">
        <f>'Net Working Capital'!$L$47</f>
        <v>4.3419725155751564E-2</v>
      </c>
      <c r="G48" s="219">
        <f>'Net Working Capital'!$L$47</f>
        <v>4.3419725155751564E-2</v>
      </c>
      <c r="H48" s="219">
        <f>'Net Working Capital'!$L$47</f>
        <v>4.3419725155751564E-2</v>
      </c>
      <c r="I48" s="219">
        <f>'Net Working Capital'!$L$47</f>
        <v>4.3419725155751564E-2</v>
      </c>
      <c r="J48" s="219">
        <f>'Net Working Capital'!$L$47</f>
        <v>4.3419725155751564E-2</v>
      </c>
      <c r="K48" s="219">
        <f>'Net Working Capital'!$L$47</f>
        <v>4.3419725155751564E-2</v>
      </c>
      <c r="L48" s="219">
        <f>'Net Working Capital'!$L$47</f>
        <v>4.3419725155751564E-2</v>
      </c>
      <c r="M48" s="219">
        <f>'Net Working Capital'!$L$47</f>
        <v>4.3419725155751564E-2</v>
      </c>
    </row>
    <row r="49" spans="1:13" ht="15.75" customHeight="1">
      <c r="A49" s="55" t="s">
        <v>294</v>
      </c>
      <c r="B49" s="100" t="s">
        <v>295</v>
      </c>
      <c r="C49" s="55"/>
      <c r="D49" s="219">
        <f>D7</f>
        <v>0.03</v>
      </c>
      <c r="E49" s="219">
        <f t="shared" ref="E49:M49" si="11">E7</f>
        <v>0.03</v>
      </c>
      <c r="F49" s="219">
        <f t="shared" si="11"/>
        <v>0.03</v>
      </c>
      <c r="G49" s="219">
        <f t="shared" si="11"/>
        <v>0.03</v>
      </c>
      <c r="H49" s="219">
        <f t="shared" si="11"/>
        <v>0.03</v>
      </c>
      <c r="I49" s="219">
        <f t="shared" si="11"/>
        <v>0.03</v>
      </c>
      <c r="J49" s="219">
        <f t="shared" si="11"/>
        <v>0.03</v>
      </c>
      <c r="K49" s="219">
        <f t="shared" si="11"/>
        <v>0.03</v>
      </c>
      <c r="L49" s="219">
        <f t="shared" si="11"/>
        <v>0.03</v>
      </c>
      <c r="M49" s="219">
        <f t="shared" si="11"/>
        <v>0.03</v>
      </c>
    </row>
    <row r="50" spans="1:13" ht="15.75" customHeight="1">
      <c r="A50" s="63" t="s">
        <v>296</v>
      </c>
      <c r="B50" s="100" t="s">
        <v>476</v>
      </c>
      <c r="C50" s="55"/>
      <c r="D50" s="229">
        <f>WACC!B3</f>
        <v>1136900000</v>
      </c>
      <c r="E50" s="229">
        <f>D50-D51</f>
        <v>1124900000</v>
      </c>
      <c r="F50" s="229">
        <f>E50-E51</f>
        <v>1114900000</v>
      </c>
      <c r="G50" s="229">
        <f>F50-F51</f>
        <v>1104900000</v>
      </c>
      <c r="H50" s="229">
        <f t="shared" ref="H50:M50" si="12">G50-G51</f>
        <v>1094900000</v>
      </c>
      <c r="I50" s="229">
        <f t="shared" si="12"/>
        <v>1084900000</v>
      </c>
      <c r="J50" s="229">
        <f t="shared" si="12"/>
        <v>1074900000</v>
      </c>
      <c r="K50" s="229">
        <f t="shared" si="12"/>
        <v>1064900000</v>
      </c>
      <c r="L50" s="229">
        <f t="shared" si="12"/>
        <v>1054900000</v>
      </c>
      <c r="M50" s="229">
        <f t="shared" si="12"/>
        <v>1044900000</v>
      </c>
    </row>
    <row r="51" spans="1:13" ht="15.75" customHeight="1">
      <c r="A51" s="63" t="s">
        <v>297</v>
      </c>
      <c r="B51" s="100" t="s">
        <v>475</v>
      </c>
      <c r="C51" s="228"/>
      <c r="D51" s="229">
        <v>12000000</v>
      </c>
      <c r="E51" s="229">
        <v>10000000</v>
      </c>
      <c r="F51" s="229">
        <f>E51</f>
        <v>10000000</v>
      </c>
      <c r="G51" s="229">
        <f t="shared" ref="G51:M51" si="13">F51</f>
        <v>10000000</v>
      </c>
      <c r="H51" s="229">
        <f t="shared" si="13"/>
        <v>10000000</v>
      </c>
      <c r="I51" s="229">
        <f t="shared" si="13"/>
        <v>10000000</v>
      </c>
      <c r="J51" s="229">
        <f t="shared" si="13"/>
        <v>10000000</v>
      </c>
      <c r="K51" s="229">
        <f t="shared" si="13"/>
        <v>10000000</v>
      </c>
      <c r="L51" s="229">
        <f t="shared" si="13"/>
        <v>10000000</v>
      </c>
      <c r="M51" s="229">
        <f t="shared" si="13"/>
        <v>10000000</v>
      </c>
    </row>
    <row r="52" spans="1:13" ht="15.75" customHeight="1">
      <c r="A52" s="63" t="s">
        <v>298</v>
      </c>
      <c r="B52" s="100"/>
      <c r="C52" s="55"/>
      <c r="D52" s="229">
        <v>100</v>
      </c>
      <c r="E52" s="229">
        <v>100</v>
      </c>
      <c r="F52" s="229">
        <f>E52</f>
        <v>100</v>
      </c>
      <c r="G52" s="229">
        <f t="shared" ref="G52:M52" si="14">F52</f>
        <v>100</v>
      </c>
      <c r="H52" s="229">
        <f t="shared" si="14"/>
        <v>100</v>
      </c>
      <c r="I52" s="229">
        <f t="shared" si="14"/>
        <v>100</v>
      </c>
      <c r="J52" s="229">
        <f t="shared" si="14"/>
        <v>100</v>
      </c>
      <c r="K52" s="229">
        <f t="shared" si="14"/>
        <v>100</v>
      </c>
      <c r="L52" s="229">
        <f t="shared" si="14"/>
        <v>100</v>
      </c>
      <c r="M52" s="229">
        <f t="shared" si="14"/>
        <v>100</v>
      </c>
    </row>
    <row r="53" spans="1:13" ht="15">
      <c r="A53" s="63" t="s">
        <v>161</v>
      </c>
      <c r="B53" s="100" t="s">
        <v>477</v>
      </c>
      <c r="C53" s="230">
        <f>'Dividend Forecasting'!K3</f>
        <v>2.3199999999999998</v>
      </c>
      <c r="D53" s="206">
        <f>C53*(1+6%)</f>
        <v>2.4592000000000001</v>
      </c>
      <c r="E53" s="206">
        <f t="shared" ref="E53:L53" si="15">D53*(1+6%)</f>
        <v>2.6067520000000002</v>
      </c>
      <c r="F53" s="206">
        <f t="shared" si="15"/>
        <v>2.7631571200000002</v>
      </c>
      <c r="G53" s="206">
        <f t="shared" si="15"/>
        <v>2.9289465472000002</v>
      </c>
      <c r="H53" s="206">
        <f t="shared" si="15"/>
        <v>3.1046833400320004</v>
      </c>
      <c r="I53" s="206">
        <f t="shared" si="15"/>
        <v>3.2909643404339204</v>
      </c>
      <c r="J53" s="206">
        <f t="shared" si="15"/>
        <v>3.4884222008599557</v>
      </c>
      <c r="K53" s="206">
        <f t="shared" si="15"/>
        <v>3.6977275329115531</v>
      </c>
      <c r="L53" s="206">
        <f t="shared" si="15"/>
        <v>3.9195911848862464</v>
      </c>
      <c r="M53" s="206">
        <f>L53*(1+6%)</f>
        <v>4.1547666559794214</v>
      </c>
    </row>
    <row r="54" spans="1:13" ht="15.75" customHeight="1">
      <c r="A54" s="55"/>
      <c r="B54" s="100"/>
      <c r="C54" s="55"/>
      <c r="D54" s="58"/>
      <c r="E54" s="58"/>
      <c r="F54" s="58"/>
      <c r="G54" s="58"/>
      <c r="H54" s="58"/>
      <c r="I54" s="58"/>
      <c r="J54" s="58"/>
      <c r="K54" s="58"/>
      <c r="L54" s="58"/>
      <c r="M54" s="58"/>
    </row>
    <row r="56" spans="1:13" ht="15.75" customHeight="1">
      <c r="A56" s="51" t="s">
        <v>299</v>
      </c>
      <c r="B56" s="240"/>
      <c r="C56" s="51"/>
    </row>
    <row r="58" spans="1:13" ht="15.75" customHeight="1">
      <c r="A58" s="168" t="s">
        <v>300</v>
      </c>
      <c r="B58" s="168"/>
      <c r="C58" s="166"/>
      <c r="D58" s="168">
        <f t="shared" ref="D58:M58" si="16">D3</f>
        <v>2025</v>
      </c>
      <c r="E58" s="168">
        <f t="shared" si="16"/>
        <v>2026</v>
      </c>
      <c r="F58" s="168">
        <f t="shared" si="16"/>
        <v>2027</v>
      </c>
      <c r="G58" s="168">
        <f t="shared" si="16"/>
        <v>2028</v>
      </c>
      <c r="H58" s="168">
        <f t="shared" si="16"/>
        <v>2029</v>
      </c>
      <c r="I58" s="168">
        <f t="shared" si="16"/>
        <v>2030</v>
      </c>
      <c r="J58" s="168">
        <f t="shared" si="16"/>
        <v>2031</v>
      </c>
      <c r="K58" s="168">
        <f t="shared" si="16"/>
        <v>2032</v>
      </c>
      <c r="L58" s="168">
        <f t="shared" si="16"/>
        <v>2033</v>
      </c>
      <c r="M58" s="168">
        <f t="shared" si="16"/>
        <v>2034</v>
      </c>
    </row>
    <row r="59" spans="1:13" ht="15">
      <c r="A59" s="54" t="s">
        <v>479</v>
      </c>
      <c r="B59" s="67" t="s">
        <v>480</v>
      </c>
      <c r="C59" s="54"/>
      <c r="D59" s="231">
        <f>D10</f>
        <v>39437.329573473347</v>
      </c>
      <c r="E59" s="231">
        <f t="shared" ref="E59:M59" si="17">E10</f>
        <v>41861.963248655149</v>
      </c>
      <c r="F59" s="231">
        <f t="shared" si="17"/>
        <v>44396.581347731742</v>
      </c>
      <c r="G59" s="231">
        <f t="shared" si="17"/>
        <v>47045.600765829142</v>
      </c>
      <c r="H59" s="231">
        <f t="shared" si="17"/>
        <v>49813.604425799414</v>
      </c>
      <c r="I59" s="231">
        <f t="shared" si="17"/>
        <v>52705.347264679229</v>
      </c>
      <c r="J59" s="231">
        <f t="shared" si="17"/>
        <v>55725.762429908034</v>
      </c>
      <c r="K59" s="231">
        <f t="shared" si="17"/>
        <v>58879.967692512357</v>
      </c>
      <c r="L59" s="231">
        <f t="shared" si="17"/>
        <v>62173.272084686017</v>
      </c>
      <c r="M59" s="231">
        <f t="shared" si="17"/>
        <v>65611.182769466846</v>
      </c>
    </row>
    <row r="60" spans="1:13" ht="15.75" customHeight="1">
      <c r="A60" s="51" t="s">
        <v>135</v>
      </c>
      <c r="B60" s="240"/>
      <c r="C60" s="54"/>
      <c r="D60" s="232">
        <f>D59</f>
        <v>39437.329573473347</v>
      </c>
      <c r="E60" s="232">
        <f t="shared" ref="E60:M60" si="18">E59</f>
        <v>41861.963248655149</v>
      </c>
      <c r="F60" s="232">
        <f t="shared" si="18"/>
        <v>44396.581347731742</v>
      </c>
      <c r="G60" s="232">
        <f t="shared" si="18"/>
        <v>47045.600765829142</v>
      </c>
      <c r="H60" s="232">
        <f t="shared" si="18"/>
        <v>49813.604425799414</v>
      </c>
      <c r="I60" s="232">
        <f t="shared" si="18"/>
        <v>52705.347264679229</v>
      </c>
      <c r="J60" s="232">
        <f t="shared" si="18"/>
        <v>55725.762429908034</v>
      </c>
      <c r="K60" s="232">
        <f t="shared" si="18"/>
        <v>58879.967692512357</v>
      </c>
      <c r="L60" s="232">
        <f t="shared" si="18"/>
        <v>62173.272084686017</v>
      </c>
      <c r="M60" s="232">
        <f t="shared" si="18"/>
        <v>65611.182769466846</v>
      </c>
    </row>
    <row r="61" spans="1:13" ht="15.75" customHeight="1">
      <c r="A61" s="54" t="s">
        <v>393</v>
      </c>
      <c r="C61" s="54"/>
      <c r="D61" s="232">
        <f>D17*D60</f>
        <v>28301.972885185751</v>
      </c>
      <c r="E61" s="232">
        <f t="shared" ref="E61:M61" si="19">E17*E60</f>
        <v>30041.997305542565</v>
      </c>
      <c r="F61" s="232">
        <f t="shared" si="19"/>
        <v>31860.951415524127</v>
      </c>
      <c r="G61" s="232">
        <f t="shared" si="19"/>
        <v>33762.004974529598</v>
      </c>
      <c r="H61" s="232">
        <f t="shared" si="19"/>
        <v>35748.44689080141</v>
      </c>
      <c r="I61" s="232">
        <f t="shared" si="19"/>
        <v>37823.689517572871</v>
      </c>
      <c r="J61" s="232">
        <f t="shared" si="19"/>
        <v>39991.273099748483</v>
      </c>
      <c r="K61" s="232">
        <f t="shared" si="19"/>
        <v>42254.870376288811</v>
      </c>
      <c r="L61" s="232">
        <f t="shared" si="19"/>
        <v>44618.29134363179</v>
      </c>
      <c r="M61" s="232">
        <f t="shared" si="19"/>
        <v>47085.488185676688</v>
      </c>
    </row>
    <row r="62" spans="1:13" ht="15.75" customHeight="1">
      <c r="A62" s="48" t="s">
        <v>136</v>
      </c>
      <c r="B62" s="240"/>
      <c r="C62" s="54"/>
      <c r="D62" s="232">
        <f>D60-D61</f>
        <v>11135.356688287597</v>
      </c>
      <c r="E62" s="232">
        <f t="shared" ref="E62:M62" si="20">E60-E61</f>
        <v>11819.965943112584</v>
      </c>
      <c r="F62" s="232">
        <f t="shared" si="20"/>
        <v>12535.629932207616</v>
      </c>
      <c r="G62" s="232">
        <f t="shared" si="20"/>
        <v>13283.595791299544</v>
      </c>
      <c r="H62" s="232">
        <f t="shared" si="20"/>
        <v>14065.157534998005</v>
      </c>
      <c r="I62" s="232">
        <f t="shared" si="20"/>
        <v>14881.657747106357</v>
      </c>
      <c r="J62" s="232">
        <f t="shared" si="20"/>
        <v>15734.489330159551</v>
      </c>
      <c r="K62" s="232">
        <f t="shared" si="20"/>
        <v>16625.097316223546</v>
      </c>
      <c r="L62" s="232">
        <f t="shared" si="20"/>
        <v>17554.980741054227</v>
      </c>
      <c r="M62" s="232">
        <f t="shared" si="20"/>
        <v>18525.694583790159</v>
      </c>
    </row>
    <row r="63" spans="1:13" ht="15.75" customHeight="1">
      <c r="A63" s="54" t="s">
        <v>137</v>
      </c>
      <c r="C63" s="54"/>
      <c r="D63" s="232">
        <f>D18*D59</f>
        <v>2633.484599515742</v>
      </c>
      <c r="E63" s="232">
        <f t="shared" ref="E63:M63" si="21">E18*E59</f>
        <v>2795.3930124868225</v>
      </c>
      <c r="F63" s="232">
        <f t="shared" si="21"/>
        <v>2964.6457940966043</v>
      </c>
      <c r="G63" s="232">
        <f t="shared" si="21"/>
        <v>3141.5378888917348</v>
      </c>
      <c r="H63" s="232">
        <f t="shared" si="21"/>
        <v>3326.3753281598856</v>
      </c>
      <c r="I63" s="232">
        <f t="shared" si="21"/>
        <v>3519.4756296841606</v>
      </c>
      <c r="J63" s="232">
        <f t="shared" si="21"/>
        <v>3721.1682115045101</v>
      </c>
      <c r="K63" s="232">
        <f t="shared" si="21"/>
        <v>3931.7948201673644</v>
      </c>
      <c r="L63" s="232">
        <f t="shared" si="21"/>
        <v>4151.709973959636</v>
      </c>
      <c r="M63" s="232">
        <f t="shared" si="21"/>
        <v>4381.2814216412935</v>
      </c>
    </row>
    <row r="64" spans="1:13" ht="15.75" customHeight="1">
      <c r="A64" s="54" t="s">
        <v>138</v>
      </c>
      <c r="C64" s="54"/>
      <c r="D64" s="232">
        <f>D19*D59</f>
        <v>1874.4363272679464</v>
      </c>
      <c r="E64" s="232">
        <f t="shared" ref="E64:M64" si="22">E19*E59</f>
        <v>1989.6779394722103</v>
      </c>
      <c r="F64" s="232">
        <f t="shared" si="22"/>
        <v>2110.1470557141893</v>
      </c>
      <c r="G64" s="232">
        <f t="shared" si="22"/>
        <v>2236.0536087851619</v>
      </c>
      <c r="H64" s="232">
        <f t="shared" si="22"/>
        <v>2367.6154226902495</v>
      </c>
      <c r="I64" s="232">
        <f t="shared" si="22"/>
        <v>2505.058497181763</v>
      </c>
      <c r="J64" s="232">
        <f t="shared" si="22"/>
        <v>2648.6173022623184</v>
      </c>
      <c r="K64" s="232">
        <f t="shared" si="22"/>
        <v>2798.535083000244</v>
      </c>
      <c r="L64" s="232">
        <f t="shared" si="22"/>
        <v>2955.0641750104082</v>
      </c>
      <c r="M64" s="232">
        <f t="shared" si="22"/>
        <v>3118.4663309664829</v>
      </c>
    </row>
    <row r="65" spans="1:13" ht="15.75" customHeight="1">
      <c r="A65" s="54" t="s">
        <v>371</v>
      </c>
      <c r="C65" s="54"/>
      <c r="D65" s="232">
        <f>D59*D36</f>
        <v>733.0127471776467</v>
      </c>
      <c r="E65" s="232">
        <f t="shared" ref="E65:M65" si="23">E59*E36</f>
        <v>778.07886626751269</v>
      </c>
      <c r="F65" s="232">
        <f t="shared" si="23"/>
        <v>825.189241030311</v>
      </c>
      <c r="G65" s="232">
        <f t="shared" si="23"/>
        <v>874.4259672992365</v>
      </c>
      <c r="H65" s="232">
        <f t="shared" si="23"/>
        <v>925.87422682736997</v>
      </c>
      <c r="I65" s="232">
        <f t="shared" si="23"/>
        <v>979.62239855663279</v>
      </c>
      <c r="J65" s="232">
        <f t="shared" si="23"/>
        <v>1035.7621737854959</v>
      </c>
      <c r="K65" s="232">
        <f t="shared" si="23"/>
        <v>1094.3886753693901</v>
      </c>
      <c r="L65" s="232">
        <f t="shared" si="23"/>
        <v>1155.6005810919105</v>
      </c>
      <c r="M65" s="232">
        <f t="shared" si="23"/>
        <v>1219.5002513499501</v>
      </c>
    </row>
    <row r="66" spans="1:13" s="48" customFormat="1" ht="15.75" customHeight="1">
      <c r="A66" s="54" t="s">
        <v>139</v>
      </c>
      <c r="B66" s="67"/>
      <c r="C66" s="54"/>
      <c r="D66" s="232">
        <f>SUM(D63:D65)</f>
        <v>5240.9336739613354</v>
      </c>
      <c r="E66" s="232">
        <f t="shared" ref="E66:M66" si="24">SUM(E63:E65)</f>
        <v>5563.1498182265459</v>
      </c>
      <c r="F66" s="232">
        <f t="shared" si="24"/>
        <v>5899.9820908411048</v>
      </c>
      <c r="G66" s="232">
        <f t="shared" si="24"/>
        <v>6252.0174649761329</v>
      </c>
      <c r="H66" s="232">
        <f t="shared" si="24"/>
        <v>6619.8649776775046</v>
      </c>
      <c r="I66" s="232">
        <f t="shared" si="24"/>
        <v>7004.1565254225561</v>
      </c>
      <c r="J66" s="232">
        <f t="shared" si="24"/>
        <v>7405.5476875523245</v>
      </c>
      <c r="K66" s="232">
        <f t="shared" si="24"/>
        <v>7824.7185785369984</v>
      </c>
      <c r="L66" s="232">
        <f t="shared" si="24"/>
        <v>8262.3747300619543</v>
      </c>
      <c r="M66" s="232">
        <f t="shared" si="24"/>
        <v>8719.2480039577258</v>
      </c>
    </row>
    <row r="67" spans="1:13" ht="15.75" customHeight="1" thickBot="1">
      <c r="A67" s="215" t="s">
        <v>381</v>
      </c>
      <c r="B67" s="241"/>
      <c r="C67" s="215"/>
      <c r="D67" s="211">
        <f>D62-D66</f>
        <v>5894.4230143262612</v>
      </c>
      <c r="E67" s="211">
        <f t="shared" ref="E67:M67" si="25">E62-E66</f>
        <v>6256.8161248860379</v>
      </c>
      <c r="F67" s="211">
        <f t="shared" si="25"/>
        <v>6635.6478413665109</v>
      </c>
      <c r="G67" s="211">
        <f t="shared" si="25"/>
        <v>7031.5783263234107</v>
      </c>
      <c r="H67" s="211">
        <f t="shared" si="25"/>
        <v>7445.2925573205002</v>
      </c>
      <c r="I67" s="211">
        <f t="shared" si="25"/>
        <v>7877.5012216838013</v>
      </c>
      <c r="J67" s="211">
        <f t="shared" si="25"/>
        <v>8328.9416426072275</v>
      </c>
      <c r="K67" s="211">
        <f t="shared" si="25"/>
        <v>8800.3787376865475</v>
      </c>
      <c r="L67" s="211">
        <f t="shared" si="25"/>
        <v>9292.6060109922728</v>
      </c>
      <c r="M67" s="211">
        <f t="shared" si="25"/>
        <v>9806.4465798324327</v>
      </c>
    </row>
    <row r="68" spans="1:13" ht="15">
      <c r="A68" s="49" t="s">
        <v>142</v>
      </c>
      <c r="B68" s="67" t="s">
        <v>301</v>
      </c>
      <c r="C68" s="54"/>
      <c r="D68" s="234">
        <f>(D22*D23)+(D24*D25)+(D26*D100)</f>
        <v>632.12771546567274</v>
      </c>
      <c r="E68" s="234">
        <f t="shared" ref="E68:M68" si="26">(E22*E23)+(E24*E25)+(E26*E100)</f>
        <v>593.61698489631317</v>
      </c>
      <c r="F68" s="234">
        <f t="shared" si="26"/>
        <v>564.70921279887284</v>
      </c>
      <c r="G68" s="234">
        <f t="shared" si="26"/>
        <v>644.11254983917945</v>
      </c>
      <c r="H68" s="234">
        <f t="shared" si="26"/>
        <v>742.53545306038541</v>
      </c>
      <c r="I68" s="234">
        <f t="shared" si="26"/>
        <v>756.4216969300096</v>
      </c>
      <c r="J68" s="234">
        <f t="shared" si="26"/>
        <v>770.54538477405583</v>
      </c>
      <c r="K68" s="234">
        <f t="shared" si="26"/>
        <v>5588.3159606115078</v>
      </c>
      <c r="L68" s="234">
        <f t="shared" si="26"/>
        <v>1011.0432214029101</v>
      </c>
      <c r="M68" s="234">
        <f t="shared" si="26"/>
        <v>1044.7373297272466</v>
      </c>
    </row>
    <row r="69" spans="1:13" ht="15.75" customHeight="1">
      <c r="A69" s="10" t="s">
        <v>514</v>
      </c>
      <c r="B69" s="240"/>
      <c r="C69" s="54"/>
      <c r="D69" s="232">
        <f>D67-D68</f>
        <v>5262.2952988605884</v>
      </c>
      <c r="E69" s="232">
        <f t="shared" ref="E69:M69" si="27">E67-E68</f>
        <v>5663.1991399897252</v>
      </c>
      <c r="F69" s="232">
        <f t="shared" si="27"/>
        <v>6070.9386285676383</v>
      </c>
      <c r="G69" s="232">
        <f t="shared" si="27"/>
        <v>6387.4657764842314</v>
      </c>
      <c r="H69" s="232">
        <f t="shared" si="27"/>
        <v>6702.7571042601148</v>
      </c>
      <c r="I69" s="232">
        <f t="shared" si="27"/>
        <v>7121.0795247537917</v>
      </c>
      <c r="J69" s="232">
        <f t="shared" si="27"/>
        <v>7558.3962578331721</v>
      </c>
      <c r="K69" s="232">
        <f t="shared" si="27"/>
        <v>3212.0627770750398</v>
      </c>
      <c r="L69" s="232">
        <f t="shared" si="27"/>
        <v>8281.5627895893631</v>
      </c>
      <c r="M69" s="232">
        <f t="shared" si="27"/>
        <v>8761.7092501051866</v>
      </c>
    </row>
    <row r="70" spans="1:13" ht="15.75" customHeight="1">
      <c r="A70" s="49" t="s">
        <v>148</v>
      </c>
      <c r="C70" s="54"/>
      <c r="D70" s="232">
        <f>D28*D69</f>
        <v>1631.3115426467823</v>
      </c>
      <c r="E70" s="232">
        <f t="shared" ref="E70:M70" si="28">E28*E69</f>
        <v>1755.5917333968148</v>
      </c>
      <c r="F70" s="232">
        <f t="shared" si="28"/>
        <v>1881.9909748559678</v>
      </c>
      <c r="G70" s="232">
        <f t="shared" si="28"/>
        <v>1980.1143907101116</v>
      </c>
      <c r="H70" s="232">
        <f t="shared" si="28"/>
        <v>2077.8547023206356</v>
      </c>
      <c r="I70" s="232">
        <f t="shared" si="28"/>
        <v>2207.5346526736753</v>
      </c>
      <c r="J70" s="232">
        <f t="shared" si="28"/>
        <v>2343.1028399282832</v>
      </c>
      <c r="K70" s="232">
        <f t="shared" si="28"/>
        <v>995.73946089326228</v>
      </c>
      <c r="L70" s="232">
        <f t="shared" si="28"/>
        <v>2567.2844647727024</v>
      </c>
      <c r="M70" s="232">
        <f t="shared" si="28"/>
        <v>2716.1298675326079</v>
      </c>
    </row>
    <row r="71" spans="1:13" ht="15.75" customHeight="1">
      <c r="A71" s="10" t="s">
        <v>386</v>
      </c>
      <c r="C71" s="54"/>
      <c r="D71" s="232">
        <f>D69-D70</f>
        <v>3630.9837562138064</v>
      </c>
      <c r="E71" s="232">
        <f t="shared" ref="E71:M71" si="29">E69-E70</f>
        <v>3907.6074065929106</v>
      </c>
      <c r="F71" s="232">
        <f t="shared" si="29"/>
        <v>4188.9476537116707</v>
      </c>
      <c r="G71" s="232">
        <f t="shared" si="29"/>
        <v>4407.35138577412</v>
      </c>
      <c r="H71" s="232">
        <f t="shared" si="29"/>
        <v>4624.9024019394792</v>
      </c>
      <c r="I71" s="232">
        <f t="shared" si="29"/>
        <v>4913.544872080116</v>
      </c>
      <c r="J71" s="232">
        <f t="shared" si="29"/>
        <v>5215.2934179048889</v>
      </c>
      <c r="K71" s="232">
        <f t="shared" si="29"/>
        <v>2216.3233161817775</v>
      </c>
      <c r="L71" s="232">
        <f t="shared" si="29"/>
        <v>5714.2783248166606</v>
      </c>
      <c r="M71" s="232">
        <f t="shared" si="29"/>
        <v>6045.5793825725787</v>
      </c>
    </row>
    <row r="72" spans="1:13" ht="15.75" customHeight="1" thickBot="1">
      <c r="A72" s="121" t="s">
        <v>150</v>
      </c>
      <c r="B72" s="242"/>
      <c r="C72" s="237"/>
      <c r="D72" s="211">
        <f>D71</f>
        <v>3630.9837562138064</v>
      </c>
      <c r="E72" s="211">
        <f t="shared" ref="E72:M72" si="30">E71</f>
        <v>3907.6074065929106</v>
      </c>
      <c r="F72" s="211">
        <f t="shared" si="30"/>
        <v>4188.9476537116707</v>
      </c>
      <c r="G72" s="211">
        <f t="shared" si="30"/>
        <v>4407.35138577412</v>
      </c>
      <c r="H72" s="211">
        <f t="shared" si="30"/>
        <v>4624.9024019394792</v>
      </c>
      <c r="I72" s="211">
        <f t="shared" si="30"/>
        <v>4913.544872080116</v>
      </c>
      <c r="J72" s="211">
        <f t="shared" si="30"/>
        <v>5215.2934179048889</v>
      </c>
      <c r="K72" s="211">
        <f t="shared" si="30"/>
        <v>2216.3233161817775</v>
      </c>
      <c r="L72" s="211">
        <f t="shared" si="30"/>
        <v>5714.2783248166606</v>
      </c>
      <c r="M72" s="211">
        <f t="shared" si="30"/>
        <v>6045.5793825725787</v>
      </c>
    </row>
    <row r="73" spans="1:13" ht="15.75" customHeight="1">
      <c r="A73" s="10"/>
      <c r="B73" s="240"/>
      <c r="C73" s="54"/>
      <c r="D73" s="232"/>
      <c r="E73" s="232"/>
      <c r="F73" s="232"/>
      <c r="G73" s="232"/>
      <c r="H73" s="232"/>
      <c r="I73" s="232"/>
      <c r="J73" s="232"/>
      <c r="K73" s="232"/>
      <c r="L73" s="232"/>
      <c r="M73" s="232"/>
    </row>
    <row r="74" spans="1:13" ht="15.75" customHeight="1">
      <c r="A74" s="54" t="s">
        <v>302</v>
      </c>
      <c r="B74" s="67" t="s">
        <v>484</v>
      </c>
      <c r="C74" s="54"/>
      <c r="D74" s="232">
        <f>D50*D53/1000000</f>
        <v>2795.8644800000002</v>
      </c>
      <c r="E74" s="232">
        <f t="shared" ref="E74:M74" si="31">E50*E53/1000000</f>
        <v>2932.3353248000003</v>
      </c>
      <c r="F74" s="232">
        <f t="shared" si="31"/>
        <v>3080.6438730880004</v>
      </c>
      <c r="G74" s="232">
        <f t="shared" si="31"/>
        <v>3236.1930400012802</v>
      </c>
      <c r="H74" s="232">
        <f t="shared" si="31"/>
        <v>3399.317789001037</v>
      </c>
      <c r="I74" s="232">
        <f t="shared" si="31"/>
        <v>3570.3672129367606</v>
      </c>
      <c r="J74" s="232">
        <f t="shared" si="31"/>
        <v>3749.7050237043663</v>
      </c>
      <c r="K74" s="232">
        <f t="shared" si="31"/>
        <v>3937.710049797513</v>
      </c>
      <c r="L74" s="232">
        <f t="shared" si="31"/>
        <v>4134.7767409365015</v>
      </c>
      <c r="M74" s="232">
        <f t="shared" si="31"/>
        <v>4341.315678832897</v>
      </c>
    </row>
    <row r="75" spans="1:13" ht="15.75" customHeight="1">
      <c r="A75" s="54" t="s">
        <v>303</v>
      </c>
      <c r="B75" s="67" t="s">
        <v>485</v>
      </c>
      <c r="C75" s="54"/>
      <c r="D75" s="232">
        <f>D72-D74</f>
        <v>835.11927621380619</v>
      </c>
      <c r="E75" s="232">
        <f t="shared" ref="E75:M75" si="32">E72-E74</f>
        <v>975.27208179291029</v>
      </c>
      <c r="F75" s="232">
        <f t="shared" si="32"/>
        <v>1108.3037806236703</v>
      </c>
      <c r="G75" s="232">
        <f t="shared" si="32"/>
        <v>1171.1583457728398</v>
      </c>
      <c r="H75" s="232">
        <f t="shared" si="32"/>
        <v>1225.5846129384422</v>
      </c>
      <c r="I75" s="232">
        <f t="shared" si="32"/>
        <v>1343.1776591433554</v>
      </c>
      <c r="J75" s="232">
        <f t="shared" si="32"/>
        <v>1465.5883942005225</v>
      </c>
      <c r="K75" s="232">
        <f t="shared" si="32"/>
        <v>-1721.3867336157355</v>
      </c>
      <c r="L75" s="232">
        <f t="shared" si="32"/>
        <v>1579.5015838801592</v>
      </c>
      <c r="M75" s="232">
        <f t="shared" si="32"/>
        <v>1704.2637037396817</v>
      </c>
    </row>
    <row r="76" spans="1:13" ht="15.75" customHeight="1">
      <c r="A76" s="48"/>
      <c r="B76" s="240"/>
      <c r="C76" s="54"/>
      <c r="D76" s="232"/>
      <c r="E76" s="232"/>
      <c r="F76" s="232"/>
      <c r="G76" s="232"/>
      <c r="H76" s="232"/>
      <c r="I76" s="232"/>
      <c r="J76" s="232"/>
      <c r="K76" s="232"/>
      <c r="L76" s="232"/>
      <c r="M76" s="232"/>
    </row>
    <row r="77" spans="1:13" ht="15.75" customHeight="1">
      <c r="A77" s="54"/>
      <c r="C77" s="54"/>
      <c r="D77" s="232"/>
      <c r="E77" s="232"/>
      <c r="F77" s="232"/>
      <c r="G77" s="232"/>
      <c r="H77" s="232"/>
      <c r="I77" s="232"/>
      <c r="J77" s="232"/>
      <c r="K77" s="232"/>
      <c r="L77" s="232"/>
      <c r="M77" s="232"/>
    </row>
    <row r="78" spans="1:13" ht="15.75" customHeight="1">
      <c r="A78" s="168" t="s">
        <v>10</v>
      </c>
      <c r="B78" s="168"/>
      <c r="C78" s="168"/>
      <c r="D78" s="238">
        <v>2025</v>
      </c>
      <c r="E78" s="238">
        <v>2026</v>
      </c>
      <c r="F78" s="238">
        <v>2027</v>
      </c>
      <c r="G78" s="238">
        <v>2028</v>
      </c>
      <c r="H78" s="238">
        <v>2029</v>
      </c>
      <c r="I78" s="238">
        <v>2030</v>
      </c>
      <c r="J78" s="238">
        <v>2031</v>
      </c>
      <c r="K78" s="238">
        <v>2032</v>
      </c>
      <c r="L78" s="238">
        <v>2033</v>
      </c>
      <c r="M78" s="238">
        <v>2034</v>
      </c>
    </row>
    <row r="79" spans="1:13" ht="15.75" customHeight="1">
      <c r="A79" s="51" t="s">
        <v>13</v>
      </c>
      <c r="B79" s="240"/>
      <c r="C79" s="51"/>
      <c r="D79" s="232"/>
      <c r="E79" s="232"/>
      <c r="F79" s="232"/>
      <c r="G79" s="232"/>
      <c r="H79" s="232"/>
      <c r="I79" s="232"/>
      <c r="J79" s="232"/>
      <c r="K79" s="232"/>
      <c r="L79" s="232"/>
      <c r="M79" s="232"/>
    </row>
    <row r="80" spans="1:13" ht="15.75" customHeight="1">
      <c r="A80" s="54" t="s">
        <v>304</v>
      </c>
      <c r="C80" s="54"/>
      <c r="D80" s="232">
        <f>D59*D30</f>
        <v>5637.0909990514319</v>
      </c>
      <c r="E80" s="232">
        <f t="shared" ref="E80:M80" si="33">E59*E30</f>
        <v>5983.6631633989318</v>
      </c>
      <c r="F80" s="232">
        <f t="shared" si="33"/>
        <v>6345.9562757081367</v>
      </c>
      <c r="G80" s="232">
        <f t="shared" si="33"/>
        <v>6724.601677908835</v>
      </c>
      <c r="H80" s="232">
        <f t="shared" si="33"/>
        <v>7120.254443593436</v>
      </c>
      <c r="I80" s="232">
        <f t="shared" si="33"/>
        <v>7533.5942337090773</v>
      </c>
      <c r="J80" s="232">
        <f t="shared" si="33"/>
        <v>7965.3261822323402</v>
      </c>
      <c r="K80" s="232">
        <f t="shared" si="33"/>
        <v>8416.1818128566611</v>
      </c>
      <c r="L80" s="232">
        <f t="shared" si="33"/>
        <v>8886.9199877544306</v>
      </c>
      <c r="M80" s="232">
        <f t="shared" si="33"/>
        <v>9378.3278895144977</v>
      </c>
    </row>
    <row r="81" spans="1:13" ht="15.75" customHeight="1">
      <c r="A81" s="54" t="s">
        <v>478</v>
      </c>
      <c r="C81" s="54"/>
      <c r="D81" s="232">
        <f>D39*D59</f>
        <v>307.1264011016649</v>
      </c>
      <c r="E81" s="232">
        <f t="shared" ref="E81:M81" si="34">E39*E59</f>
        <v>326.00873980720888</v>
      </c>
      <c r="F81" s="232">
        <f t="shared" si="34"/>
        <v>345.74760507409405</v>
      </c>
      <c r="G81" s="232">
        <f t="shared" si="34"/>
        <v>366.37739439116586</v>
      </c>
      <c r="H81" s="232">
        <f t="shared" si="34"/>
        <v>387.9337982226952</v>
      </c>
      <c r="I81" s="232">
        <f t="shared" si="34"/>
        <v>410.45384662916871</v>
      </c>
      <c r="J81" s="232">
        <f t="shared" si="34"/>
        <v>433.97595752162573</v>
      </c>
      <c r="K81" s="232">
        <f t="shared" si="34"/>
        <v>458.53998660566384</v>
      </c>
      <c r="L81" s="232">
        <f t="shared" si="34"/>
        <v>484.18727907297483</v>
      </c>
      <c r="M81" s="232">
        <f t="shared" si="34"/>
        <v>510.96072310037943</v>
      </c>
    </row>
    <row r="82" spans="1:13" s="48" customFormat="1" ht="15.75" customHeight="1">
      <c r="A82" s="51" t="s">
        <v>305</v>
      </c>
      <c r="B82" s="240"/>
      <c r="C82" s="51"/>
      <c r="D82" s="233">
        <f>SUM(D80:D81)</f>
        <v>5944.2174001530966</v>
      </c>
      <c r="E82" s="233">
        <f t="shared" ref="E82:M82" si="35">SUM(E80:E81)</f>
        <v>6309.671903206141</v>
      </c>
      <c r="F82" s="233">
        <f t="shared" si="35"/>
        <v>6691.703880782231</v>
      </c>
      <c r="G82" s="233">
        <f t="shared" si="35"/>
        <v>7090.9790723000006</v>
      </c>
      <c r="H82" s="233">
        <f t="shared" si="35"/>
        <v>7508.1882418161313</v>
      </c>
      <c r="I82" s="233">
        <f t="shared" si="35"/>
        <v>7944.0480803382461</v>
      </c>
      <c r="J82" s="233">
        <f t="shared" si="35"/>
        <v>8399.3021397539651</v>
      </c>
      <c r="K82" s="233">
        <f t="shared" si="35"/>
        <v>8874.7217994623243</v>
      </c>
      <c r="L82" s="233">
        <f t="shared" si="35"/>
        <v>9371.1072668274046</v>
      </c>
      <c r="M82" s="233">
        <f t="shared" si="35"/>
        <v>9889.2886126148769</v>
      </c>
    </row>
    <row r="83" spans="1:13" ht="15.75" customHeight="1">
      <c r="A83" s="54" t="s">
        <v>306</v>
      </c>
      <c r="D83" s="232">
        <f>D59/D31</f>
        <v>1591.4730434410258</v>
      </c>
      <c r="E83" s="232">
        <f t="shared" ref="E83:M83" si="36">E59/E31</f>
        <v>1689.3178817200019</v>
      </c>
      <c r="F83" s="232">
        <f t="shared" si="36"/>
        <v>1791.60108455662</v>
      </c>
      <c r="G83" s="232">
        <f t="shared" si="36"/>
        <v>1898.5008934698872</v>
      </c>
      <c r="H83" s="232">
        <f t="shared" si="36"/>
        <v>2010.202249941849</v>
      </c>
      <c r="I83" s="232">
        <f t="shared" si="36"/>
        <v>2126.8970369980284</v>
      </c>
      <c r="J83" s="232">
        <f t="shared" si="36"/>
        <v>2248.7843292526081</v>
      </c>
      <c r="K83" s="232">
        <f t="shared" si="36"/>
        <v>2376.0706517091639</v>
      </c>
      <c r="L83" s="232">
        <f t="shared" si="36"/>
        <v>2508.9702476167859</v>
      </c>
      <c r="M83" s="232">
        <f t="shared" si="36"/>
        <v>2647.7053556923274</v>
      </c>
    </row>
    <row r="84" spans="1:13" ht="15.75" customHeight="1">
      <c r="A84" s="54" t="s">
        <v>225</v>
      </c>
      <c r="D84" s="232">
        <f>D59/D32</f>
        <v>2321.3153011034578</v>
      </c>
      <c r="E84" s="232">
        <f t="shared" ref="E84:M84" si="37">E59/E32</f>
        <v>2464.0313346341864</v>
      </c>
      <c r="F84" s="232">
        <f t="shared" si="37"/>
        <v>2613.2211464057664</v>
      </c>
      <c r="G84" s="232">
        <f t="shared" si="37"/>
        <v>2769.1447186824707</v>
      </c>
      <c r="H84" s="232">
        <f t="shared" si="37"/>
        <v>2932.0718062640112</v>
      </c>
      <c r="I84" s="232">
        <f t="shared" si="37"/>
        <v>3102.2822888536634</v>
      </c>
      <c r="J84" s="232">
        <f t="shared" si="37"/>
        <v>3280.0665357730231</v>
      </c>
      <c r="K84" s="232">
        <f t="shared" si="37"/>
        <v>3465.7257834475763</v>
      </c>
      <c r="L84" s="232">
        <f t="shared" si="37"/>
        <v>3659.5725261004063</v>
      </c>
      <c r="M84" s="232">
        <f t="shared" si="37"/>
        <v>3861.9309201073042</v>
      </c>
    </row>
    <row r="85" spans="1:13" ht="15.75" customHeight="1">
      <c r="A85" s="54" t="s">
        <v>226</v>
      </c>
      <c r="C85" s="51"/>
      <c r="D85" s="232">
        <f t="shared" ref="D85:M85" si="38">D38*D59</f>
        <v>469.02476025833607</v>
      </c>
      <c r="E85" s="232">
        <f t="shared" si="38"/>
        <v>497.86071950090491</v>
      </c>
      <c r="F85" s="232">
        <f t="shared" si="38"/>
        <v>528.00471401379548</v>
      </c>
      <c r="G85" s="232">
        <f t="shared" si="38"/>
        <v>559.5092735499087</v>
      </c>
      <c r="H85" s="232">
        <f t="shared" si="38"/>
        <v>592.4289024155762</v>
      </c>
      <c r="I85" s="232">
        <f t="shared" si="38"/>
        <v>626.82015066699557</v>
      </c>
      <c r="J85" s="232">
        <f t="shared" si="38"/>
        <v>662.74168780131924</v>
      </c>
      <c r="K85" s="232">
        <f t="shared" si="38"/>
        <v>700.25437902810199</v>
      </c>
      <c r="L85" s="232">
        <f t="shared" si="38"/>
        <v>739.42136420947043</v>
      </c>
      <c r="M85" s="232">
        <f t="shared" si="38"/>
        <v>780.30813956059592</v>
      </c>
    </row>
    <row r="86" spans="1:13" ht="15.75" customHeight="1">
      <c r="A86" s="239" t="s">
        <v>21</v>
      </c>
      <c r="B86" s="244"/>
      <c r="C86" s="239"/>
      <c r="D86" s="233">
        <f t="shared" ref="D86:M86" si="39">SUM(D82:D85)</f>
        <v>10326.030504955917</v>
      </c>
      <c r="E86" s="233">
        <f t="shared" si="39"/>
        <v>10960.881839061234</v>
      </c>
      <c r="F86" s="233">
        <f t="shared" si="39"/>
        <v>11624.530825758413</v>
      </c>
      <c r="G86" s="233">
        <f t="shared" si="39"/>
        <v>12318.133958002269</v>
      </c>
      <c r="H86" s="233">
        <f t="shared" si="39"/>
        <v>13042.891200437569</v>
      </c>
      <c r="I86" s="233">
        <f t="shared" si="39"/>
        <v>13800.047556856933</v>
      </c>
      <c r="J86" s="233">
        <f t="shared" si="39"/>
        <v>14590.894692580916</v>
      </c>
      <c r="K86" s="233">
        <f t="shared" si="39"/>
        <v>15416.772613647167</v>
      </c>
      <c r="L86" s="233">
        <f t="shared" si="39"/>
        <v>16279.071404754068</v>
      </c>
      <c r="M86" s="233">
        <f t="shared" si="39"/>
        <v>17179.233027975104</v>
      </c>
    </row>
    <row r="87" spans="1:13" ht="15">
      <c r="A87" s="54" t="s">
        <v>257</v>
      </c>
      <c r="B87" s="67" t="s">
        <v>307</v>
      </c>
      <c r="C87" s="54"/>
      <c r="D87" s="232">
        <f>'Historical Balance Sheet'!K20*(1+'Pro Forma Statement Step 1'!D40)</f>
        <v>32082.511228948642</v>
      </c>
      <c r="E87" s="232">
        <f t="shared" ref="E87:M87" si="40">D87*(1+E40)</f>
        <v>35829.719804074732</v>
      </c>
      <c r="F87" s="232">
        <f t="shared" si="40"/>
        <v>40014.598984388002</v>
      </c>
      <c r="G87" s="232">
        <f t="shared" si="40"/>
        <v>44688.26830455126</v>
      </c>
      <c r="H87" s="232">
        <f t="shared" si="40"/>
        <v>49907.818015087978</v>
      </c>
      <c r="I87" s="232">
        <f t="shared" si="40"/>
        <v>55737.00645664685</v>
      </c>
      <c r="J87" s="232">
        <f t="shared" si="40"/>
        <v>62247.038886955757</v>
      </c>
      <c r="K87" s="232">
        <f t="shared" si="40"/>
        <v>69517.437274066411</v>
      </c>
      <c r="L87" s="232">
        <f t="shared" si="40"/>
        <v>77637.011680670883</v>
      </c>
      <c r="M87" s="232">
        <f t="shared" si="40"/>
        <v>86704.945105236169</v>
      </c>
    </row>
    <row r="88" spans="1:13" ht="15.75" customHeight="1">
      <c r="A88" s="54" t="s">
        <v>308</v>
      </c>
      <c r="C88" s="54"/>
      <c r="D88" s="232">
        <f>'Historical Balance Sheet'!K21*(1+'Pro Forma Statement Step 1'!D40)</f>
        <v>12034.06874834777</v>
      </c>
      <c r="E88" s="232">
        <f t="shared" ref="E88:M88" si="41">D88*(1+E40)</f>
        <v>13439.637199198225</v>
      </c>
      <c r="F88" s="232">
        <f t="shared" si="41"/>
        <v>15009.37478613554</v>
      </c>
      <c r="G88" s="232">
        <f t="shared" si="41"/>
        <v>16762.456317207805</v>
      </c>
      <c r="H88" s="232">
        <f t="shared" si="41"/>
        <v>18720.296200868182</v>
      </c>
      <c r="I88" s="232">
        <f t="shared" si="41"/>
        <v>20906.810029296208</v>
      </c>
      <c r="J88" s="232">
        <f t="shared" si="41"/>
        <v>23348.706714416709</v>
      </c>
      <c r="K88" s="232">
        <f t="shared" si="41"/>
        <v>26075.814745144064</v>
      </c>
      <c r="L88" s="232">
        <f t="shared" si="41"/>
        <v>29121.446551180379</v>
      </c>
      <c r="M88" s="232">
        <f t="shared" si="41"/>
        <v>32522.805424178903</v>
      </c>
    </row>
    <row r="89" spans="1:13" ht="15">
      <c r="A89" s="51" t="s">
        <v>309</v>
      </c>
      <c r="B89" s="240"/>
      <c r="C89" s="54"/>
      <c r="D89" s="232">
        <f>D87+D88</f>
        <v>44116.579977296409</v>
      </c>
      <c r="E89" s="232">
        <f>E87+E88</f>
        <v>49269.357003272955</v>
      </c>
      <c r="F89" s="232">
        <f t="shared" ref="F89:M89" si="42">F87+F88</f>
        <v>55023.973770523546</v>
      </c>
      <c r="G89" s="232">
        <f t="shared" si="42"/>
        <v>61450.724621759065</v>
      </c>
      <c r="H89" s="232">
        <f t="shared" si="42"/>
        <v>68628.114215956157</v>
      </c>
      <c r="I89" s="232">
        <f t="shared" si="42"/>
        <v>76643.816485943054</v>
      </c>
      <c r="J89" s="232">
        <f t="shared" si="42"/>
        <v>85595.745601372473</v>
      </c>
      <c r="K89" s="232">
        <f t="shared" si="42"/>
        <v>95593.252019210471</v>
      </c>
      <c r="L89" s="232">
        <f t="shared" si="42"/>
        <v>106758.45823185125</v>
      </c>
      <c r="M89" s="232">
        <f t="shared" si="42"/>
        <v>119227.75052941508</v>
      </c>
    </row>
    <row r="90" spans="1:13" ht="15">
      <c r="A90" s="54" t="s">
        <v>262</v>
      </c>
      <c r="B90" s="67" t="s">
        <v>516</v>
      </c>
      <c r="C90" s="51"/>
      <c r="D90" s="235">
        <f>('Historical Balance Sheet'!K29-'Historical Balance Sheet'!K22)*(1+'Pro Forma Statement Step 1'!D41)</f>
        <v>13805.118176084761</v>
      </c>
      <c r="E90" s="232">
        <f t="shared" ref="E90:M90" si="43">D90*(1+E41)</f>
        <v>14235.657463299312</v>
      </c>
      <c r="F90" s="232">
        <f t="shared" si="43"/>
        <v>14679.623950156118</v>
      </c>
      <c r="G90" s="232">
        <f t="shared" si="43"/>
        <v>15137.436389822629</v>
      </c>
      <c r="H90" s="232">
        <f t="shared" si="43"/>
        <v>15609.526595093019</v>
      </c>
      <c r="I90" s="232">
        <f t="shared" si="43"/>
        <v>16096.339845677876</v>
      </c>
      <c r="J90" s="232">
        <f t="shared" si="43"/>
        <v>16598.335308196019</v>
      </c>
      <c r="K90" s="232">
        <f t="shared" si="43"/>
        <v>17115.986469264568</v>
      </c>
      <c r="L90" s="232">
        <f t="shared" si="43"/>
        <v>17649.781582095755</v>
      </c>
      <c r="M90" s="232">
        <f t="shared" si="43"/>
        <v>18200.224127021735</v>
      </c>
    </row>
    <row r="91" spans="1:13" ht="16" thickBot="1">
      <c r="A91" s="175" t="s">
        <v>310</v>
      </c>
      <c r="B91" s="243"/>
      <c r="C91" s="175"/>
      <c r="D91" s="211">
        <f>D86+D89+D90</f>
        <v>68247.728658337088</v>
      </c>
      <c r="E91" s="211">
        <f t="shared" ref="E91:M91" si="44">E86+E89+E90</f>
        <v>74465.896305633505</v>
      </c>
      <c r="F91" s="211">
        <f t="shared" si="44"/>
        <v>81328.128546438078</v>
      </c>
      <c r="G91" s="211">
        <f t="shared" si="44"/>
        <v>88906.294969583963</v>
      </c>
      <c r="H91" s="211">
        <f t="shared" si="44"/>
        <v>97280.53201148675</v>
      </c>
      <c r="I91" s="211">
        <f t="shared" si="44"/>
        <v>106540.20388847787</v>
      </c>
      <c r="J91" s="211">
        <f t="shared" si="44"/>
        <v>116784.97560214941</v>
      </c>
      <c r="K91" s="211">
        <f t="shared" si="44"/>
        <v>128126.0111021222</v>
      </c>
      <c r="L91" s="211">
        <f t="shared" si="44"/>
        <v>140687.31121870107</v>
      </c>
      <c r="M91" s="211">
        <f t="shared" si="44"/>
        <v>154607.2076844119</v>
      </c>
    </row>
    <row r="92" spans="1:13" ht="15">
      <c r="A92" s="54"/>
      <c r="C92" s="54"/>
      <c r="D92" s="232"/>
      <c r="E92" s="232"/>
      <c r="F92" s="232"/>
      <c r="G92" s="232"/>
      <c r="H92" s="232"/>
      <c r="I92" s="232"/>
      <c r="J92" s="232"/>
      <c r="K92" s="232"/>
      <c r="L92" s="232"/>
      <c r="M92" s="232"/>
    </row>
    <row r="93" spans="1:13" ht="15">
      <c r="A93" s="51" t="s">
        <v>311</v>
      </c>
      <c r="B93" s="240"/>
      <c r="C93" s="54"/>
      <c r="D93" s="232"/>
      <c r="E93" s="232"/>
      <c r="F93" s="232"/>
      <c r="G93" s="232"/>
      <c r="H93" s="232"/>
      <c r="I93" s="232"/>
      <c r="J93" s="232"/>
      <c r="K93" s="232"/>
      <c r="L93" s="232"/>
      <c r="M93" s="232"/>
    </row>
    <row r="94" spans="1:13" ht="15">
      <c r="A94" s="54" t="s">
        <v>229</v>
      </c>
      <c r="C94" s="54"/>
      <c r="D94" s="232">
        <f t="shared" ref="D94:M94" si="45">D59/D42</f>
        <v>1610.1318546833318</v>
      </c>
      <c r="E94" s="232">
        <f t="shared" si="45"/>
        <v>1709.1238492877044</v>
      </c>
      <c r="F94" s="232">
        <f t="shared" si="45"/>
        <v>1812.6062448991247</v>
      </c>
      <c r="G94" s="232">
        <f t="shared" si="45"/>
        <v>1920.7593727828714</v>
      </c>
      <c r="H94" s="232">
        <f t="shared" si="45"/>
        <v>2033.770342719233</v>
      </c>
      <c r="I94" s="232">
        <f t="shared" si="45"/>
        <v>2151.8332874162952</v>
      </c>
      <c r="J94" s="232">
        <f t="shared" si="45"/>
        <v>2275.1496154867104</v>
      </c>
      <c r="K94" s="232">
        <f t="shared" si="45"/>
        <v>2403.9282732826755</v>
      </c>
      <c r="L94" s="232">
        <f t="shared" si="45"/>
        <v>2538.3860158924604</v>
      </c>
      <c r="M94" s="232">
        <f t="shared" si="45"/>
        <v>2678.7476876128785</v>
      </c>
    </row>
    <row r="95" spans="1:13" ht="15">
      <c r="A95" s="54" t="s">
        <v>230</v>
      </c>
      <c r="C95" s="54"/>
      <c r="D95" s="232">
        <f t="shared" ref="D95:M95" si="46">D$59*D43</f>
        <v>1708.6632053226394</v>
      </c>
      <c r="E95" s="232">
        <f t="shared" si="46"/>
        <v>1813.7129739549448</v>
      </c>
      <c r="F95" s="232">
        <f t="shared" si="46"/>
        <v>1923.5279318203984</v>
      </c>
      <c r="G95" s="232">
        <f t="shared" si="46"/>
        <v>2038.2994454812201</v>
      </c>
      <c r="H95" s="232">
        <f t="shared" si="46"/>
        <v>2158.2260748230519</v>
      </c>
      <c r="I95" s="232">
        <f t="shared" si="46"/>
        <v>2283.5138324244854</v>
      </c>
      <c r="J95" s="232">
        <f t="shared" si="46"/>
        <v>2414.3764520146392</v>
      </c>
      <c r="K95" s="232">
        <f t="shared" si="46"/>
        <v>2551.0356663310199</v>
      </c>
      <c r="L95" s="232">
        <f t="shared" si="46"/>
        <v>2693.7214946995705</v>
      </c>
      <c r="M95" s="232">
        <f t="shared" si="46"/>
        <v>2842.6725406705364</v>
      </c>
    </row>
    <row r="96" spans="1:13" ht="15">
      <c r="A96" s="49" t="s">
        <v>231</v>
      </c>
      <c r="C96" s="54"/>
      <c r="D96" s="245">
        <f>WACC!G9-WACC!N5</f>
        <v>1320</v>
      </c>
      <c r="E96" s="245">
        <f>WACC!N5-WACC!N6</f>
        <v>1320</v>
      </c>
      <c r="F96" s="245">
        <f>WACC!N6-WACC!N7</f>
        <v>1320</v>
      </c>
      <c r="G96" s="245">
        <f>WACC!N7-WACC!N8</f>
        <v>1320</v>
      </c>
      <c r="H96" s="245">
        <f>WACC!N8-WACC!N9</f>
        <v>1320</v>
      </c>
      <c r="I96" s="245">
        <f>WACC!N9-WACC!N10</f>
        <v>900</v>
      </c>
      <c r="J96" s="245">
        <f>WACC!N10-WACC!N11</f>
        <v>900</v>
      </c>
      <c r="K96" s="245">
        <f>WACC!N11-WACC!N12</f>
        <v>900</v>
      </c>
      <c r="L96" s="245">
        <f>WACC!N12-WACC!N13</f>
        <v>900</v>
      </c>
      <c r="M96" s="245">
        <f>WACC!N13-WACC!N14</f>
        <v>900</v>
      </c>
    </row>
    <row r="97" spans="1:14" ht="15">
      <c r="A97" s="54" t="s">
        <v>232</v>
      </c>
      <c r="C97" s="54"/>
      <c r="D97" s="234">
        <f t="shared" ref="D97:M97" si="47">D$59*D45</f>
        <v>830.85301279169471</v>
      </c>
      <c r="E97" s="234">
        <f t="shared" si="47"/>
        <v>881.93441753508318</v>
      </c>
      <c r="F97" s="234">
        <f t="shared" si="47"/>
        <v>935.33293885156274</v>
      </c>
      <c r="G97" s="234">
        <f t="shared" si="47"/>
        <v>991.14163047124953</v>
      </c>
      <c r="H97" s="234">
        <f t="shared" si="47"/>
        <v>1049.4570439431509</v>
      </c>
      <c r="I97" s="234">
        <f t="shared" si="47"/>
        <v>1110.3793547559542</v>
      </c>
      <c r="J97" s="234">
        <f t="shared" si="47"/>
        <v>1174.0124928779646</v>
      </c>
      <c r="K97" s="234">
        <f t="shared" si="47"/>
        <v>1240.4642778680152</v>
      </c>
      <c r="L97" s="234">
        <f t="shared" si="47"/>
        <v>1309.8465587138787</v>
      </c>
      <c r="M97" s="234">
        <f t="shared" si="47"/>
        <v>1382.275358560413</v>
      </c>
    </row>
    <row r="98" spans="1:14" ht="15">
      <c r="A98" s="54" t="s">
        <v>233</v>
      </c>
      <c r="C98" s="51"/>
      <c r="D98" s="234">
        <f t="shared" ref="D98:M98" si="48">D$59*D46</f>
        <v>484.87991641631976</v>
      </c>
      <c r="E98" s="234">
        <f t="shared" si="48"/>
        <v>514.69066137490154</v>
      </c>
      <c r="F98" s="234">
        <f t="shared" si="48"/>
        <v>545.85365910622352</v>
      </c>
      <c r="G98" s="234">
        <f t="shared" si="48"/>
        <v>578.42321510618751</v>
      </c>
      <c r="H98" s="234">
        <f t="shared" si="48"/>
        <v>612.45567617295353</v>
      </c>
      <c r="I98" s="234">
        <f t="shared" si="48"/>
        <v>648.00950401013699</v>
      </c>
      <c r="J98" s="234">
        <f t="shared" si="48"/>
        <v>685.14535140898874</v>
      </c>
      <c r="K98" s="234">
        <f t="shared" si="48"/>
        <v>723.92614109816247</v>
      </c>
      <c r="L98" s="234">
        <f t="shared" si="48"/>
        <v>764.4171473524184</v>
      </c>
      <c r="M98" s="234">
        <f t="shared" si="48"/>
        <v>806.68608045494148</v>
      </c>
    </row>
    <row r="99" spans="1:14" ht="15">
      <c r="A99" s="49" t="s">
        <v>234</v>
      </c>
      <c r="C99" s="51"/>
      <c r="D99" s="234">
        <f t="shared" ref="D99:M99" si="49">D$59*D47</f>
        <v>2139.2212263814358</v>
      </c>
      <c r="E99" s="234">
        <f t="shared" si="49"/>
        <v>2270.7419931332738</v>
      </c>
      <c r="F99" s="234">
        <f t="shared" si="49"/>
        <v>2408.2287067864791</v>
      </c>
      <c r="G99" s="234">
        <f t="shared" si="49"/>
        <v>2551.9209554650565</v>
      </c>
      <c r="H99" s="234">
        <f t="shared" si="49"/>
        <v>2702.0673332282404</v>
      </c>
      <c r="I99" s="234">
        <f t="shared" si="49"/>
        <v>2858.9257647973277</v>
      </c>
      <c r="J99" s="234">
        <f t="shared" si="49"/>
        <v>3022.7638416606237</v>
      </c>
      <c r="K99" s="234">
        <f t="shared" si="49"/>
        <v>3193.8591699473996</v>
      </c>
      <c r="L99" s="234">
        <f t="shared" si="49"/>
        <v>3372.4997304738872</v>
      </c>
      <c r="M99" s="234">
        <f t="shared" si="49"/>
        <v>3558.9842513790118</v>
      </c>
    </row>
    <row r="100" spans="1:14" ht="15">
      <c r="A100" s="54" t="s">
        <v>235</v>
      </c>
      <c r="C100" s="51"/>
      <c r="D100" s="234">
        <f t="shared" ref="D100:M100" si="50">D$59*D48</f>
        <v>1712.3580109570057</v>
      </c>
      <c r="E100" s="234">
        <f t="shared" si="50"/>
        <v>1817.6349387367795</v>
      </c>
      <c r="F100" s="234">
        <f t="shared" si="50"/>
        <v>1927.6873599734786</v>
      </c>
      <c r="G100" s="234">
        <f t="shared" si="50"/>
        <v>2042.7070550395167</v>
      </c>
      <c r="H100" s="234">
        <f t="shared" si="50"/>
        <v>2162.8930131855404</v>
      </c>
      <c r="I100" s="234">
        <f t="shared" si="50"/>
        <v>2288.4516924708146</v>
      </c>
      <c r="J100" s="234">
        <f t="shared" si="50"/>
        <v>2419.5972888013134</v>
      </c>
      <c r="K100" s="234">
        <f t="shared" si="50"/>
        <v>2556.5520143884182</v>
      </c>
      <c r="L100" s="234">
        <f t="shared" si="50"/>
        <v>2699.5463859508282</v>
      </c>
      <c r="M100" s="234">
        <f t="shared" si="50"/>
        <v>2848.8195229940334</v>
      </c>
    </row>
    <row r="101" spans="1:14" ht="15">
      <c r="A101" s="51" t="s">
        <v>18</v>
      </c>
      <c r="B101" s="240"/>
      <c r="C101" s="51"/>
      <c r="D101" s="234">
        <f t="shared" ref="D101:M101" si="51">SUM(D94:D100)</f>
        <v>9806.1072265524272</v>
      </c>
      <c r="E101" s="234">
        <f t="shared" si="51"/>
        <v>10327.838834022687</v>
      </c>
      <c r="F101" s="234">
        <f t="shared" si="51"/>
        <v>10873.236841437269</v>
      </c>
      <c r="G101" s="234">
        <f t="shared" si="51"/>
        <v>11443.251674346102</v>
      </c>
      <c r="H101" s="234">
        <f t="shared" si="51"/>
        <v>12038.869484072169</v>
      </c>
      <c r="I101" s="234">
        <f t="shared" si="51"/>
        <v>12241.113435875015</v>
      </c>
      <c r="J101" s="234">
        <f t="shared" si="51"/>
        <v>12891.04504225024</v>
      </c>
      <c r="K101" s="234">
        <f t="shared" si="51"/>
        <v>13569.765542915691</v>
      </c>
      <c r="L101" s="234">
        <f t="shared" si="51"/>
        <v>14278.417333083042</v>
      </c>
      <c r="M101" s="234">
        <f t="shared" si="51"/>
        <v>15018.185441671816</v>
      </c>
    </row>
    <row r="102" spans="1:14" ht="15.75" customHeight="1">
      <c r="A102" s="54" t="s">
        <v>209</v>
      </c>
      <c r="D102" s="234">
        <f>D22+D24</f>
        <v>14780</v>
      </c>
      <c r="E102" s="234">
        <f t="shared" ref="E102:M102" si="52">E22+E24</f>
        <v>13560</v>
      </c>
      <c r="F102" s="234">
        <f t="shared" si="52"/>
        <v>12540</v>
      </c>
      <c r="G102" s="234">
        <f t="shared" si="52"/>
        <v>13820</v>
      </c>
      <c r="H102" s="234">
        <f t="shared" si="52"/>
        <v>15500</v>
      </c>
      <c r="I102" s="234">
        <f t="shared" si="52"/>
        <v>15500</v>
      </c>
      <c r="J102" s="234">
        <f t="shared" si="52"/>
        <v>15500</v>
      </c>
      <c r="K102" s="234">
        <f t="shared" si="52"/>
        <v>117700</v>
      </c>
      <c r="L102" s="234">
        <f t="shared" si="52"/>
        <v>20000</v>
      </c>
      <c r="M102" s="234">
        <f t="shared" si="52"/>
        <v>20400</v>
      </c>
    </row>
    <row r="103" spans="1:14" ht="15">
      <c r="A103" s="54" t="s">
        <v>312</v>
      </c>
      <c r="C103" s="51"/>
      <c r="D103" s="234">
        <f>'Historical Balance Sheet'!K43*(1+'Pro Forma Statement Step 1'!D49)</f>
        <v>9034.7480000000014</v>
      </c>
      <c r="E103" s="234">
        <f>D103*(1+E$49)</f>
        <v>9305.7904400000025</v>
      </c>
      <c r="F103" s="234">
        <f>E103*(1+F$49)</f>
        <v>9584.9641532000023</v>
      </c>
      <c r="G103" s="234">
        <f t="shared" ref="E103:M106" si="53">F103*(1+G$49)</f>
        <v>9872.5130777960021</v>
      </c>
      <c r="H103" s="234">
        <f t="shared" si="53"/>
        <v>10168.688470129882</v>
      </c>
      <c r="I103" s="234">
        <f t="shared" si="53"/>
        <v>10473.749124233778</v>
      </c>
      <c r="J103" s="234">
        <f t="shared" si="53"/>
        <v>10787.961597960792</v>
      </c>
      <c r="K103" s="234">
        <f t="shared" si="53"/>
        <v>11111.600445899616</v>
      </c>
      <c r="L103" s="234">
        <f t="shared" si="53"/>
        <v>11444.948459276604</v>
      </c>
      <c r="M103" s="234">
        <f t="shared" si="53"/>
        <v>11788.296913054903</v>
      </c>
    </row>
    <row r="104" spans="1:14" ht="15.75" customHeight="1">
      <c r="A104" s="54" t="s">
        <v>313</v>
      </c>
      <c r="D104" s="234">
        <f>'Historical Balance Sheet'!K44*(1+'Pro Forma Statement Step 1'!D49)</f>
        <v>6142.5080000000007</v>
      </c>
      <c r="E104" s="234">
        <f t="shared" si="53"/>
        <v>6326.7832400000007</v>
      </c>
      <c r="F104" s="234">
        <f t="shared" si="53"/>
        <v>6516.5867372000012</v>
      </c>
      <c r="G104" s="234">
        <f t="shared" si="53"/>
        <v>6712.0843393160012</v>
      </c>
      <c r="H104" s="234">
        <f t="shared" si="53"/>
        <v>6913.4468694954812</v>
      </c>
      <c r="I104" s="234">
        <f t="shared" si="53"/>
        <v>7120.8502755803456</v>
      </c>
      <c r="J104" s="234">
        <f t="shared" si="53"/>
        <v>7334.4757838477562</v>
      </c>
      <c r="K104" s="234">
        <f t="shared" si="53"/>
        <v>7554.5100573631889</v>
      </c>
      <c r="L104" s="234">
        <f t="shared" si="53"/>
        <v>7781.1453590840847</v>
      </c>
      <c r="M104" s="234">
        <f t="shared" si="53"/>
        <v>8014.5797198566079</v>
      </c>
    </row>
    <row r="105" spans="1:14" ht="15">
      <c r="A105" s="54" t="s">
        <v>314</v>
      </c>
      <c r="C105" s="54"/>
      <c r="D105" s="234">
        <f>'Historical Balance Sheet'!K45*(1+'Pro Forma Statement Step 1'!D49)</f>
        <v>21.733000000000001</v>
      </c>
      <c r="E105" s="234">
        <f>D105*(1+E$49)</f>
        <v>22.384990000000002</v>
      </c>
      <c r="F105" s="234">
        <f>E105*(1+F$49)</f>
        <v>23.056539700000002</v>
      </c>
      <c r="G105" s="234">
        <f t="shared" si="53"/>
        <v>23.748235891000004</v>
      </c>
      <c r="H105" s="234">
        <f t="shared" si="53"/>
        <v>24.460682967730005</v>
      </c>
      <c r="I105" s="234">
        <f t="shared" si="53"/>
        <v>25.194503456761904</v>
      </c>
      <c r="J105" s="234">
        <f t="shared" si="53"/>
        <v>25.950338560464761</v>
      </c>
      <c r="K105" s="234">
        <f t="shared" si="53"/>
        <v>26.728848717278705</v>
      </c>
      <c r="L105" s="234">
        <f t="shared" si="53"/>
        <v>27.530714178797066</v>
      </c>
      <c r="M105" s="234">
        <f t="shared" si="53"/>
        <v>28.356635604160978</v>
      </c>
    </row>
    <row r="106" spans="1:14" ht="15">
      <c r="A106" s="54" t="s">
        <v>315</v>
      </c>
      <c r="C106" s="54"/>
      <c r="D106" s="234">
        <f>'Historical Balance Sheet'!K46*(1+'Pro Forma Statement Step 1'!D49)</f>
        <v>634.37699999999995</v>
      </c>
      <c r="E106" s="234">
        <f>D106*(1+E$49)</f>
        <v>653.40830999999991</v>
      </c>
      <c r="F106" s="234">
        <f t="shared" si="53"/>
        <v>673.01055929999995</v>
      </c>
      <c r="G106" s="234">
        <f t="shared" si="53"/>
        <v>693.20087607899995</v>
      </c>
      <c r="H106" s="234">
        <f t="shared" si="53"/>
        <v>713.99690236136996</v>
      </c>
      <c r="I106" s="234">
        <f t="shared" si="53"/>
        <v>735.41680943221104</v>
      </c>
      <c r="J106" s="234">
        <f t="shared" si="53"/>
        <v>757.47931371517734</v>
      </c>
      <c r="K106" s="234">
        <f t="shared" si="53"/>
        <v>780.20369312663263</v>
      </c>
      <c r="L106" s="234">
        <f t="shared" si="53"/>
        <v>803.60980392043166</v>
      </c>
      <c r="M106" s="234">
        <f t="shared" si="53"/>
        <v>827.71809803804467</v>
      </c>
    </row>
    <row r="107" spans="1:14" ht="15.75" customHeight="1" thickBot="1">
      <c r="A107" s="175" t="s">
        <v>193</v>
      </c>
      <c r="B107" s="243"/>
      <c r="C107" s="175"/>
      <c r="D107" s="211">
        <f t="shared" ref="D107:M107" si="54">SUM(D101:D106)</f>
        <v>40419.473226552429</v>
      </c>
      <c r="E107" s="211">
        <f t="shared" si="54"/>
        <v>40196.205814022695</v>
      </c>
      <c r="F107" s="211">
        <f t="shared" si="54"/>
        <v>40210.85483083727</v>
      </c>
      <c r="G107" s="211">
        <f t="shared" si="54"/>
        <v>42564.798203428101</v>
      </c>
      <c r="H107" s="211">
        <f t="shared" si="54"/>
        <v>45359.462409026622</v>
      </c>
      <c r="I107" s="211">
        <f t="shared" si="54"/>
        <v>46096.324148578104</v>
      </c>
      <c r="J107" s="211">
        <f t="shared" si="54"/>
        <v>47296.912076334433</v>
      </c>
      <c r="K107" s="211">
        <f t="shared" si="54"/>
        <v>150742.80858802242</v>
      </c>
      <c r="L107" s="211">
        <f t="shared" si="54"/>
        <v>54335.651669542953</v>
      </c>
      <c r="M107" s="211">
        <f t="shared" si="54"/>
        <v>56077.136808225529</v>
      </c>
    </row>
    <row r="108" spans="1:14" ht="15.75" customHeight="1">
      <c r="D108" s="234"/>
      <c r="E108" s="234"/>
      <c r="F108" s="234"/>
      <c r="G108" s="234"/>
      <c r="H108" s="234"/>
      <c r="I108" s="234"/>
      <c r="J108" s="234"/>
      <c r="K108" s="234"/>
      <c r="L108" s="234"/>
      <c r="M108" s="234"/>
    </row>
    <row r="109" spans="1:14" ht="15">
      <c r="A109" s="49" t="s">
        <v>316</v>
      </c>
      <c r="B109" s="67" t="s">
        <v>486</v>
      </c>
      <c r="C109" s="102"/>
      <c r="D109" s="234">
        <f t="shared" ref="D109:M109" si="55">0.1*D50/1000000</f>
        <v>113.69</v>
      </c>
      <c r="E109" s="234">
        <f t="shared" si="55"/>
        <v>112.49</v>
      </c>
      <c r="F109" s="234">
        <f t="shared" si="55"/>
        <v>111.49</v>
      </c>
      <c r="G109" s="234">
        <f t="shared" si="55"/>
        <v>110.49</v>
      </c>
      <c r="H109" s="234">
        <f t="shared" si="55"/>
        <v>109.49</v>
      </c>
      <c r="I109" s="234">
        <f t="shared" si="55"/>
        <v>108.49</v>
      </c>
      <c r="J109" s="234">
        <f t="shared" si="55"/>
        <v>107.49</v>
      </c>
      <c r="K109" s="234">
        <f t="shared" si="55"/>
        <v>106.49</v>
      </c>
      <c r="L109" s="234">
        <f t="shared" si="55"/>
        <v>105.49</v>
      </c>
      <c r="M109" s="234">
        <f t="shared" si="55"/>
        <v>104.49</v>
      </c>
    </row>
    <row r="110" spans="1:14" ht="15">
      <c r="A110" s="49" t="s">
        <v>317</v>
      </c>
      <c r="B110" s="67" t="s">
        <v>487</v>
      </c>
      <c r="C110" s="256">
        <f>'Historical Balance Sheet'!K50</f>
        <v>322.60000000000002</v>
      </c>
      <c r="D110" s="234">
        <f>C110-((D51/1000000)*(D52-0.1))</f>
        <v>-876.20000000000016</v>
      </c>
      <c r="E110" s="234">
        <f>D110-((E51/1000000)*(E52-0.1))</f>
        <v>-1875.2000000000003</v>
      </c>
      <c r="F110" s="234">
        <f t="shared" ref="F110:M110" si="56">E110-((F51/1000000)*(F52-0.1))</f>
        <v>-2874.2000000000003</v>
      </c>
      <c r="G110" s="234">
        <f t="shared" si="56"/>
        <v>-3873.2000000000003</v>
      </c>
      <c r="H110" s="234">
        <f t="shared" si="56"/>
        <v>-4872.2000000000007</v>
      </c>
      <c r="I110" s="234">
        <f t="shared" si="56"/>
        <v>-5871.2000000000007</v>
      </c>
      <c r="J110" s="234">
        <f t="shared" si="56"/>
        <v>-6870.2000000000007</v>
      </c>
      <c r="K110" s="234">
        <f t="shared" si="56"/>
        <v>-7869.2000000000007</v>
      </c>
      <c r="L110" s="234">
        <f t="shared" si="56"/>
        <v>-8868.2000000000007</v>
      </c>
      <c r="M110" s="234">
        <f t="shared" si="56"/>
        <v>-9867.2000000000007</v>
      </c>
      <c r="N110" s="101"/>
    </row>
    <row r="111" spans="1:14" ht="15">
      <c r="A111" s="49" t="s">
        <v>318</v>
      </c>
      <c r="B111" s="67" t="s">
        <v>508</v>
      </c>
      <c r="C111" s="256">
        <f>'Historical Balance Sheet'!K51</f>
        <v>-7343.8</v>
      </c>
      <c r="D111" s="234">
        <f>C111+D72-D74</f>
        <v>-6508.680723786194</v>
      </c>
      <c r="E111" s="234">
        <f t="shared" ref="E111:L111" si="57">D111+E72-E74</f>
        <v>-5533.4086419932837</v>
      </c>
      <c r="F111" s="234">
        <f t="shared" si="57"/>
        <v>-4425.104861369613</v>
      </c>
      <c r="G111" s="234">
        <f t="shared" si="57"/>
        <v>-3253.9465155967732</v>
      </c>
      <c r="H111" s="234">
        <f t="shared" si="57"/>
        <v>-2028.361902658331</v>
      </c>
      <c r="I111" s="234">
        <f t="shared" si="57"/>
        <v>-685.18424351497561</v>
      </c>
      <c r="J111" s="234">
        <f t="shared" si="57"/>
        <v>780.40415068554694</v>
      </c>
      <c r="K111" s="234">
        <f t="shared" si="57"/>
        <v>-940.98258293018853</v>
      </c>
      <c r="L111" s="234">
        <f t="shared" si="57"/>
        <v>638.51900094997018</v>
      </c>
      <c r="M111" s="234">
        <f>L111+M72-M74</f>
        <v>2342.7827046896518</v>
      </c>
      <c r="N111" s="102"/>
    </row>
    <row r="112" spans="1:14" ht="15">
      <c r="A112" s="49" t="s">
        <v>319</v>
      </c>
      <c r="C112" s="54"/>
      <c r="D112" s="234">
        <v>0</v>
      </c>
      <c r="E112" s="234">
        <v>0</v>
      </c>
      <c r="F112" s="234">
        <v>0</v>
      </c>
      <c r="G112" s="234">
        <v>0</v>
      </c>
      <c r="H112" s="234">
        <v>0</v>
      </c>
      <c r="I112" s="234">
        <v>0</v>
      </c>
      <c r="J112" s="234">
        <v>0</v>
      </c>
      <c r="K112" s="234">
        <v>0</v>
      </c>
      <c r="L112" s="234">
        <v>0</v>
      </c>
      <c r="M112" s="234">
        <v>0</v>
      </c>
    </row>
    <row r="113" spans="1:13" ht="15.75" customHeight="1">
      <c r="A113" s="49" t="s">
        <v>320</v>
      </c>
      <c r="B113" s="67" t="s">
        <v>321</v>
      </c>
      <c r="D113" s="234">
        <f>'Historical Balance Sheet'!K53*(1+'Pro Forma Statement Step 1'!D11)</f>
        <v>467.45448447060147</v>
      </c>
      <c r="E113" s="234">
        <f t="shared" ref="E113:M113" si="58">D113*(1+E11)</f>
        <v>496.19390209649794</v>
      </c>
      <c r="F113" s="234">
        <f t="shared" si="58"/>
        <v>526.23697574392486</v>
      </c>
      <c r="G113" s="234">
        <f t="shared" si="58"/>
        <v>557.63605929831056</v>
      </c>
      <c r="H113" s="234">
        <f t="shared" si="58"/>
        <v>590.4454745877897</v>
      </c>
      <c r="I113" s="234">
        <f t="shared" si="58"/>
        <v>624.72158234127585</v>
      </c>
      <c r="J113" s="234">
        <f t="shared" si="58"/>
        <v>660.52285563283533</v>
      </c>
      <c r="K113" s="234">
        <f t="shared" si="58"/>
        <v>697.90995589778117</v>
      </c>
      <c r="L113" s="234">
        <f t="shared" si="58"/>
        <v>736.94581160855421</v>
      </c>
      <c r="M113" s="234">
        <f t="shared" si="58"/>
        <v>777.69569970166572</v>
      </c>
    </row>
    <row r="114" spans="1:13" ht="15">
      <c r="A114" s="255" t="s">
        <v>322</v>
      </c>
      <c r="B114" s="247"/>
      <c r="C114" s="248"/>
      <c r="D114" s="249">
        <f>SUM(D109:D113)</f>
        <v>-6803.7362393155927</v>
      </c>
      <c r="E114" s="249">
        <f t="shared" ref="E114:M114" si="59">SUM(E109:E113)</f>
        <v>-6799.9247398967855</v>
      </c>
      <c r="F114" s="249">
        <f t="shared" si="59"/>
        <v>-6661.5778856256893</v>
      </c>
      <c r="G114" s="249">
        <f t="shared" si="59"/>
        <v>-6459.0204562984636</v>
      </c>
      <c r="H114" s="249">
        <f t="shared" si="59"/>
        <v>-6200.6264280705418</v>
      </c>
      <c r="I114" s="249">
        <f t="shared" si="59"/>
        <v>-5823.1726611737004</v>
      </c>
      <c r="J114" s="249">
        <f t="shared" si="59"/>
        <v>-5321.7829936816188</v>
      </c>
      <c r="K114" s="249">
        <f t="shared" si="59"/>
        <v>-8005.7826270324076</v>
      </c>
      <c r="L114" s="249">
        <f t="shared" si="59"/>
        <v>-7387.2451874414764</v>
      </c>
      <c r="M114" s="249">
        <f t="shared" si="59"/>
        <v>-6642.2315956086832</v>
      </c>
    </row>
    <row r="115" spans="1:13" ht="15.75" customHeight="1" thickBot="1">
      <c r="A115" s="175" t="s">
        <v>323</v>
      </c>
      <c r="B115" s="253"/>
      <c r="C115" s="254"/>
      <c r="D115" s="254">
        <f t="shared" ref="D115:M115" si="60">D107+D114</f>
        <v>33615.736987236836</v>
      </c>
      <c r="E115" s="254">
        <f t="shared" si="60"/>
        <v>33396.281074125909</v>
      </c>
      <c r="F115" s="254">
        <f t="shared" si="60"/>
        <v>33549.276945211583</v>
      </c>
      <c r="G115" s="254">
        <f t="shared" si="60"/>
        <v>36105.777747129636</v>
      </c>
      <c r="H115" s="254">
        <f t="shared" si="60"/>
        <v>39158.835980956079</v>
      </c>
      <c r="I115" s="254">
        <f t="shared" si="60"/>
        <v>40273.151487404401</v>
      </c>
      <c r="J115" s="254">
        <f t="shared" si="60"/>
        <v>41975.129082652813</v>
      </c>
      <c r="K115" s="254">
        <f t="shared" si="60"/>
        <v>142737.02596099002</v>
      </c>
      <c r="L115" s="254">
        <f t="shared" si="60"/>
        <v>46948.406482101476</v>
      </c>
      <c r="M115" s="254">
        <f t="shared" si="60"/>
        <v>49434.905212616846</v>
      </c>
    </row>
    <row r="116" spans="1:13" ht="15.75" customHeight="1" thickBot="1">
      <c r="A116" s="252" t="s">
        <v>310</v>
      </c>
      <c r="B116" s="250"/>
      <c r="C116" s="251"/>
      <c r="D116" s="251">
        <f t="shared" ref="D116:M116" si="61">D91</f>
        <v>68247.728658337088</v>
      </c>
      <c r="E116" s="251">
        <f t="shared" si="61"/>
        <v>74465.896305633505</v>
      </c>
      <c r="F116" s="251">
        <f t="shared" si="61"/>
        <v>81328.128546438078</v>
      </c>
      <c r="G116" s="251">
        <f t="shared" si="61"/>
        <v>88906.294969583963</v>
      </c>
      <c r="H116" s="251">
        <f t="shared" si="61"/>
        <v>97280.53201148675</v>
      </c>
      <c r="I116" s="251">
        <f t="shared" si="61"/>
        <v>106540.20388847787</v>
      </c>
      <c r="J116" s="251">
        <f t="shared" si="61"/>
        <v>116784.97560214941</v>
      </c>
      <c r="K116" s="251">
        <f t="shared" si="61"/>
        <v>128126.0111021222</v>
      </c>
      <c r="L116" s="251">
        <f t="shared" si="61"/>
        <v>140687.31121870107</v>
      </c>
      <c r="M116" s="251">
        <f t="shared" si="61"/>
        <v>154607.2076844119</v>
      </c>
    </row>
    <row r="117" spans="1:13" ht="15">
      <c r="A117" s="54" t="s">
        <v>324</v>
      </c>
      <c r="C117" s="54"/>
      <c r="D117" s="234">
        <f>D116-D115</f>
        <v>34631.991671100252</v>
      </c>
      <c r="E117" s="234">
        <f t="shared" ref="E117:M117" si="62">E116-E115</f>
        <v>41069.615231507596</v>
      </c>
      <c r="F117" s="234">
        <f t="shared" si="62"/>
        <v>47778.851601226495</v>
      </c>
      <c r="G117" s="234">
        <f t="shared" si="62"/>
        <v>52800.517222454328</v>
      </c>
      <c r="H117" s="234">
        <f t="shared" si="62"/>
        <v>58121.696030530671</v>
      </c>
      <c r="I117" s="234">
        <f t="shared" si="62"/>
        <v>66267.052401073481</v>
      </c>
      <c r="J117" s="234">
        <f t="shared" si="62"/>
        <v>74809.846519496597</v>
      </c>
      <c r="K117" s="234">
        <f t="shared" si="62"/>
        <v>-14611.014858867828</v>
      </c>
      <c r="L117" s="234">
        <f t="shared" si="62"/>
        <v>93738.904736599594</v>
      </c>
      <c r="M117" s="234">
        <f t="shared" si="62"/>
        <v>105172.30247179506</v>
      </c>
    </row>
    <row r="118" spans="1:13" ht="15">
      <c r="A118" s="48" t="s">
        <v>325</v>
      </c>
      <c r="B118" s="67" t="s">
        <v>326</v>
      </c>
      <c r="D118" s="246">
        <f>(D22+D24+D102+D103+D96+D97)/(D114)</f>
        <v>-5.9887096706280332</v>
      </c>
      <c r="E118" s="246">
        <f t="shared" ref="E118:M118" si="63">(E22+E24+E102+E103+E96+E97)/(E114)</f>
        <v>-5.6806106442468378</v>
      </c>
      <c r="F118" s="246">
        <f t="shared" si="63"/>
        <v>-5.5422750774584424</v>
      </c>
      <c r="G118" s="246">
        <f t="shared" si="63"/>
        <v>-6.1655873328955817</v>
      </c>
      <c r="H118" s="246">
        <f t="shared" si="63"/>
        <v>-7.0215720974535252</v>
      </c>
      <c r="I118" s="246">
        <f t="shared" si="63"/>
        <v>-7.46742901321171</v>
      </c>
      <c r="J118" s="246">
        <f t="shared" si="63"/>
        <v>-8.2419696825132966</v>
      </c>
      <c r="K118" s="246">
        <f t="shared" si="63"/>
        <v>-31.059057722122823</v>
      </c>
      <c r="L118" s="246">
        <f t="shared" si="63"/>
        <v>-7.263166939308463</v>
      </c>
      <c r="M118" s="246">
        <f t="shared" si="63"/>
        <v>-8.2608640607911639</v>
      </c>
    </row>
    <row r="119" spans="1:13" ht="15.75" customHeight="1">
      <c r="A119" s="49" t="s">
        <v>327</v>
      </c>
      <c r="D119" s="236">
        <f>D75/D72</f>
        <v>0.22999807553108512</v>
      </c>
      <c r="E119" s="236">
        <f t="shared" ref="E119:M119" si="64">E75/E72</f>
        <v>0.24958292384936942</v>
      </c>
      <c r="F119" s="236">
        <f t="shared" si="64"/>
        <v>0.26457809269629889</v>
      </c>
      <c r="G119" s="236">
        <f t="shared" si="64"/>
        <v>0.26572838044024805</v>
      </c>
      <c r="H119" s="236">
        <f t="shared" si="64"/>
        <v>0.26499685970118769</v>
      </c>
      <c r="I119" s="236">
        <f t="shared" si="64"/>
        <v>0.27336224540770915</v>
      </c>
      <c r="J119" s="236">
        <f t="shared" si="64"/>
        <v>0.28101743790079703</v>
      </c>
      <c r="K119" s="236">
        <f t="shared" si="64"/>
        <v>-0.77668574844093341</v>
      </c>
      <c r="L119" s="236">
        <f t="shared" si="64"/>
        <v>0.27641313462463113</v>
      </c>
      <c r="M119" s="236">
        <f t="shared" si="64"/>
        <v>0.28190246060659041</v>
      </c>
    </row>
    <row r="120" spans="1:13" ht="15.75" customHeight="1">
      <c r="D120" s="102"/>
      <c r="E120" s="102"/>
      <c r="F120" s="102"/>
      <c r="G120" s="102"/>
      <c r="H120" s="102"/>
      <c r="I120" s="102"/>
      <c r="J120" s="102"/>
      <c r="K120" s="102"/>
      <c r="L120" s="102"/>
      <c r="M120" s="102"/>
    </row>
    <row r="121" spans="1:13" ht="15.75" customHeight="1">
      <c r="D121" s="234"/>
      <c r="E121" s="234"/>
      <c r="F121" s="234"/>
      <c r="G121" s="234"/>
      <c r="H121" s="234"/>
      <c r="I121" s="234"/>
      <c r="J121" s="234"/>
      <c r="K121" s="234"/>
      <c r="L121" s="234"/>
      <c r="M121" s="234"/>
    </row>
    <row r="122" spans="1:13" ht="15.75" customHeight="1">
      <c r="D122" s="102"/>
      <c r="E122" s="102"/>
      <c r="F122" s="102"/>
      <c r="G122" s="102"/>
      <c r="H122" s="102"/>
      <c r="I122" s="102"/>
      <c r="J122" s="102"/>
      <c r="K122" s="102"/>
      <c r="L122" s="102"/>
      <c r="M122" s="102"/>
    </row>
    <row r="123" spans="1:13" ht="15.75" customHeight="1">
      <c r="D123" s="102"/>
      <c r="E123" s="102"/>
      <c r="F123" s="102"/>
      <c r="G123" s="102"/>
      <c r="H123" s="102"/>
      <c r="I123" s="102"/>
      <c r="J123" s="102"/>
      <c r="K123" s="102"/>
      <c r="L123" s="102"/>
      <c r="M123" s="102"/>
    </row>
  </sheetData>
  <pageMargins left="0.25" right="0.25" top="0.75" bottom="0.75" header="0.3" footer="0.3"/>
  <pageSetup scale="4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50A4-103F-424D-950F-D43D262C5443}">
  <sheetPr>
    <pageSetUpPr fitToPage="1"/>
  </sheetPr>
  <dimension ref="A1:O96"/>
  <sheetViews>
    <sheetView showGridLines="0" topLeftCell="A26" zoomScaleNormal="100" workbookViewId="0">
      <selection activeCell="I16" sqref="I16"/>
    </sheetView>
  </sheetViews>
  <sheetFormatPr baseColWidth="10" defaultColWidth="10.83203125" defaultRowHeight="16"/>
  <cols>
    <col min="1" max="1" width="28.5" style="81" customWidth="1"/>
    <col min="2" max="2" width="21.6640625" style="81" bestFit="1" customWidth="1"/>
    <col min="3" max="3" width="20.83203125" style="81" customWidth="1"/>
    <col min="4" max="4" width="22.6640625" style="81" customWidth="1"/>
    <col min="5" max="5" width="12" style="81" bestFit="1" customWidth="1"/>
    <col min="6" max="6" width="11.1640625" style="81" bestFit="1" customWidth="1"/>
    <col min="7" max="7" width="32.5" style="81" bestFit="1" customWidth="1"/>
    <col min="8" max="8" width="10.83203125" style="81"/>
    <col min="9" max="12" width="13.1640625" style="81" bestFit="1" customWidth="1"/>
    <col min="13" max="13" width="21.83203125" style="81" bestFit="1" customWidth="1"/>
    <col min="14" max="15" width="23.5" style="81" bestFit="1" customWidth="1"/>
    <col min="16" max="16384" width="10.83203125" style="81"/>
  </cols>
  <sheetData>
    <row r="1" spans="1:15">
      <c r="A1" s="80" t="s">
        <v>404</v>
      </c>
    </row>
    <row r="2" spans="1:15">
      <c r="A2" s="257"/>
      <c r="B2" s="257" t="s">
        <v>405</v>
      </c>
      <c r="C2" s="85"/>
      <c r="E2" s="258" t="s">
        <v>410</v>
      </c>
      <c r="F2" s="258" t="s">
        <v>411</v>
      </c>
      <c r="G2" s="258" t="s">
        <v>412</v>
      </c>
      <c r="I2" s="260" t="s">
        <v>472</v>
      </c>
      <c r="J2" s="260"/>
      <c r="K2" s="260"/>
      <c r="L2" s="260"/>
      <c r="M2" s="260"/>
      <c r="N2" s="260"/>
      <c r="O2" s="260"/>
    </row>
    <row r="3" spans="1:15">
      <c r="A3" s="104" t="s">
        <v>431</v>
      </c>
      <c r="B3" s="103">
        <v>1136900000</v>
      </c>
      <c r="C3" s="85" t="s">
        <v>430</v>
      </c>
      <c r="E3" s="81" t="s">
        <v>415</v>
      </c>
      <c r="F3" s="83">
        <f>AVERAGE(F31:F38)</f>
        <v>3.612499999999999E-2</v>
      </c>
      <c r="G3" s="113">
        <f>SUM(B31:B38)</f>
        <v>6600</v>
      </c>
      <c r="I3" s="261" t="s">
        <v>413</v>
      </c>
      <c r="J3" s="262">
        <f>F3</f>
        <v>3.612499999999999E-2</v>
      </c>
      <c r="K3" s="262">
        <f>F4</f>
        <v>3.7499999999999999E-2</v>
      </c>
      <c r="L3" s="262">
        <f>F7</f>
        <v>4.2499999999999996E-2</v>
      </c>
      <c r="M3" s="262">
        <f>F8</f>
        <v>3.4250000000000003E-2</v>
      </c>
      <c r="N3" s="261"/>
      <c r="O3" s="261"/>
    </row>
    <row r="4" spans="1:15">
      <c r="A4" s="104" t="s">
        <v>432</v>
      </c>
      <c r="B4" s="105">
        <v>87.26</v>
      </c>
      <c r="E4" s="81" t="s">
        <v>416</v>
      </c>
      <c r="F4" s="83">
        <f>AVERAGE(F39:F44)</f>
        <v>3.7499999999999999E-2</v>
      </c>
      <c r="G4" s="113">
        <f>SUM(B39:B44)</f>
        <v>4500</v>
      </c>
      <c r="I4" s="257" t="s">
        <v>108</v>
      </c>
      <c r="J4" s="257" t="s">
        <v>415</v>
      </c>
      <c r="K4" s="257" t="s">
        <v>416</v>
      </c>
      <c r="L4" s="257" t="s">
        <v>419</v>
      </c>
      <c r="M4" s="257" t="s">
        <v>470</v>
      </c>
      <c r="N4" s="271" t="s">
        <v>420</v>
      </c>
      <c r="O4" s="257" t="s">
        <v>421</v>
      </c>
    </row>
    <row r="5" spans="1:15">
      <c r="A5" s="104" t="s">
        <v>406</v>
      </c>
      <c r="B5" s="81">
        <v>0.98</v>
      </c>
      <c r="C5" s="85" t="s">
        <v>430</v>
      </c>
      <c r="E5" s="81" t="s">
        <v>417</v>
      </c>
      <c r="F5" s="81">
        <f>AVERAGE(0)</f>
        <v>0</v>
      </c>
      <c r="G5" s="113">
        <f>0</f>
        <v>0</v>
      </c>
      <c r="I5" s="81">
        <v>2025</v>
      </c>
      <c r="J5" s="263">
        <f>G3*0.8</f>
        <v>5280</v>
      </c>
      <c r="K5" s="264">
        <f>$G$4</f>
        <v>4500</v>
      </c>
      <c r="L5" s="264">
        <f t="shared" ref="L5:L19" si="0">$G$7</f>
        <v>2850</v>
      </c>
      <c r="M5" s="264">
        <f t="shared" ref="M5:M19" si="1">$G$8</f>
        <v>1750</v>
      </c>
      <c r="N5" s="272">
        <f t="shared" ref="N5:N15" si="2">SUM(J5:M5)</f>
        <v>14380</v>
      </c>
      <c r="O5" s="265">
        <f t="shared" ref="O5:O19" si="3">SUMPRODUCT(J5:M5,$J$3:$M$3)/N5</f>
        <v>3.7590577190542422E-2</v>
      </c>
    </row>
    <row r="6" spans="1:15">
      <c r="A6" s="104" t="s">
        <v>407</v>
      </c>
      <c r="B6" s="83">
        <v>4.7100000000000003E-2</v>
      </c>
      <c r="C6" s="85" t="s">
        <v>585</v>
      </c>
      <c r="E6" s="81" t="s">
        <v>418</v>
      </c>
      <c r="F6" s="81">
        <f>AVERAGE(0)</f>
        <v>0</v>
      </c>
      <c r="G6" s="113">
        <f>0</f>
        <v>0</v>
      </c>
      <c r="I6" s="81">
        <v>2026</v>
      </c>
      <c r="J6" s="263">
        <f>G3*0.6</f>
        <v>3960</v>
      </c>
      <c r="K6" s="264">
        <f>$G$4</f>
        <v>4500</v>
      </c>
      <c r="L6" s="264">
        <f t="shared" si="0"/>
        <v>2850</v>
      </c>
      <c r="M6" s="264">
        <f t="shared" si="1"/>
        <v>1750</v>
      </c>
      <c r="N6" s="272">
        <f t="shared" si="2"/>
        <v>13060</v>
      </c>
      <c r="O6" s="265">
        <f t="shared" si="3"/>
        <v>3.7738705972434915E-2</v>
      </c>
    </row>
    <row r="7" spans="1:15">
      <c r="A7" s="104" t="s">
        <v>408</v>
      </c>
      <c r="B7" s="83">
        <v>4.3299999999999998E-2</v>
      </c>
      <c r="C7" s="111" t="s">
        <v>433</v>
      </c>
      <c r="E7" s="81" t="s">
        <v>419</v>
      </c>
      <c r="F7" s="83">
        <f>AVERAGE(F45:F48)</f>
        <v>4.2499999999999996E-2</v>
      </c>
      <c r="G7" s="113">
        <f>SUM(B45:B48)</f>
        <v>2850</v>
      </c>
      <c r="I7" s="81">
        <v>2027</v>
      </c>
      <c r="J7" s="263">
        <f>G3*0.4</f>
        <v>2640</v>
      </c>
      <c r="K7" s="264">
        <f>$G$4</f>
        <v>4500</v>
      </c>
      <c r="L7" s="264">
        <f t="shared" si="0"/>
        <v>2850</v>
      </c>
      <c r="M7" s="264">
        <f t="shared" si="1"/>
        <v>1750</v>
      </c>
      <c r="N7" s="272">
        <f t="shared" si="2"/>
        <v>11740</v>
      </c>
      <c r="O7" s="265">
        <f t="shared" si="3"/>
        <v>3.7920144804088583E-2</v>
      </c>
    </row>
    <row r="8" spans="1:15">
      <c r="A8" s="104" t="s">
        <v>409</v>
      </c>
      <c r="B8" s="106">
        <f>B6+(B5*B7)</f>
        <v>8.9534000000000002E-2</v>
      </c>
      <c r="E8" s="81" t="s">
        <v>470</v>
      </c>
      <c r="F8" s="83">
        <f>AVERAGE(F49:F50)</f>
        <v>3.4250000000000003E-2</v>
      </c>
      <c r="G8" s="113">
        <f>SUM(B49:B50)</f>
        <v>1750</v>
      </c>
      <c r="I8" s="81">
        <v>2028</v>
      </c>
      <c r="J8" s="264">
        <f>G3*0.2</f>
        <v>1320</v>
      </c>
      <c r="K8" s="264">
        <f>$G$4</f>
        <v>4500</v>
      </c>
      <c r="L8" s="264">
        <f t="shared" si="0"/>
        <v>2850</v>
      </c>
      <c r="M8" s="264">
        <f t="shared" si="1"/>
        <v>1750</v>
      </c>
      <c r="N8" s="272">
        <f t="shared" si="2"/>
        <v>10420</v>
      </c>
      <c r="O8" s="265">
        <f t="shared" si="3"/>
        <v>3.8147552783109405E-2</v>
      </c>
    </row>
    <row r="9" spans="1:15">
      <c r="A9" s="104"/>
      <c r="F9" s="79">
        <f>SUMPRODUCT(F3:F8,G3:G8) / SUM(G3:G8)/100</f>
        <v>3.7467356687898089E-4</v>
      </c>
      <c r="G9" s="113">
        <f>SUM(G3:G8)</f>
        <v>15700</v>
      </c>
      <c r="I9" s="81">
        <v>2029</v>
      </c>
      <c r="J9" s="264">
        <v>0</v>
      </c>
      <c r="K9" s="264">
        <f>$G$4</f>
        <v>4500</v>
      </c>
      <c r="L9" s="264">
        <f t="shared" si="0"/>
        <v>2850</v>
      </c>
      <c r="M9" s="264">
        <f t="shared" si="1"/>
        <v>1750</v>
      </c>
      <c r="N9" s="272">
        <f t="shared" si="2"/>
        <v>9100</v>
      </c>
      <c r="O9" s="265">
        <f t="shared" si="3"/>
        <v>3.8440934065934067E-2</v>
      </c>
    </row>
    <row r="10" spans="1:15">
      <c r="A10" s="104" t="s">
        <v>414</v>
      </c>
      <c r="B10" s="83">
        <f>F9</f>
        <v>3.7467356687898089E-4</v>
      </c>
      <c r="I10" s="81">
        <v>2030</v>
      </c>
      <c r="J10" s="264">
        <v>0</v>
      </c>
      <c r="K10" s="264">
        <f>G4*0.8</f>
        <v>3600</v>
      </c>
      <c r="L10" s="264">
        <f t="shared" si="0"/>
        <v>2850</v>
      </c>
      <c r="M10" s="264">
        <f t="shared" si="1"/>
        <v>1750</v>
      </c>
      <c r="N10" s="272">
        <f t="shared" si="2"/>
        <v>8200</v>
      </c>
      <c r="O10" s="265">
        <f t="shared" si="3"/>
        <v>3.854420731707317E-2</v>
      </c>
    </row>
    <row r="11" spans="1:15">
      <c r="A11" s="104" t="s">
        <v>422</v>
      </c>
      <c r="B11" s="83">
        <f>'Interest &amp; Taxes'!B19</f>
        <v>0.31</v>
      </c>
      <c r="E11" s="259" t="s">
        <v>473</v>
      </c>
      <c r="F11" s="259" t="s">
        <v>122</v>
      </c>
      <c r="G11" s="259" t="s">
        <v>506</v>
      </c>
      <c r="I11" s="81">
        <v>2031</v>
      </c>
      <c r="J11" s="264">
        <v>0</v>
      </c>
      <c r="K11" s="264">
        <f>G4*0.6</f>
        <v>2700</v>
      </c>
      <c r="L11" s="264">
        <f t="shared" si="0"/>
        <v>2850</v>
      </c>
      <c r="M11" s="264">
        <f t="shared" si="1"/>
        <v>1750</v>
      </c>
      <c r="N11" s="272">
        <f t="shared" si="2"/>
        <v>7300</v>
      </c>
      <c r="O11" s="265">
        <f t="shared" si="3"/>
        <v>3.8672945205479453E-2</v>
      </c>
    </row>
    <row r="12" spans="1:15">
      <c r="A12" s="104" t="s">
        <v>423</v>
      </c>
      <c r="B12" s="114">
        <f>B10*(1-B11)</f>
        <v>2.5852476114649679E-4</v>
      </c>
      <c r="E12" s="1" t="s">
        <v>434</v>
      </c>
      <c r="F12" s="1">
        <v>5</v>
      </c>
      <c r="G12" s="112">
        <f>G3/F12</f>
        <v>1320</v>
      </c>
      <c r="I12" s="81">
        <v>2032</v>
      </c>
      <c r="J12" s="264">
        <v>0</v>
      </c>
      <c r="K12" s="264">
        <f>G4*0.4</f>
        <v>1800</v>
      </c>
      <c r="L12" s="264">
        <f t="shared" si="0"/>
        <v>2850</v>
      </c>
      <c r="M12" s="264">
        <f t="shared" si="1"/>
        <v>1750</v>
      </c>
      <c r="N12" s="272">
        <f t="shared" si="2"/>
        <v>6400</v>
      </c>
      <c r="O12" s="265">
        <f t="shared" si="3"/>
        <v>3.8837890625000003E-2</v>
      </c>
    </row>
    <row r="13" spans="1:15">
      <c r="A13" s="104"/>
      <c r="E13" s="1" t="s">
        <v>435</v>
      </c>
      <c r="F13" s="1">
        <v>5</v>
      </c>
      <c r="G13" s="112">
        <f>G4/F13</f>
        <v>900</v>
      </c>
      <c r="I13" s="81">
        <v>2033</v>
      </c>
      <c r="J13" s="264">
        <v>0</v>
      </c>
      <c r="K13" s="264">
        <f>G4*0.2</f>
        <v>900</v>
      </c>
      <c r="L13" s="264">
        <f t="shared" si="0"/>
        <v>2850</v>
      </c>
      <c r="M13" s="264">
        <f t="shared" si="1"/>
        <v>1750</v>
      </c>
      <c r="N13" s="272">
        <f t="shared" si="2"/>
        <v>5500</v>
      </c>
      <c r="O13" s="265">
        <f t="shared" si="3"/>
        <v>3.9056818181818179E-2</v>
      </c>
    </row>
    <row r="14" spans="1:15">
      <c r="A14" s="104" t="s">
        <v>424</v>
      </c>
      <c r="B14" s="109">
        <f>(B4*B3)</f>
        <v>99205894000</v>
      </c>
      <c r="E14" s="1" t="s">
        <v>436</v>
      </c>
      <c r="F14" s="1">
        <v>5</v>
      </c>
      <c r="G14" s="112">
        <f>G7/F14</f>
        <v>570</v>
      </c>
      <c r="I14" s="266">
        <v>2034</v>
      </c>
      <c r="J14" s="264">
        <v>0</v>
      </c>
      <c r="K14" s="264">
        <v>0</v>
      </c>
      <c r="L14" s="264">
        <f t="shared" si="0"/>
        <v>2850</v>
      </c>
      <c r="M14" s="264">
        <f t="shared" si="1"/>
        <v>1750</v>
      </c>
      <c r="N14" s="272">
        <f t="shared" si="2"/>
        <v>4600</v>
      </c>
      <c r="O14" s="265">
        <f t="shared" si="3"/>
        <v>3.9361413043478261E-2</v>
      </c>
    </row>
    <row r="15" spans="1:15">
      <c r="A15" s="104" t="s">
        <v>425</v>
      </c>
      <c r="B15" s="109">
        <v>26611500000</v>
      </c>
      <c r="C15" s="85" t="s">
        <v>430</v>
      </c>
      <c r="E15" s="1" t="s">
        <v>437</v>
      </c>
      <c r="F15" s="1" t="s">
        <v>474</v>
      </c>
      <c r="G15" s="112">
        <f>G8</f>
        <v>1750</v>
      </c>
      <c r="I15" s="266">
        <v>2045</v>
      </c>
      <c r="J15" s="264">
        <v>0</v>
      </c>
      <c r="K15" s="264">
        <v>0</v>
      </c>
      <c r="L15" s="264">
        <f t="shared" si="0"/>
        <v>2850</v>
      </c>
      <c r="M15" s="264">
        <f t="shared" si="1"/>
        <v>1750</v>
      </c>
      <c r="N15" s="272">
        <f t="shared" si="2"/>
        <v>4600</v>
      </c>
      <c r="O15" s="265">
        <f t="shared" si="3"/>
        <v>3.9361413043478261E-2</v>
      </c>
    </row>
    <row r="16" spans="1:15">
      <c r="A16" s="107" t="s">
        <v>426</v>
      </c>
      <c r="B16" s="115">
        <f>SUM(B14:B15)</f>
        <v>125817394000</v>
      </c>
      <c r="I16" s="266">
        <v>2046</v>
      </c>
      <c r="J16" s="264">
        <v>0</v>
      </c>
      <c r="K16" s="264">
        <v>0</v>
      </c>
      <c r="L16" s="264">
        <f t="shared" si="0"/>
        <v>2850</v>
      </c>
      <c r="M16" s="264">
        <f t="shared" si="1"/>
        <v>1750</v>
      </c>
      <c r="N16" s="272">
        <f t="shared" ref="N16:N19" si="4">SUM(J16:M16)</f>
        <v>4600</v>
      </c>
      <c r="O16" s="265">
        <f t="shared" si="3"/>
        <v>3.9361413043478261E-2</v>
      </c>
    </row>
    <row r="17" spans="1:15">
      <c r="A17" s="104" t="s">
        <v>427</v>
      </c>
      <c r="B17" s="106">
        <f>B14/B16</f>
        <v>0.78849108891891373</v>
      </c>
      <c r="I17" s="266">
        <v>2047</v>
      </c>
      <c r="J17" s="264">
        <v>0</v>
      </c>
      <c r="K17" s="264">
        <v>0</v>
      </c>
      <c r="L17" s="264">
        <f t="shared" si="0"/>
        <v>2850</v>
      </c>
      <c r="M17" s="264">
        <f t="shared" si="1"/>
        <v>1750</v>
      </c>
      <c r="N17" s="272">
        <f t="shared" si="4"/>
        <v>4600</v>
      </c>
      <c r="O17" s="265">
        <f t="shared" si="3"/>
        <v>3.9361413043478261E-2</v>
      </c>
    </row>
    <row r="18" spans="1:15">
      <c r="A18" s="104" t="s">
        <v>428</v>
      </c>
      <c r="B18" s="106">
        <f>B15/B16</f>
        <v>0.2115089110810863</v>
      </c>
      <c r="I18" s="266">
        <v>2048</v>
      </c>
      <c r="J18" s="264">
        <v>0</v>
      </c>
      <c r="K18" s="264">
        <v>0</v>
      </c>
      <c r="L18" s="264">
        <f t="shared" si="0"/>
        <v>2850</v>
      </c>
      <c r="M18" s="264">
        <f t="shared" si="1"/>
        <v>1750</v>
      </c>
      <c r="N18" s="272">
        <f t="shared" si="4"/>
        <v>4600</v>
      </c>
      <c r="O18" s="265">
        <f t="shared" si="3"/>
        <v>3.9361413043478261E-2</v>
      </c>
    </row>
    <row r="19" spans="1:15">
      <c r="A19" s="104"/>
      <c r="I19" s="266">
        <v>2049</v>
      </c>
      <c r="J19" s="264">
        <v>0</v>
      </c>
      <c r="K19" s="264">
        <v>0</v>
      </c>
      <c r="L19" s="264">
        <f t="shared" si="0"/>
        <v>2850</v>
      </c>
      <c r="M19" s="264">
        <f t="shared" si="1"/>
        <v>1750</v>
      </c>
      <c r="N19" s="272">
        <f t="shared" si="4"/>
        <v>4600</v>
      </c>
      <c r="O19" s="265">
        <f t="shared" si="3"/>
        <v>3.9361413043478261E-2</v>
      </c>
    </row>
    <row r="20" spans="1:15">
      <c r="A20" s="104"/>
    </row>
    <row r="21" spans="1:15">
      <c r="A21" s="107" t="s">
        <v>429</v>
      </c>
      <c r="B21" s="106">
        <f>(B17*B8)+(B18*B12)</f>
        <v>7.065144144598362E-2</v>
      </c>
    </row>
    <row r="26" spans="1:15">
      <c r="A26" s="80" t="s">
        <v>471</v>
      </c>
    </row>
    <row r="27" spans="1:15">
      <c r="A27" s="257" t="s">
        <v>438</v>
      </c>
      <c r="B27" s="257" t="s">
        <v>439</v>
      </c>
      <c r="C27" s="257" t="s">
        <v>440</v>
      </c>
      <c r="D27" s="257" t="s">
        <v>441</v>
      </c>
      <c r="E27" s="257" t="s">
        <v>442</v>
      </c>
      <c r="F27" s="257" t="s">
        <v>443</v>
      </c>
      <c r="G27" s="257" t="s">
        <v>444</v>
      </c>
    </row>
    <row r="28" spans="1:15">
      <c r="A28" s="81" t="s">
        <v>445</v>
      </c>
      <c r="B28" s="267">
        <v>0</v>
      </c>
      <c r="C28" s="267">
        <v>0</v>
      </c>
      <c r="D28" s="267">
        <v>750</v>
      </c>
      <c r="E28" s="267">
        <v>749.9</v>
      </c>
      <c r="F28" s="83">
        <v>3.85E-2</v>
      </c>
      <c r="G28" s="83">
        <v>2.8590000000000001E-2</v>
      </c>
    </row>
    <row r="29" spans="1:15">
      <c r="A29" s="81" t="s">
        <v>446</v>
      </c>
      <c r="B29" s="267">
        <v>0</v>
      </c>
      <c r="C29" s="267">
        <v>0</v>
      </c>
      <c r="D29" s="267">
        <v>500</v>
      </c>
      <c r="E29" s="267">
        <v>504.2</v>
      </c>
      <c r="F29" s="83">
        <v>5.8479999999999997E-2</v>
      </c>
      <c r="G29" s="83">
        <v>6.0789999999999997E-2</v>
      </c>
    </row>
    <row r="30" spans="1:15">
      <c r="A30" s="81" t="s">
        <v>447</v>
      </c>
      <c r="B30" s="267">
        <v>0</v>
      </c>
      <c r="C30" s="267">
        <v>0</v>
      </c>
      <c r="D30" s="267">
        <v>569.29999999999995</v>
      </c>
      <c r="E30" s="267">
        <v>569.29999999999995</v>
      </c>
      <c r="F30" s="83">
        <v>3.7200000000000002E-3</v>
      </c>
      <c r="G30" s="83">
        <v>4.62E-3</v>
      </c>
    </row>
    <row r="31" spans="1:15">
      <c r="A31" s="81" t="s">
        <v>448</v>
      </c>
      <c r="B31" s="267">
        <v>1250</v>
      </c>
      <c r="C31" s="267">
        <v>1243.4000000000001</v>
      </c>
      <c r="D31" s="267">
        <v>1250</v>
      </c>
      <c r="E31" s="267">
        <v>1210.5</v>
      </c>
      <c r="F31" s="83">
        <v>3.7999999999999999E-2</v>
      </c>
      <c r="G31" s="83">
        <v>3.721E-2</v>
      </c>
    </row>
    <row r="32" spans="1:15">
      <c r="A32" s="81" t="s">
        <v>449</v>
      </c>
      <c r="B32" s="267">
        <v>1000</v>
      </c>
      <c r="C32" s="267">
        <v>1008.3</v>
      </c>
      <c r="D32" s="267">
        <v>1000</v>
      </c>
      <c r="E32" s="267">
        <v>985.5</v>
      </c>
      <c r="F32" s="83">
        <v>4.7500000000000001E-2</v>
      </c>
      <c r="G32" s="83">
        <v>4.7879999999999999E-2</v>
      </c>
    </row>
    <row r="33" spans="1:7">
      <c r="A33" s="81" t="s">
        <v>450</v>
      </c>
      <c r="B33" s="267">
        <v>500</v>
      </c>
      <c r="C33" s="267">
        <v>486.8</v>
      </c>
      <c r="D33" s="267">
        <v>500</v>
      </c>
      <c r="E33" s="267">
        <v>463.5</v>
      </c>
      <c r="F33" s="83">
        <v>2.4500000000000001E-2</v>
      </c>
      <c r="G33" s="83">
        <v>2.511E-2</v>
      </c>
    </row>
    <row r="34" spans="1:7">
      <c r="A34" s="81" t="s">
        <v>451</v>
      </c>
      <c r="B34" s="267">
        <v>1000</v>
      </c>
      <c r="C34" s="267">
        <v>1017.8</v>
      </c>
      <c r="D34" s="267">
        <v>0</v>
      </c>
      <c r="E34" s="267">
        <v>0</v>
      </c>
      <c r="F34" s="83">
        <v>4.8500000000000001E-2</v>
      </c>
      <c r="G34" s="83">
        <v>4.9579999999999999E-2</v>
      </c>
    </row>
    <row r="35" spans="1:7">
      <c r="A35" s="81" t="s">
        <v>452</v>
      </c>
      <c r="B35" s="267">
        <v>500</v>
      </c>
      <c r="C35" s="267">
        <v>477.1</v>
      </c>
      <c r="D35" s="267">
        <v>500</v>
      </c>
      <c r="E35" s="267">
        <v>446.1</v>
      </c>
      <c r="F35" s="83">
        <v>0.02</v>
      </c>
      <c r="G35" s="83">
        <v>2.0580000000000001E-2</v>
      </c>
    </row>
    <row r="36" spans="1:7">
      <c r="A36" s="81" t="s">
        <v>453</v>
      </c>
      <c r="B36" s="267">
        <v>600</v>
      </c>
      <c r="C36" s="267">
        <v>590.29999999999995</v>
      </c>
      <c r="D36" s="267">
        <v>600</v>
      </c>
      <c r="E36" s="267">
        <v>554.70000000000005</v>
      </c>
      <c r="F36" s="83">
        <v>3.5000000000000003E-2</v>
      </c>
      <c r="G36" s="83">
        <v>3.5290000000000002E-2</v>
      </c>
    </row>
    <row r="37" spans="1:7">
      <c r="A37" s="81" t="s">
        <v>454</v>
      </c>
      <c r="B37" s="267">
        <v>750</v>
      </c>
      <c r="C37" s="267">
        <v>748.4</v>
      </c>
      <c r="D37" s="267">
        <v>750</v>
      </c>
      <c r="E37" s="267">
        <v>704.5</v>
      </c>
      <c r="F37" s="83">
        <v>0.04</v>
      </c>
      <c r="G37" s="83">
        <v>3.9579999999999997E-2</v>
      </c>
    </row>
    <row r="38" spans="1:7">
      <c r="A38" s="81" t="s">
        <v>455</v>
      </c>
      <c r="B38" s="267">
        <v>1000</v>
      </c>
      <c r="C38" s="267">
        <v>977.3</v>
      </c>
      <c r="D38" s="267">
        <v>1000</v>
      </c>
      <c r="E38" s="267">
        <v>904.1</v>
      </c>
      <c r="F38" s="83">
        <v>3.5499999999999997E-2</v>
      </c>
      <c r="G38" s="83">
        <v>3.8399999999999997E-2</v>
      </c>
    </row>
    <row r="39" spans="1:7">
      <c r="A39" s="81" t="s">
        <v>456</v>
      </c>
      <c r="B39" s="267">
        <v>750</v>
      </c>
      <c r="C39" s="267">
        <v>679</v>
      </c>
      <c r="D39" s="267">
        <v>750</v>
      </c>
      <c r="E39" s="267">
        <v>615.1</v>
      </c>
      <c r="F39" s="83">
        <v>2.2499999999999999E-2</v>
      </c>
      <c r="G39" s="83">
        <v>3.0839999999999999E-2</v>
      </c>
    </row>
    <row r="40" spans="1:7">
      <c r="A40" s="81" t="s">
        <v>457</v>
      </c>
      <c r="B40" s="267">
        <v>1250</v>
      </c>
      <c r="C40" s="267">
        <v>1135.4000000000001</v>
      </c>
      <c r="D40" s="267">
        <v>1250</v>
      </c>
      <c r="E40" s="267">
        <v>1027.0999999999999</v>
      </c>
      <c r="F40" s="83">
        <v>2.5499999999999998E-2</v>
      </c>
      <c r="G40" s="83">
        <v>2.5819999999999999E-2</v>
      </c>
    </row>
    <row r="41" spans="1:7">
      <c r="A41" s="81" t="s">
        <v>458</v>
      </c>
      <c r="B41" s="267">
        <v>500</v>
      </c>
      <c r="C41" s="267">
        <v>520.79999999999995</v>
      </c>
      <c r="D41" s="267">
        <v>0</v>
      </c>
      <c r="E41" s="267">
        <v>0</v>
      </c>
      <c r="F41" s="83">
        <v>4.9000000000000002E-2</v>
      </c>
      <c r="G41" s="83">
        <v>5.0459999999999998E-2</v>
      </c>
    </row>
    <row r="42" spans="1:7">
      <c r="A42" s="81" t="s">
        <v>459</v>
      </c>
      <c r="B42" s="267">
        <v>1000</v>
      </c>
      <c r="C42" s="267">
        <v>912</v>
      </c>
      <c r="D42" s="267">
        <v>1000</v>
      </c>
      <c r="E42" s="267">
        <v>828</v>
      </c>
      <c r="F42" s="83">
        <v>0.03</v>
      </c>
      <c r="G42" s="83">
        <v>3.1550000000000002E-2</v>
      </c>
    </row>
    <row r="43" spans="1:7">
      <c r="A43" s="81" t="s">
        <v>460</v>
      </c>
      <c r="B43" s="267">
        <v>500</v>
      </c>
      <c r="C43" s="267">
        <v>513.1</v>
      </c>
      <c r="D43" s="267">
        <v>500</v>
      </c>
      <c r="E43" s="267">
        <v>470.7</v>
      </c>
      <c r="F43" s="83">
        <v>4.8000000000000001E-2</v>
      </c>
      <c r="G43" s="83">
        <v>3.798E-2</v>
      </c>
    </row>
    <row r="44" spans="1:7">
      <c r="A44" s="81" t="s">
        <v>461</v>
      </c>
      <c r="B44" s="267">
        <v>500</v>
      </c>
      <c r="C44" s="267">
        <v>515</v>
      </c>
      <c r="D44" s="267">
        <v>0</v>
      </c>
      <c r="E44" s="267">
        <v>0</v>
      </c>
      <c r="F44" s="83">
        <v>0.05</v>
      </c>
      <c r="G44" s="83">
        <v>5.1270000000000003E-2</v>
      </c>
    </row>
    <row r="45" spans="1:7">
      <c r="A45" s="81" t="s">
        <v>462</v>
      </c>
      <c r="B45" s="267">
        <v>350</v>
      </c>
      <c r="C45" s="267">
        <v>308.5</v>
      </c>
      <c r="D45" s="267">
        <v>350</v>
      </c>
      <c r="E45" s="267">
        <v>275.3</v>
      </c>
      <c r="F45" s="83">
        <v>4.2999999999999997E-2</v>
      </c>
      <c r="G45" s="83">
        <v>4.3479999999999998E-2</v>
      </c>
    </row>
    <row r="46" spans="1:7">
      <c r="A46" s="81" t="s">
        <v>463</v>
      </c>
      <c r="B46" s="267">
        <v>500</v>
      </c>
      <c r="C46" s="267">
        <v>398.8</v>
      </c>
      <c r="D46" s="267">
        <v>500</v>
      </c>
      <c r="E46" s="267">
        <v>354</v>
      </c>
      <c r="F46" s="83">
        <v>3.7499999999999999E-2</v>
      </c>
      <c r="G46" s="83">
        <v>3.7650000000000003E-2</v>
      </c>
    </row>
    <row r="47" spans="1:7">
      <c r="A47" s="81" t="s">
        <v>464</v>
      </c>
      <c r="B47" s="267">
        <v>1000</v>
      </c>
      <c r="C47" s="267">
        <v>903.4</v>
      </c>
      <c r="D47" s="267">
        <v>1000</v>
      </c>
      <c r="E47" s="267">
        <v>799</v>
      </c>
      <c r="F47" s="83">
        <v>4.4999999999999998E-2</v>
      </c>
      <c r="G47" s="83">
        <v>4.5039999999999997E-2</v>
      </c>
    </row>
    <row r="48" spans="1:7">
      <c r="A48" s="81" t="s">
        <v>465</v>
      </c>
      <c r="B48" s="267">
        <v>1000</v>
      </c>
      <c r="C48" s="267">
        <v>889</v>
      </c>
      <c r="D48" s="267">
        <v>1000</v>
      </c>
      <c r="E48" s="267">
        <v>792.7</v>
      </c>
      <c r="F48" s="83">
        <v>4.4499999999999998E-2</v>
      </c>
      <c r="G48" s="83">
        <v>4.4470000000000003E-2</v>
      </c>
    </row>
    <row r="49" spans="1:7">
      <c r="A49" s="81" t="s">
        <v>466</v>
      </c>
      <c r="B49" s="267">
        <v>500</v>
      </c>
      <c r="C49" s="267">
        <v>367.9</v>
      </c>
      <c r="D49" s="267">
        <v>500</v>
      </c>
      <c r="E49" s="267">
        <v>328.6</v>
      </c>
      <c r="F49" s="83">
        <v>3.3500000000000002E-2</v>
      </c>
      <c r="G49" s="83">
        <v>3.3619999999999997E-2</v>
      </c>
    </row>
    <row r="50" spans="1:7">
      <c r="A50" s="81" t="s">
        <v>467</v>
      </c>
      <c r="B50" s="267">
        <v>1250</v>
      </c>
      <c r="C50" s="267">
        <v>954.4</v>
      </c>
      <c r="D50" s="267">
        <v>1250</v>
      </c>
      <c r="E50" s="267">
        <v>843.4</v>
      </c>
      <c r="F50" s="83">
        <v>3.5000000000000003E-2</v>
      </c>
      <c r="G50" s="83">
        <v>3.5279999999999999E-2</v>
      </c>
    </row>
    <row r="51" spans="1:7" s="108" customFormat="1">
      <c r="A51" s="268" t="s">
        <v>426</v>
      </c>
      <c r="B51" s="269">
        <f>SUM(B28:B50)</f>
        <v>15700</v>
      </c>
      <c r="C51" s="269">
        <f t="shared" ref="C51:E51" si="5">SUM(C28:C50)</f>
        <v>14646.699999999999</v>
      </c>
      <c r="D51" s="269">
        <f t="shared" si="5"/>
        <v>15519.3</v>
      </c>
      <c r="E51" s="269">
        <f t="shared" si="5"/>
        <v>13426.2</v>
      </c>
    </row>
    <row r="52" spans="1:7">
      <c r="A52" s="81" t="s">
        <v>468</v>
      </c>
      <c r="B52" s="267">
        <v>-113.8</v>
      </c>
      <c r="C52" s="267"/>
      <c r="D52" s="267">
        <v>-113.1</v>
      </c>
      <c r="E52" s="110"/>
    </row>
    <row r="53" spans="1:7">
      <c r="A53" s="81" t="s">
        <v>469</v>
      </c>
      <c r="B53" s="267">
        <v>-17.8</v>
      </c>
      <c r="C53" s="267"/>
      <c r="D53" s="267">
        <v>-40</v>
      </c>
    </row>
    <row r="54" spans="1:7" ht="17" thickBot="1">
      <c r="A54" s="270" t="s">
        <v>426</v>
      </c>
      <c r="B54" s="270">
        <f>B51+B52+B53</f>
        <v>15568.400000000001</v>
      </c>
      <c r="C54" s="270"/>
      <c r="D54" s="270">
        <f t="shared" ref="D54" si="6">D51+D52+D53</f>
        <v>15366.199999999999</v>
      </c>
      <c r="E54" s="194"/>
      <c r="F54" s="194"/>
      <c r="G54" s="194"/>
    </row>
    <row r="55" spans="1:7">
      <c r="B55" s="110"/>
      <c r="C55" s="110"/>
      <c r="D55" s="110"/>
    </row>
    <row r="56" spans="1:7">
      <c r="B56" s="110"/>
      <c r="C56" s="110"/>
      <c r="D56" s="110"/>
    </row>
    <row r="57" spans="1:7">
      <c r="B57" s="110"/>
      <c r="C57" s="110"/>
      <c r="D57" s="110"/>
    </row>
    <row r="58" spans="1:7">
      <c r="B58" s="110"/>
      <c r="C58" s="110"/>
      <c r="D58" s="110"/>
    </row>
    <row r="59" spans="1:7">
      <c r="B59" s="110"/>
      <c r="C59" s="110"/>
      <c r="D59" s="110"/>
    </row>
    <row r="60" spans="1:7">
      <c r="B60" s="110"/>
      <c r="C60" s="110"/>
      <c r="D60" s="110"/>
    </row>
    <row r="61" spans="1:7">
      <c r="B61" s="110"/>
      <c r="C61" s="110"/>
      <c r="D61" s="110"/>
    </row>
    <row r="62" spans="1:7">
      <c r="B62" s="110"/>
      <c r="C62" s="110"/>
      <c r="D62" s="110"/>
    </row>
    <row r="63" spans="1:7">
      <c r="B63" s="110"/>
      <c r="C63" s="110"/>
      <c r="D63" s="110"/>
    </row>
    <row r="64" spans="1:7">
      <c r="B64" s="110"/>
      <c r="C64" s="110"/>
      <c r="D64" s="110"/>
    </row>
    <row r="65" spans="2:4">
      <c r="B65" s="110"/>
      <c r="C65" s="110"/>
      <c r="D65" s="110"/>
    </row>
    <row r="66" spans="2:4">
      <c r="B66" s="110"/>
      <c r="C66" s="110"/>
      <c r="D66" s="110"/>
    </row>
    <row r="67" spans="2:4">
      <c r="B67" s="110"/>
      <c r="C67" s="110"/>
      <c r="D67" s="110"/>
    </row>
    <row r="68" spans="2:4">
      <c r="B68" s="110"/>
      <c r="C68" s="110"/>
      <c r="D68" s="110"/>
    </row>
    <row r="69" spans="2:4">
      <c r="B69" s="110"/>
      <c r="C69" s="110"/>
      <c r="D69" s="110"/>
    </row>
    <row r="70" spans="2:4">
      <c r="B70" s="110"/>
      <c r="C70" s="110"/>
      <c r="D70" s="110"/>
    </row>
    <row r="71" spans="2:4">
      <c r="B71" s="110"/>
      <c r="C71" s="110"/>
      <c r="D71" s="110"/>
    </row>
    <row r="72" spans="2:4">
      <c r="B72" s="110"/>
      <c r="C72" s="110"/>
      <c r="D72" s="110"/>
    </row>
    <row r="73" spans="2:4">
      <c r="B73" s="110"/>
      <c r="C73" s="110"/>
      <c r="D73" s="110"/>
    </row>
    <row r="74" spans="2:4">
      <c r="B74" s="110"/>
      <c r="C74" s="110"/>
      <c r="D74" s="110"/>
    </row>
    <row r="75" spans="2:4">
      <c r="B75" s="110"/>
      <c r="C75" s="110"/>
      <c r="D75" s="110"/>
    </row>
    <row r="76" spans="2:4">
      <c r="B76" s="110"/>
      <c r="C76" s="110"/>
      <c r="D76" s="110"/>
    </row>
    <row r="77" spans="2:4">
      <c r="B77" s="110"/>
      <c r="C77" s="110"/>
      <c r="D77" s="110"/>
    </row>
    <row r="78" spans="2:4">
      <c r="B78" s="110"/>
      <c r="C78" s="110"/>
      <c r="D78" s="110"/>
    </row>
    <row r="79" spans="2:4">
      <c r="B79" s="110"/>
      <c r="C79" s="110"/>
      <c r="D79" s="110"/>
    </row>
    <row r="80" spans="2:4">
      <c r="B80" s="110"/>
      <c r="C80" s="110"/>
      <c r="D80" s="110"/>
    </row>
    <row r="81" spans="2:4">
      <c r="B81" s="110"/>
      <c r="C81" s="110"/>
      <c r="D81" s="110"/>
    </row>
    <row r="82" spans="2:4">
      <c r="B82" s="110"/>
      <c r="C82" s="110"/>
      <c r="D82" s="110"/>
    </row>
    <row r="83" spans="2:4">
      <c r="B83" s="110"/>
      <c r="C83" s="110"/>
      <c r="D83" s="110"/>
    </row>
    <row r="84" spans="2:4">
      <c r="B84" s="110"/>
      <c r="C84" s="110"/>
      <c r="D84" s="110"/>
    </row>
    <row r="85" spans="2:4">
      <c r="B85" s="110"/>
      <c r="C85" s="110"/>
      <c r="D85" s="110"/>
    </row>
    <row r="86" spans="2:4">
      <c r="B86" s="110"/>
      <c r="C86" s="110"/>
      <c r="D86" s="110"/>
    </row>
    <row r="87" spans="2:4">
      <c r="B87" s="110"/>
      <c r="C87" s="110"/>
      <c r="D87" s="110"/>
    </row>
    <row r="88" spans="2:4">
      <c r="B88" s="110"/>
      <c r="C88" s="110"/>
      <c r="D88" s="110"/>
    </row>
    <row r="89" spans="2:4">
      <c r="B89" s="110"/>
      <c r="C89" s="110"/>
      <c r="D89" s="110"/>
    </row>
    <row r="90" spans="2:4">
      <c r="B90" s="110"/>
      <c r="C90" s="110"/>
      <c r="D90" s="110"/>
    </row>
    <row r="91" spans="2:4">
      <c r="B91" s="110"/>
      <c r="C91" s="110"/>
      <c r="D91" s="110"/>
    </row>
    <row r="92" spans="2:4">
      <c r="B92" s="110"/>
      <c r="C92" s="110"/>
      <c r="D92" s="110"/>
    </row>
    <row r="93" spans="2:4">
      <c r="B93" s="110"/>
      <c r="C93" s="110"/>
      <c r="D93" s="110"/>
    </row>
    <row r="94" spans="2:4">
      <c r="B94" s="110"/>
      <c r="C94" s="110"/>
      <c r="D94" s="110"/>
    </row>
    <row r="95" spans="2:4">
      <c r="B95" s="110"/>
      <c r="C95" s="110"/>
      <c r="D95" s="110"/>
    </row>
    <row r="96" spans="2:4">
      <c r="B96" s="110"/>
      <c r="C96" s="110"/>
      <c r="D96" s="110"/>
    </row>
  </sheetData>
  <hyperlinks>
    <hyperlink ref="C7" r:id="rId1" display="https://pages.stern.nyu.edu/~adamodar/New_Home_Page/datafile/ctryprem.html" xr:uid="{2E419F29-111A-C04E-9312-92FFC6550E8C}"/>
  </hyperlinks>
  <pageMargins left="0.7" right="0.7" top="0.75" bottom="0.75" header="0.3" footer="0.3"/>
  <pageSetup scale="70" orientation="landscape" r:id="rId2"/>
  <drawing r:id="rId3"/>
  <legacy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F0EB-2F1D-B04A-9A32-DA61247BFC99}">
  <sheetPr>
    <tabColor rgb="FF007041"/>
    <outlinePr summaryBelow="0" summaryRight="0"/>
    <pageSetUpPr fitToPage="1"/>
  </sheetPr>
  <dimension ref="A1:N143"/>
  <sheetViews>
    <sheetView showGridLines="0" zoomScaleNormal="100" workbookViewId="0">
      <pane xSplit="1" topLeftCell="B1" activePane="topRight" state="frozen"/>
      <selection pane="topRight" activeCell="J53" sqref="J53"/>
    </sheetView>
  </sheetViews>
  <sheetFormatPr baseColWidth="10" defaultColWidth="14.5" defaultRowHeight="15.75" customHeight="1"/>
  <cols>
    <col min="1" max="1" width="35.83203125" style="49" customWidth="1"/>
    <col min="2" max="2" width="13" style="67" customWidth="1"/>
    <col min="3" max="3" width="13.6640625" style="49" customWidth="1"/>
    <col min="4" max="13" width="16.33203125" style="49" bestFit="1" customWidth="1"/>
    <col min="14" max="14" width="10.6640625" style="49" customWidth="1"/>
    <col min="15" max="16384" width="14.5" style="49"/>
  </cols>
  <sheetData>
    <row r="1" spans="1:13" ht="15.75" customHeight="1">
      <c r="A1" s="48" t="s">
        <v>513</v>
      </c>
      <c r="B1" s="96"/>
    </row>
    <row r="2" spans="1:13" ht="15.75" customHeight="1">
      <c r="A2" s="51" t="s">
        <v>265</v>
      </c>
      <c r="B2" s="240"/>
      <c r="C2" s="51"/>
    </row>
    <row r="3" spans="1:13" ht="15.75" customHeight="1">
      <c r="A3" s="168"/>
      <c r="B3" s="168"/>
      <c r="C3" s="167">
        <v>2024</v>
      </c>
      <c r="D3" s="167">
        <v>2025</v>
      </c>
      <c r="E3" s="167">
        <v>2026</v>
      </c>
      <c r="F3" s="167">
        <v>2027</v>
      </c>
      <c r="G3" s="167">
        <v>2028</v>
      </c>
      <c r="H3" s="167">
        <v>2029</v>
      </c>
      <c r="I3" s="167">
        <v>2030</v>
      </c>
      <c r="J3" s="167">
        <v>2031</v>
      </c>
      <c r="K3" s="167">
        <v>2032</v>
      </c>
      <c r="L3" s="167">
        <v>2033</v>
      </c>
      <c r="M3" s="167">
        <v>2034</v>
      </c>
    </row>
    <row r="4" spans="1:13" ht="15.75" customHeight="1">
      <c r="A4" s="54" t="s">
        <v>266</v>
      </c>
      <c r="C4" s="54"/>
      <c r="D4" s="58">
        <f>(D6-C6)/C6</f>
        <v>5.839390231171529E-2</v>
      </c>
      <c r="E4" s="58">
        <f>(E6-D6)/D6</f>
        <v>3.0563762943574733E-2</v>
      </c>
      <c r="F4" s="58">
        <f t="shared" ref="F4:M4" si="0">(F6-E6)/E6</f>
        <v>2.9657323537435651E-2</v>
      </c>
      <c r="G4" s="58">
        <f t="shared" si="0"/>
        <v>2.8803100662215014E-2</v>
      </c>
      <c r="H4" s="58">
        <f t="shared" si="0"/>
        <v>2.7996708644905104E-2</v>
      </c>
      <c r="I4" s="58">
        <f t="shared" si="0"/>
        <v>2.7234239574386598E-2</v>
      </c>
      <c r="J4" s="58">
        <f t="shared" si="0"/>
        <v>2.6512199968781913E-2</v>
      </c>
      <c r="K4" s="58">
        <f t="shared" si="0"/>
        <v>2.5827457257291433E-2</v>
      </c>
      <c r="L4" s="58">
        <f t="shared" si="0"/>
        <v>2.5177194346449976E-2</v>
      </c>
      <c r="M4" s="58">
        <f t="shared" si="0"/>
        <v>2.455887088134108E-2</v>
      </c>
    </row>
    <row r="5" spans="1:13" ht="15.75" customHeight="1">
      <c r="A5" s="54"/>
      <c r="C5" s="54"/>
      <c r="D5" s="58"/>
      <c r="E5" s="58"/>
      <c r="F5" s="58"/>
      <c r="G5" s="58"/>
      <c r="H5" s="58"/>
      <c r="I5" s="58"/>
      <c r="J5" s="58"/>
      <c r="K5" s="58"/>
      <c r="L5" s="58"/>
      <c r="M5" s="58"/>
    </row>
    <row r="6" spans="1:13" ht="15.75" customHeight="1">
      <c r="A6" s="54" t="s">
        <v>267</v>
      </c>
      <c r="B6" s="67" t="s">
        <v>398</v>
      </c>
      <c r="C6" s="181">
        <f>'Forecasting Sales'!K3</f>
        <v>36176.199999999997</v>
      </c>
      <c r="D6" s="181" cm="1">
        <f t="array" ref="D6:M6">TRANSPOSE('Forecasting Sales'!C31:C40)</f>
        <v>38288.669488809071</v>
      </c>
      <c r="E6" s="181">
        <v>39458.915306489915</v>
      </c>
      <c r="F6" s="181">
        <v>40629.161124170758</v>
      </c>
      <c r="G6" s="181">
        <v>41799.406941851601</v>
      </c>
      <c r="H6" s="181">
        <v>42969.652759532444</v>
      </c>
      <c r="I6" s="181">
        <v>44139.898577213753</v>
      </c>
      <c r="J6" s="181">
        <v>45310.144394894596</v>
      </c>
      <c r="K6" s="181">
        <v>46480.390212575439</v>
      </c>
      <c r="L6" s="181">
        <v>47650.636030256283</v>
      </c>
      <c r="M6" s="181">
        <v>48820.881847937126</v>
      </c>
    </row>
    <row r="7" spans="1:13" ht="15">
      <c r="A7" s="54" t="s">
        <v>268</v>
      </c>
      <c r="B7" s="67" t="s">
        <v>269</v>
      </c>
      <c r="C7" s="97"/>
      <c r="D7" s="58">
        <f>3%</f>
        <v>0.03</v>
      </c>
      <c r="E7" s="58">
        <f>D7</f>
        <v>0.03</v>
      </c>
      <c r="F7" s="58">
        <f t="shared" ref="F7:M7" si="1">E7</f>
        <v>0.03</v>
      </c>
      <c r="G7" s="58">
        <f t="shared" si="1"/>
        <v>0.03</v>
      </c>
      <c r="H7" s="58">
        <f t="shared" si="1"/>
        <v>0.03</v>
      </c>
      <c r="I7" s="58">
        <f t="shared" si="1"/>
        <v>0.03</v>
      </c>
      <c r="J7" s="58">
        <f t="shared" si="1"/>
        <v>0.03</v>
      </c>
      <c r="K7" s="58">
        <f t="shared" si="1"/>
        <v>0.03</v>
      </c>
      <c r="L7" s="58">
        <f t="shared" si="1"/>
        <v>0.03</v>
      </c>
      <c r="M7" s="58">
        <f t="shared" si="1"/>
        <v>0.03</v>
      </c>
    </row>
    <row r="8" spans="1:13" ht="15.75" customHeight="1">
      <c r="A8" s="54" t="s">
        <v>270</v>
      </c>
      <c r="B8" s="67" t="s">
        <v>399</v>
      </c>
      <c r="C8" s="220">
        <f>'Real Revenue'!C26</f>
        <v>1</v>
      </c>
      <c r="D8" s="220">
        <f>C8*(1+D7)</f>
        <v>1.03</v>
      </c>
      <c r="E8" s="220">
        <f t="shared" ref="E8:M8" si="2">D8*(1+E7)</f>
        <v>1.0609</v>
      </c>
      <c r="F8" s="220">
        <f t="shared" si="2"/>
        <v>1.092727</v>
      </c>
      <c r="G8" s="220">
        <f t="shared" si="2"/>
        <v>1.1255088100000001</v>
      </c>
      <c r="H8" s="220">
        <f t="shared" si="2"/>
        <v>1.1592740743000001</v>
      </c>
      <c r="I8" s="220">
        <f t="shared" si="2"/>
        <v>1.1940522965290001</v>
      </c>
      <c r="J8" s="220">
        <f t="shared" si="2"/>
        <v>1.2298738654248702</v>
      </c>
      <c r="K8" s="220">
        <f t="shared" si="2"/>
        <v>1.2667700813876164</v>
      </c>
      <c r="L8" s="220">
        <f t="shared" si="2"/>
        <v>1.3047731838292449</v>
      </c>
      <c r="M8" s="220">
        <f t="shared" si="2"/>
        <v>1.3439163793441222</v>
      </c>
    </row>
    <row r="9" spans="1:13" ht="15.75" customHeight="1">
      <c r="A9" s="54"/>
      <c r="C9" s="98"/>
      <c r="D9" s="98"/>
      <c r="E9" s="98"/>
      <c r="F9" s="98"/>
      <c r="G9" s="98"/>
      <c r="H9" s="98"/>
      <c r="I9" s="98"/>
      <c r="J9" s="98"/>
      <c r="K9" s="98"/>
      <c r="L9" s="98"/>
      <c r="M9" s="98"/>
    </row>
    <row r="10" spans="1:13" ht="15.75" customHeight="1">
      <c r="A10" s="54" t="s">
        <v>271</v>
      </c>
      <c r="C10" s="177">
        <f>C6</f>
        <v>36176.199999999997</v>
      </c>
      <c r="D10" s="177">
        <f>D6*D8</f>
        <v>39437.329573473347</v>
      </c>
      <c r="E10" s="177">
        <f t="shared" ref="E10:M10" si="3">E6*E8</f>
        <v>41861.963248655149</v>
      </c>
      <c r="F10" s="177">
        <f t="shared" si="3"/>
        <v>44396.581347731742</v>
      </c>
      <c r="G10" s="177">
        <f t="shared" si="3"/>
        <v>47045.600765829142</v>
      </c>
      <c r="H10" s="177">
        <f t="shared" si="3"/>
        <v>49813.604425799414</v>
      </c>
      <c r="I10" s="177">
        <f t="shared" si="3"/>
        <v>52705.347264679229</v>
      </c>
      <c r="J10" s="177">
        <f t="shared" si="3"/>
        <v>55725.762429908034</v>
      </c>
      <c r="K10" s="177">
        <f t="shared" si="3"/>
        <v>58879.967692512357</v>
      </c>
      <c r="L10" s="177">
        <f t="shared" si="3"/>
        <v>62173.272084686017</v>
      </c>
      <c r="M10" s="177">
        <f t="shared" si="3"/>
        <v>65611.182769466846</v>
      </c>
    </row>
    <row r="11" spans="1:13" ht="15.75" customHeight="1">
      <c r="A11" s="54" t="s">
        <v>272</v>
      </c>
      <c r="C11" s="58"/>
      <c r="D11" s="58">
        <f>(D10/C10)-1</f>
        <v>9.0145719381066858E-2</v>
      </c>
      <c r="E11" s="58">
        <f>(E10/D10)-1</f>
        <v>6.148067583188177E-2</v>
      </c>
      <c r="F11" s="58">
        <f t="shared" ref="F11:M11" si="4">(F10/E10)-1</f>
        <v>6.0547043243558862E-2</v>
      </c>
      <c r="G11" s="58">
        <f t="shared" si="4"/>
        <v>5.9667193682081621E-2</v>
      </c>
      <c r="H11" s="58">
        <f t="shared" si="4"/>
        <v>5.8836609904252102E-2</v>
      </c>
      <c r="I11" s="58">
        <f t="shared" si="4"/>
        <v>5.8051266761618425E-2</v>
      </c>
      <c r="J11" s="58">
        <f t="shared" si="4"/>
        <v>5.7307565967845475E-2</v>
      </c>
      <c r="K11" s="58">
        <f t="shared" si="4"/>
        <v>5.6602280975010189E-2</v>
      </c>
      <c r="L11" s="58">
        <f t="shared" si="4"/>
        <v>5.5932510176843531E-2</v>
      </c>
      <c r="M11" s="58">
        <f t="shared" si="4"/>
        <v>5.5295637007781506E-2</v>
      </c>
    </row>
    <row r="13" spans="1:13" ht="15.75" customHeight="1">
      <c r="A13" s="69" t="s">
        <v>273</v>
      </c>
      <c r="B13" s="99"/>
      <c r="C13" s="69"/>
    </row>
    <row r="14" spans="1:13" ht="15.75" customHeight="1">
      <c r="A14" s="168"/>
      <c r="B14" s="168"/>
      <c r="C14" s="167">
        <f>C3</f>
        <v>2024</v>
      </c>
      <c r="D14" s="167">
        <f t="shared" ref="D14:M14" si="5">D3</f>
        <v>2025</v>
      </c>
      <c r="E14" s="167">
        <f t="shared" si="5"/>
        <v>2026</v>
      </c>
      <c r="F14" s="167">
        <f t="shared" si="5"/>
        <v>2027</v>
      </c>
      <c r="G14" s="167">
        <f t="shared" si="5"/>
        <v>2028</v>
      </c>
      <c r="H14" s="167">
        <f t="shared" si="5"/>
        <v>2029</v>
      </c>
      <c r="I14" s="167">
        <f t="shared" si="5"/>
        <v>2030</v>
      </c>
      <c r="J14" s="167">
        <f t="shared" si="5"/>
        <v>2031</v>
      </c>
      <c r="K14" s="167">
        <f t="shared" si="5"/>
        <v>2032</v>
      </c>
      <c r="L14" s="167">
        <f t="shared" si="5"/>
        <v>2033</v>
      </c>
      <c r="M14" s="167">
        <f t="shared" si="5"/>
        <v>2034</v>
      </c>
    </row>
    <row r="15" spans="1:13" ht="15.75" customHeight="1">
      <c r="A15" s="55" t="s">
        <v>274</v>
      </c>
      <c r="B15" s="100"/>
      <c r="C15" s="55"/>
      <c r="D15" s="95">
        <f>D11</f>
        <v>9.0145719381066858E-2</v>
      </c>
      <c r="E15" s="95">
        <f t="shared" ref="E15:M15" si="6">E11</f>
        <v>6.148067583188177E-2</v>
      </c>
      <c r="F15" s="95">
        <f t="shared" si="6"/>
        <v>6.0547043243558862E-2</v>
      </c>
      <c r="G15" s="95">
        <f t="shared" si="6"/>
        <v>5.9667193682081621E-2</v>
      </c>
      <c r="H15" s="95">
        <f t="shared" si="6"/>
        <v>5.8836609904252102E-2</v>
      </c>
      <c r="I15" s="95">
        <f t="shared" si="6"/>
        <v>5.8051266761618425E-2</v>
      </c>
      <c r="J15" s="95">
        <f t="shared" si="6"/>
        <v>5.7307565967845475E-2</v>
      </c>
      <c r="K15" s="95">
        <f t="shared" si="6"/>
        <v>5.6602280975010189E-2</v>
      </c>
      <c r="L15" s="95">
        <f t="shared" si="6"/>
        <v>5.5932510176843531E-2</v>
      </c>
      <c r="M15" s="95">
        <f t="shared" si="6"/>
        <v>5.5295637007781506E-2</v>
      </c>
    </row>
    <row r="17" spans="1:13" ht="15.75" customHeight="1">
      <c r="A17" s="55" t="s">
        <v>237</v>
      </c>
      <c r="B17" s="100" t="s">
        <v>275</v>
      </c>
      <c r="C17" s="55"/>
      <c r="D17" s="219">
        <f>'Net Working Capital'!$L$35</f>
        <v>0.71764425206473537</v>
      </c>
      <c r="E17" s="219">
        <f>'Net Working Capital'!$L$35</f>
        <v>0.71764425206473537</v>
      </c>
      <c r="F17" s="219">
        <f>'Net Working Capital'!$L$35</f>
        <v>0.71764425206473537</v>
      </c>
      <c r="G17" s="219">
        <f>'Net Working Capital'!$L$35</f>
        <v>0.71764425206473537</v>
      </c>
      <c r="H17" s="219">
        <f>'Net Working Capital'!$L$35</f>
        <v>0.71764425206473537</v>
      </c>
      <c r="I17" s="219">
        <f>'Net Working Capital'!$L$35</f>
        <v>0.71764425206473537</v>
      </c>
      <c r="J17" s="219">
        <f>'Net Working Capital'!$L$35</f>
        <v>0.71764425206473537</v>
      </c>
      <c r="K17" s="219">
        <f>'Net Working Capital'!$L$35</f>
        <v>0.71764425206473537</v>
      </c>
      <c r="L17" s="219">
        <f>'Net Working Capital'!$L$35</f>
        <v>0.71764425206473537</v>
      </c>
      <c r="M17" s="219">
        <f>'Net Working Capital'!$L$35</f>
        <v>0.71764425206473537</v>
      </c>
    </row>
    <row r="18" spans="1:13" ht="15.75" customHeight="1">
      <c r="A18" s="54" t="s">
        <v>238</v>
      </c>
      <c r="B18" s="100" t="s">
        <v>275</v>
      </c>
      <c r="C18" s="55"/>
      <c r="D18" s="219">
        <f>'Net Working Capital'!$L$36</f>
        <v>6.677644323278667E-2</v>
      </c>
      <c r="E18" s="219">
        <f>'Net Working Capital'!$L$36</f>
        <v>6.677644323278667E-2</v>
      </c>
      <c r="F18" s="219">
        <f>'Net Working Capital'!$L$36</f>
        <v>6.677644323278667E-2</v>
      </c>
      <c r="G18" s="219">
        <f>'Net Working Capital'!$L$36</f>
        <v>6.677644323278667E-2</v>
      </c>
      <c r="H18" s="219">
        <f>'Net Working Capital'!$L$36</f>
        <v>6.677644323278667E-2</v>
      </c>
      <c r="I18" s="219">
        <f>'Net Working Capital'!$L$36</f>
        <v>6.677644323278667E-2</v>
      </c>
      <c r="J18" s="219">
        <f>'Net Working Capital'!$L$36</f>
        <v>6.677644323278667E-2</v>
      </c>
      <c r="K18" s="219">
        <f>'Net Working Capital'!$L$36</f>
        <v>6.677644323278667E-2</v>
      </c>
      <c r="L18" s="219">
        <f>'Net Working Capital'!$L$36</f>
        <v>6.677644323278667E-2</v>
      </c>
      <c r="M18" s="219">
        <f>'Net Working Capital'!$L$36</f>
        <v>6.677644323278667E-2</v>
      </c>
    </row>
    <row r="19" spans="1:13" ht="15.75" customHeight="1">
      <c r="A19" s="54" t="s">
        <v>239</v>
      </c>
      <c r="B19" s="100" t="s">
        <v>275</v>
      </c>
      <c r="C19" s="55"/>
      <c r="D19" s="219">
        <f>'Net Working Capital'!$L$37</f>
        <v>4.7529494201066412E-2</v>
      </c>
      <c r="E19" s="219">
        <f>'Net Working Capital'!$L$37</f>
        <v>4.7529494201066412E-2</v>
      </c>
      <c r="F19" s="219">
        <f>'Net Working Capital'!$L$37</f>
        <v>4.7529494201066412E-2</v>
      </c>
      <c r="G19" s="219">
        <f>'Net Working Capital'!$L$37</f>
        <v>4.7529494201066412E-2</v>
      </c>
      <c r="H19" s="219">
        <f>'Net Working Capital'!$L$37</f>
        <v>4.7529494201066412E-2</v>
      </c>
      <c r="I19" s="219">
        <f>'Net Working Capital'!$L$37</f>
        <v>4.7529494201066412E-2</v>
      </c>
      <c r="J19" s="219">
        <f>'Net Working Capital'!$L$37</f>
        <v>4.7529494201066412E-2</v>
      </c>
      <c r="K19" s="219">
        <f>'Net Working Capital'!$L$37</f>
        <v>4.7529494201066412E-2</v>
      </c>
      <c r="L19" s="219">
        <f>'Net Working Capital'!$L$37</f>
        <v>4.7529494201066412E-2</v>
      </c>
      <c r="M19" s="219">
        <f>'Net Working Capital'!$L$37</f>
        <v>4.7529494201066412E-2</v>
      </c>
    </row>
    <row r="20" spans="1:13" ht="15.75" customHeight="1">
      <c r="A20" s="54" t="s">
        <v>402</v>
      </c>
      <c r="B20" s="100" t="s">
        <v>403</v>
      </c>
      <c r="C20" s="55"/>
      <c r="D20" s="219">
        <f>'Net Working Capital'!$L$38</f>
        <v>1.8586774386232571E-2</v>
      </c>
      <c r="E20" s="219">
        <f>'Net Working Capital'!$L$38</f>
        <v>1.8586774386232571E-2</v>
      </c>
      <c r="F20" s="219">
        <f>'Net Working Capital'!$L$38</f>
        <v>1.8586774386232571E-2</v>
      </c>
      <c r="G20" s="219">
        <f>'Net Working Capital'!$L$38</f>
        <v>1.8586774386232571E-2</v>
      </c>
      <c r="H20" s="219">
        <f>'Net Working Capital'!$L$38</f>
        <v>1.8586774386232571E-2</v>
      </c>
      <c r="I20" s="219">
        <f>'Net Working Capital'!$L$38</f>
        <v>1.8586774386232571E-2</v>
      </c>
      <c r="J20" s="219">
        <f>'Net Working Capital'!$L$38</f>
        <v>1.8586774386232571E-2</v>
      </c>
      <c r="K20" s="219">
        <f>'Net Working Capital'!$L$38</f>
        <v>1.8586774386232571E-2</v>
      </c>
      <c r="L20" s="219">
        <f>'Net Working Capital'!$L$38</f>
        <v>1.8586774386232571E-2</v>
      </c>
      <c r="M20" s="219">
        <f>'Net Working Capital'!$L$38</f>
        <v>1.8586774386232571E-2</v>
      </c>
    </row>
    <row r="21" spans="1:13" ht="15.75" customHeight="1">
      <c r="A21" s="55" t="s">
        <v>400</v>
      </c>
      <c r="B21" s="100" t="s">
        <v>276</v>
      </c>
      <c r="C21" s="55"/>
      <c r="D21" s="220">
        <f>'Forecasting Costs'!$H$23</f>
        <v>-1.0954158936588201</v>
      </c>
      <c r="E21" s="220">
        <f>'Forecasting Costs'!$H$23</f>
        <v>-1.0954158936588201</v>
      </c>
      <c r="F21" s="220">
        <f>'Forecasting Costs'!$H$23</f>
        <v>-1.0954158936588201</v>
      </c>
      <c r="G21" s="220">
        <f>'Forecasting Costs'!$H$23</f>
        <v>-1.0954158936588201</v>
      </c>
      <c r="H21" s="220">
        <f>'Forecasting Costs'!$H$23</f>
        <v>-1.0954158936588201</v>
      </c>
      <c r="I21" s="220">
        <f>'Forecasting Costs'!$H$23</f>
        <v>-1.0954158936588201</v>
      </c>
      <c r="J21" s="220">
        <f>'Forecasting Costs'!$H$23</f>
        <v>-1.0954158936588201</v>
      </c>
      <c r="K21" s="220">
        <f>'Forecasting Costs'!$H$23</f>
        <v>-1.0954158936588201</v>
      </c>
      <c r="L21" s="220">
        <f>'Forecasting Costs'!$H$23</f>
        <v>-1.0954158936588201</v>
      </c>
      <c r="M21" s="220">
        <f>'Forecasting Costs'!$H$23</f>
        <v>-1.0954158936588201</v>
      </c>
    </row>
    <row r="22" spans="1:13" ht="31.75" customHeight="1">
      <c r="A22" s="63" t="s">
        <v>277</v>
      </c>
      <c r="B22" s="100" t="s">
        <v>535</v>
      </c>
      <c r="C22" s="55"/>
      <c r="D22" s="223" cm="1">
        <f t="array" ref="D22:M22">TRANSPOSE(WACC!N5:N14)</f>
        <v>14380</v>
      </c>
      <c r="E22" s="223">
        <v>13060</v>
      </c>
      <c r="F22" s="223">
        <v>11740</v>
      </c>
      <c r="G22" s="223">
        <v>10420</v>
      </c>
      <c r="H22" s="223">
        <v>9100</v>
      </c>
      <c r="I22" s="223">
        <v>8200</v>
      </c>
      <c r="J22" s="223">
        <v>7300</v>
      </c>
      <c r="K22" s="223">
        <v>6400</v>
      </c>
      <c r="L22" s="223">
        <v>5500</v>
      </c>
      <c r="M22" s="223">
        <v>4600</v>
      </c>
    </row>
    <row r="23" spans="1:13" ht="15.75" customHeight="1">
      <c r="A23" s="63" t="s">
        <v>279</v>
      </c>
      <c r="B23" s="100" t="s">
        <v>481</v>
      </c>
      <c r="C23" s="55"/>
      <c r="D23" s="221" cm="1">
        <f t="array" ref="D23:M23">TRANSPOSE(WACC!O5:O14)</f>
        <v>3.7590577190542422E-2</v>
      </c>
      <c r="E23" s="221">
        <v>3.7738705972434915E-2</v>
      </c>
      <c r="F23" s="221">
        <v>3.7920144804088583E-2</v>
      </c>
      <c r="G23" s="221">
        <v>3.8147552783109405E-2</v>
      </c>
      <c r="H23" s="221">
        <v>3.8440934065934067E-2</v>
      </c>
      <c r="I23" s="221">
        <v>3.854420731707317E-2</v>
      </c>
      <c r="J23" s="221">
        <v>3.8672945205479453E-2</v>
      </c>
      <c r="K23" s="221">
        <v>3.8837890625000003E-2</v>
      </c>
      <c r="L23" s="221">
        <v>3.9056818181818179E-2</v>
      </c>
      <c r="M23" s="221">
        <v>3.9361413043478261E-2</v>
      </c>
    </row>
    <row r="24" spans="1:13" ht="15">
      <c r="A24" s="63" t="s">
        <v>280</v>
      </c>
      <c r="B24" s="273" t="s">
        <v>534</v>
      </c>
      <c r="C24" s="55"/>
      <c r="D24" s="225">
        <v>400</v>
      </c>
      <c r="E24" s="225">
        <v>500</v>
      </c>
      <c r="F24" s="225">
        <v>800</v>
      </c>
      <c r="G24" s="225">
        <v>1000</v>
      </c>
      <c r="H24" s="225">
        <v>1000</v>
      </c>
      <c r="I24" s="225">
        <v>1000</v>
      </c>
      <c r="J24" s="225">
        <v>1000</v>
      </c>
      <c r="K24" s="225">
        <v>1000</v>
      </c>
      <c r="L24" s="225">
        <v>1000</v>
      </c>
      <c r="M24" s="225">
        <v>1000</v>
      </c>
    </row>
    <row r="25" spans="1:13" ht="15.75" customHeight="1">
      <c r="A25" s="63" t="s">
        <v>281</v>
      </c>
      <c r="B25" s="100" t="s">
        <v>282</v>
      </c>
      <c r="C25" s="55"/>
      <c r="D25" s="226">
        <v>4.7E-2</v>
      </c>
      <c r="E25" s="226">
        <f>D25</f>
        <v>4.7E-2</v>
      </c>
      <c r="F25" s="226">
        <f t="shared" ref="F25:M26" si="7">E25</f>
        <v>4.7E-2</v>
      </c>
      <c r="G25" s="226">
        <f t="shared" si="7"/>
        <v>4.7E-2</v>
      </c>
      <c r="H25" s="226">
        <f t="shared" si="7"/>
        <v>4.7E-2</v>
      </c>
      <c r="I25" s="226">
        <f t="shared" si="7"/>
        <v>4.7E-2</v>
      </c>
      <c r="J25" s="226">
        <f t="shared" si="7"/>
        <v>4.7E-2</v>
      </c>
      <c r="K25" s="226">
        <f t="shared" si="7"/>
        <v>4.7E-2</v>
      </c>
      <c r="L25" s="226">
        <f t="shared" si="7"/>
        <v>4.7E-2</v>
      </c>
      <c r="M25" s="226">
        <f t="shared" si="7"/>
        <v>4.7E-2</v>
      </c>
    </row>
    <row r="26" spans="1:13" ht="15.75" customHeight="1">
      <c r="A26" s="63" t="s">
        <v>283</v>
      </c>
      <c r="B26" s="100" t="s">
        <v>483</v>
      </c>
      <c r="C26" s="55"/>
      <c r="D26" s="226">
        <v>4.2500000000000003E-2</v>
      </c>
      <c r="E26" s="226">
        <f>D26</f>
        <v>4.2500000000000003E-2</v>
      </c>
      <c r="F26" s="226">
        <f t="shared" si="7"/>
        <v>4.2500000000000003E-2</v>
      </c>
      <c r="G26" s="226">
        <f t="shared" si="7"/>
        <v>4.2500000000000003E-2</v>
      </c>
      <c r="H26" s="226">
        <f t="shared" si="7"/>
        <v>4.2500000000000003E-2</v>
      </c>
      <c r="I26" s="226">
        <f t="shared" si="7"/>
        <v>4.2500000000000003E-2</v>
      </c>
      <c r="J26" s="226">
        <f t="shared" si="7"/>
        <v>4.2500000000000003E-2</v>
      </c>
      <c r="K26" s="226">
        <f t="shared" si="7"/>
        <v>4.2500000000000003E-2</v>
      </c>
      <c r="L26" s="226">
        <f t="shared" si="7"/>
        <v>4.2500000000000003E-2</v>
      </c>
      <c r="M26" s="226">
        <f t="shared" si="7"/>
        <v>4.2500000000000003E-2</v>
      </c>
    </row>
    <row r="27" spans="1:13" ht="15.75" customHeight="1">
      <c r="A27" s="63" t="s">
        <v>284</v>
      </c>
      <c r="B27" s="100" t="s">
        <v>285</v>
      </c>
      <c r="C27" s="55"/>
      <c r="D27" s="224">
        <f>1+D11</f>
        <v>1.0901457193810669</v>
      </c>
      <c r="E27" s="224">
        <f>D27*(1+E15)</f>
        <v>1.1571686149638478</v>
      </c>
      <c r="F27" s="224">
        <f>E27*(1+F15)</f>
        <v>1.227231753134153</v>
      </c>
      <c r="G27" s="224">
        <f t="shared" ref="G27:M27" si="8">F27*(1+G15)</f>
        <v>1.300457227841209</v>
      </c>
      <c r="H27" s="224">
        <f t="shared" si="8"/>
        <v>1.3769717224528673</v>
      </c>
      <c r="I27" s="224">
        <f t="shared" si="8"/>
        <v>1.4569066752361839</v>
      </c>
      <c r="J27" s="224">
        <f t="shared" si="8"/>
        <v>1.540398450636276</v>
      </c>
      <c r="K27" s="224">
        <f t="shared" si="8"/>
        <v>1.6275885165526609</v>
      </c>
      <c r="L27" s="224">
        <f t="shared" si="8"/>
        <v>1.7186236278184563</v>
      </c>
      <c r="M27" s="224">
        <f t="shared" si="8"/>
        <v>1.8136560160953024</v>
      </c>
    </row>
    <row r="28" spans="1:13" ht="15.75" customHeight="1">
      <c r="A28" s="63" t="s">
        <v>286</v>
      </c>
      <c r="B28" s="100" t="s">
        <v>287</v>
      </c>
      <c r="C28" s="55"/>
      <c r="D28" s="227">
        <v>0.31</v>
      </c>
      <c r="E28" s="227">
        <f>D28</f>
        <v>0.31</v>
      </c>
      <c r="F28" s="227">
        <f t="shared" ref="F28:M28" si="9">E28</f>
        <v>0.31</v>
      </c>
      <c r="G28" s="227">
        <f t="shared" si="9"/>
        <v>0.31</v>
      </c>
      <c r="H28" s="227">
        <f t="shared" si="9"/>
        <v>0.31</v>
      </c>
      <c r="I28" s="227">
        <f t="shared" si="9"/>
        <v>0.31</v>
      </c>
      <c r="J28" s="227">
        <f t="shared" si="9"/>
        <v>0.31</v>
      </c>
      <c r="K28" s="227">
        <f t="shared" si="9"/>
        <v>0.31</v>
      </c>
      <c r="L28" s="227">
        <f t="shared" si="9"/>
        <v>0.31</v>
      </c>
      <c r="M28" s="227">
        <f t="shared" si="9"/>
        <v>0.31</v>
      </c>
    </row>
    <row r="29" spans="1:13" ht="15.75" customHeight="1">
      <c r="A29" s="63"/>
      <c r="B29" s="100"/>
      <c r="C29" s="55"/>
      <c r="D29" s="47"/>
      <c r="E29" s="47"/>
      <c r="F29" s="47"/>
      <c r="G29" s="47"/>
      <c r="H29" s="47"/>
      <c r="I29" s="47"/>
      <c r="J29" s="47"/>
      <c r="K29" s="47"/>
      <c r="L29" s="47"/>
      <c r="M29" s="47"/>
    </row>
    <row r="30" spans="1:13" ht="15.75" customHeight="1">
      <c r="A30" s="55" t="s">
        <v>288</v>
      </c>
      <c r="B30" s="100" t="s">
        <v>275</v>
      </c>
      <c r="D30" s="219">
        <f>'Net Working Capital'!$L$34</f>
        <v>0.1429379488930482</v>
      </c>
      <c r="E30" s="219">
        <f>'Net Working Capital'!$L$34</f>
        <v>0.1429379488930482</v>
      </c>
      <c r="F30" s="219">
        <f>'Net Working Capital'!$L$34</f>
        <v>0.1429379488930482</v>
      </c>
      <c r="G30" s="219">
        <f>'Net Working Capital'!$L$34</f>
        <v>0.1429379488930482</v>
      </c>
      <c r="H30" s="219">
        <f>'Net Working Capital'!$L$34</f>
        <v>0.1429379488930482</v>
      </c>
      <c r="I30" s="219">
        <f>'Net Working Capital'!$L$34</f>
        <v>0.1429379488930482</v>
      </c>
      <c r="J30" s="219">
        <f>'Net Working Capital'!$L$34</f>
        <v>0.1429379488930482</v>
      </c>
      <c r="K30" s="219">
        <f>'Net Working Capital'!$L$34</f>
        <v>0.1429379488930482</v>
      </c>
      <c r="L30" s="219">
        <f>'Net Working Capital'!$L$34</f>
        <v>0.1429379488930482</v>
      </c>
      <c r="M30" s="219">
        <f>'Net Working Capital'!$L$34</f>
        <v>0.1429379488930482</v>
      </c>
    </row>
    <row r="31" spans="1:13" ht="15.75" customHeight="1">
      <c r="A31" s="55" t="s">
        <v>289</v>
      </c>
      <c r="B31" s="100" t="s">
        <v>275</v>
      </c>
      <c r="D31" s="220">
        <f>'Net Working Capital'!$L$50</f>
        <v>24.780394324621028</v>
      </c>
      <c r="E31" s="220">
        <f>'Net Working Capital'!$L$50</f>
        <v>24.780394324621028</v>
      </c>
      <c r="F31" s="220">
        <f>'Net Working Capital'!$L$50</f>
        <v>24.780394324621028</v>
      </c>
      <c r="G31" s="220">
        <f>'Net Working Capital'!$L$50</f>
        <v>24.780394324621028</v>
      </c>
      <c r="H31" s="220">
        <f>'Net Working Capital'!$L$50</f>
        <v>24.780394324621028</v>
      </c>
      <c r="I31" s="220">
        <f>'Net Working Capital'!$L$50</f>
        <v>24.780394324621028</v>
      </c>
      <c r="J31" s="220">
        <f>'Net Working Capital'!$L$50</f>
        <v>24.780394324621028</v>
      </c>
      <c r="K31" s="220">
        <f>'Net Working Capital'!$L$50</f>
        <v>24.780394324621028</v>
      </c>
      <c r="L31" s="220">
        <f>'Net Working Capital'!$L$50</f>
        <v>24.780394324621028</v>
      </c>
      <c r="M31" s="220">
        <f>'Net Working Capital'!$L$50</f>
        <v>24.780394324621028</v>
      </c>
    </row>
    <row r="32" spans="1:13" ht="15.75" customHeight="1">
      <c r="A32" s="55" t="s">
        <v>290</v>
      </c>
      <c r="B32" s="100" t="s">
        <v>275</v>
      </c>
      <c r="C32" s="54"/>
      <c r="D32" s="222">
        <f>'Net Working Capital'!$L$52</f>
        <v>16.989217085126896</v>
      </c>
      <c r="E32" s="222">
        <f>'Net Working Capital'!$L$52</f>
        <v>16.989217085126896</v>
      </c>
      <c r="F32" s="222">
        <f>'Net Working Capital'!$L$52</f>
        <v>16.989217085126896</v>
      </c>
      <c r="G32" s="222">
        <f>'Net Working Capital'!$L$52</f>
        <v>16.989217085126896</v>
      </c>
      <c r="H32" s="222">
        <f>'Net Working Capital'!$L$52</f>
        <v>16.989217085126896</v>
      </c>
      <c r="I32" s="222">
        <f>'Net Working Capital'!$L$52</f>
        <v>16.989217085126896</v>
      </c>
      <c r="J32" s="222">
        <f>'Net Working Capital'!$L$52</f>
        <v>16.989217085126896</v>
      </c>
      <c r="K32" s="222">
        <f>'Net Working Capital'!$L$52</f>
        <v>16.989217085126896</v>
      </c>
      <c r="L32" s="222">
        <f>'Net Working Capital'!$L$52</f>
        <v>16.989217085126896</v>
      </c>
      <c r="M32" s="222">
        <f>'Net Working Capital'!$L$52</f>
        <v>16.989217085126896</v>
      </c>
    </row>
    <row r="33" spans="1:13" ht="15.75" customHeight="1">
      <c r="A33" s="49" t="s">
        <v>237</v>
      </c>
      <c r="B33" s="100" t="s">
        <v>275</v>
      </c>
      <c r="C33" s="54"/>
      <c r="D33" s="219">
        <f>'Net Working Capital'!$L$35</f>
        <v>0.71764425206473537</v>
      </c>
      <c r="E33" s="219">
        <f>'Net Working Capital'!$L$35</f>
        <v>0.71764425206473537</v>
      </c>
      <c r="F33" s="219">
        <f>'Net Working Capital'!$L$35</f>
        <v>0.71764425206473537</v>
      </c>
      <c r="G33" s="219">
        <f>'Net Working Capital'!$L$35</f>
        <v>0.71764425206473537</v>
      </c>
      <c r="H33" s="219">
        <f>'Net Working Capital'!$L$35</f>
        <v>0.71764425206473537</v>
      </c>
      <c r="I33" s="219">
        <f>'Net Working Capital'!$L$35</f>
        <v>0.71764425206473537</v>
      </c>
      <c r="J33" s="219">
        <f>'Net Working Capital'!$L$35</f>
        <v>0.71764425206473537</v>
      </c>
      <c r="K33" s="219">
        <f>'Net Working Capital'!$L$35</f>
        <v>0.71764425206473537</v>
      </c>
      <c r="L33" s="219">
        <f>'Net Working Capital'!$L$35</f>
        <v>0.71764425206473537</v>
      </c>
      <c r="M33" s="219">
        <f>'Net Working Capital'!$L$35</f>
        <v>0.71764425206473537</v>
      </c>
    </row>
    <row r="34" spans="1:13" ht="15.75" customHeight="1">
      <c r="A34" s="54" t="s">
        <v>238</v>
      </c>
      <c r="B34" s="100" t="s">
        <v>275</v>
      </c>
      <c r="C34" s="54"/>
      <c r="D34" s="219">
        <f>'Net Working Capital'!$L$36</f>
        <v>6.677644323278667E-2</v>
      </c>
      <c r="E34" s="219">
        <f>'Net Working Capital'!$L$36</f>
        <v>6.677644323278667E-2</v>
      </c>
      <c r="F34" s="219">
        <f>'Net Working Capital'!$L$36</f>
        <v>6.677644323278667E-2</v>
      </c>
      <c r="G34" s="219">
        <f>'Net Working Capital'!$L$36</f>
        <v>6.677644323278667E-2</v>
      </c>
      <c r="H34" s="219">
        <f>'Net Working Capital'!$L$36</f>
        <v>6.677644323278667E-2</v>
      </c>
      <c r="I34" s="219">
        <f>'Net Working Capital'!$L$36</f>
        <v>6.677644323278667E-2</v>
      </c>
      <c r="J34" s="219">
        <f>'Net Working Capital'!$L$36</f>
        <v>6.677644323278667E-2</v>
      </c>
      <c r="K34" s="219">
        <f>'Net Working Capital'!$L$36</f>
        <v>6.677644323278667E-2</v>
      </c>
      <c r="L34" s="219">
        <f>'Net Working Capital'!$L$36</f>
        <v>6.677644323278667E-2</v>
      </c>
      <c r="M34" s="219">
        <f>'Net Working Capital'!$L$36</f>
        <v>6.677644323278667E-2</v>
      </c>
    </row>
    <row r="35" spans="1:13" ht="15.75" customHeight="1">
      <c r="A35" s="54" t="s">
        <v>239</v>
      </c>
      <c r="B35" s="100" t="s">
        <v>275</v>
      </c>
      <c r="C35" s="54"/>
      <c r="D35" s="219">
        <f>'Net Working Capital'!$L$37</f>
        <v>4.7529494201066412E-2</v>
      </c>
      <c r="E35" s="219">
        <f>'Net Working Capital'!$L$37</f>
        <v>4.7529494201066412E-2</v>
      </c>
      <c r="F35" s="219">
        <f>'Net Working Capital'!$L$37</f>
        <v>4.7529494201066412E-2</v>
      </c>
      <c r="G35" s="219">
        <f>'Net Working Capital'!$L$37</f>
        <v>4.7529494201066412E-2</v>
      </c>
      <c r="H35" s="219">
        <f>'Net Working Capital'!$L$37</f>
        <v>4.7529494201066412E-2</v>
      </c>
      <c r="I35" s="219">
        <f>'Net Working Capital'!$L$37</f>
        <v>4.7529494201066412E-2</v>
      </c>
      <c r="J35" s="219">
        <f>'Net Working Capital'!$L$37</f>
        <v>4.7529494201066412E-2</v>
      </c>
      <c r="K35" s="219">
        <f>'Net Working Capital'!$L$37</f>
        <v>4.7529494201066412E-2</v>
      </c>
      <c r="L35" s="219">
        <f>'Net Working Capital'!$L$37</f>
        <v>4.7529494201066412E-2</v>
      </c>
      <c r="M35" s="219">
        <f>'Net Working Capital'!$L$37</f>
        <v>4.7529494201066412E-2</v>
      </c>
    </row>
    <row r="36" spans="1:13" ht="15.75" customHeight="1">
      <c r="A36" s="54" t="s">
        <v>401</v>
      </c>
      <c r="B36" s="100" t="s">
        <v>275</v>
      </c>
      <c r="C36" s="54"/>
      <c r="D36" s="219">
        <f>'Net Working Capital'!$L$38</f>
        <v>1.8586774386232571E-2</v>
      </c>
      <c r="E36" s="219">
        <f>'Net Working Capital'!$L$38</f>
        <v>1.8586774386232571E-2</v>
      </c>
      <c r="F36" s="219">
        <f>'Net Working Capital'!$L$38</f>
        <v>1.8586774386232571E-2</v>
      </c>
      <c r="G36" s="219">
        <f>'Net Working Capital'!$L$38</f>
        <v>1.8586774386232571E-2</v>
      </c>
      <c r="H36" s="219">
        <f>'Net Working Capital'!$L$38</f>
        <v>1.8586774386232571E-2</v>
      </c>
      <c r="I36" s="219">
        <f>'Net Working Capital'!$L$38</f>
        <v>1.8586774386232571E-2</v>
      </c>
      <c r="J36" s="219">
        <f>'Net Working Capital'!$L$38</f>
        <v>1.8586774386232571E-2</v>
      </c>
      <c r="K36" s="219">
        <f>'Net Working Capital'!$L$38</f>
        <v>1.8586774386232571E-2</v>
      </c>
      <c r="L36" s="219">
        <f>'Net Working Capital'!$L$38</f>
        <v>1.8586774386232571E-2</v>
      </c>
      <c r="M36" s="219">
        <f>'Net Working Capital'!$L$38</f>
        <v>1.8586774386232571E-2</v>
      </c>
    </row>
    <row r="37" spans="1:13" ht="15.75" customHeight="1">
      <c r="A37" s="49" t="s">
        <v>240</v>
      </c>
      <c r="B37" s="100" t="s">
        <v>275</v>
      </c>
      <c r="C37" s="54"/>
      <c r="D37" s="219">
        <f>'Net Working Capital'!$L$39</f>
        <v>0.85053696388482114</v>
      </c>
      <c r="E37" s="219">
        <f>'Net Working Capital'!$L$39</f>
        <v>0.85053696388482114</v>
      </c>
      <c r="F37" s="219">
        <f>'Net Working Capital'!$L$39</f>
        <v>0.85053696388482114</v>
      </c>
      <c r="G37" s="219">
        <f>'Net Working Capital'!$L$39</f>
        <v>0.85053696388482114</v>
      </c>
      <c r="H37" s="219">
        <f>'Net Working Capital'!$L$39</f>
        <v>0.85053696388482114</v>
      </c>
      <c r="I37" s="219">
        <f>'Net Working Capital'!$L$39</f>
        <v>0.85053696388482114</v>
      </c>
      <c r="J37" s="219">
        <f>'Net Working Capital'!$L$39</f>
        <v>0.85053696388482114</v>
      </c>
      <c r="K37" s="219">
        <f>'Net Working Capital'!$L$39</f>
        <v>0.85053696388482114</v>
      </c>
      <c r="L37" s="219">
        <f>'Net Working Capital'!$L$39</f>
        <v>0.85053696388482114</v>
      </c>
      <c r="M37" s="219">
        <f>'Net Working Capital'!$L$39</f>
        <v>0.85053696388482114</v>
      </c>
    </row>
    <row r="38" spans="1:13" ht="15.75" customHeight="1">
      <c r="A38" s="49" t="s">
        <v>241</v>
      </c>
      <c r="B38" s="100" t="s">
        <v>275</v>
      </c>
      <c r="C38" s="54"/>
      <c r="D38" s="219">
        <f>'Net Working Capital'!$L$40</f>
        <v>1.18929137781635E-2</v>
      </c>
      <c r="E38" s="219">
        <f>'Net Working Capital'!$L$40</f>
        <v>1.18929137781635E-2</v>
      </c>
      <c r="F38" s="219">
        <f>'Net Working Capital'!$L$40</f>
        <v>1.18929137781635E-2</v>
      </c>
      <c r="G38" s="219">
        <f>'Net Working Capital'!$L$40</f>
        <v>1.18929137781635E-2</v>
      </c>
      <c r="H38" s="219">
        <f>'Net Working Capital'!$L$40</f>
        <v>1.18929137781635E-2</v>
      </c>
      <c r="I38" s="219">
        <f>'Net Working Capital'!$L$40</f>
        <v>1.18929137781635E-2</v>
      </c>
      <c r="J38" s="219">
        <f>'Net Working Capital'!$L$40</f>
        <v>1.18929137781635E-2</v>
      </c>
      <c r="K38" s="219">
        <f>'Net Working Capital'!$L$40</f>
        <v>1.18929137781635E-2</v>
      </c>
      <c r="L38" s="219">
        <f>'Net Working Capital'!$L$40</f>
        <v>1.18929137781635E-2</v>
      </c>
      <c r="M38" s="219">
        <f>'Net Working Capital'!$L$40</f>
        <v>1.18929137781635E-2</v>
      </c>
    </row>
    <row r="39" spans="1:13" ht="15.75" customHeight="1">
      <c r="A39" s="49" t="s">
        <v>242</v>
      </c>
      <c r="B39" s="100" t="s">
        <v>515</v>
      </c>
      <c r="C39" s="54"/>
      <c r="D39" s="219">
        <f>'Net Working Capital'!$L$41</f>
        <v>7.7877078499819802E-3</v>
      </c>
      <c r="E39" s="219">
        <f>'Net Working Capital'!$L$41</f>
        <v>7.7877078499819802E-3</v>
      </c>
      <c r="F39" s="219">
        <f>'Net Working Capital'!$L$41</f>
        <v>7.7877078499819802E-3</v>
      </c>
      <c r="G39" s="219">
        <f>'Net Working Capital'!$L$41</f>
        <v>7.7877078499819802E-3</v>
      </c>
      <c r="H39" s="219">
        <f>'Net Working Capital'!$L$41</f>
        <v>7.7877078499819802E-3</v>
      </c>
      <c r="I39" s="219">
        <f>'Net Working Capital'!$L$41</f>
        <v>7.7877078499819802E-3</v>
      </c>
      <c r="J39" s="219">
        <f>'Net Working Capital'!$L$41</f>
        <v>7.7877078499819802E-3</v>
      </c>
      <c r="K39" s="219">
        <f>'Net Working Capital'!$L$41</f>
        <v>7.7877078499819802E-3</v>
      </c>
      <c r="L39" s="219">
        <f>'Net Working Capital'!$L$41</f>
        <v>7.7877078499819802E-3</v>
      </c>
      <c r="M39" s="219">
        <f>'Net Working Capital'!$L$41</f>
        <v>7.7877078499819802E-3</v>
      </c>
    </row>
    <row r="40" spans="1:13" ht="15.75" customHeight="1">
      <c r="A40" s="55" t="s">
        <v>291</v>
      </c>
      <c r="B40" s="100" t="s">
        <v>292</v>
      </c>
      <c r="D40" s="219">
        <f>'Fixed Asset Forecasting'!$K$4</f>
        <v>0.11679910429657742</v>
      </c>
      <c r="E40" s="219">
        <f>'Fixed Asset Forecasting'!$K$4</f>
        <v>0.11679910429657742</v>
      </c>
      <c r="F40" s="219">
        <f>'Fixed Asset Forecasting'!$K$4</f>
        <v>0.11679910429657742</v>
      </c>
      <c r="G40" s="219">
        <f>'Fixed Asset Forecasting'!$K$4</f>
        <v>0.11679910429657742</v>
      </c>
      <c r="H40" s="219">
        <f>'Fixed Asset Forecasting'!$K$4</f>
        <v>0.11679910429657742</v>
      </c>
      <c r="I40" s="219">
        <f>'Fixed Asset Forecasting'!$K$4</f>
        <v>0.11679910429657742</v>
      </c>
      <c r="J40" s="219">
        <f>'Fixed Asset Forecasting'!$K$4</f>
        <v>0.11679910429657742</v>
      </c>
      <c r="K40" s="219">
        <f>'Fixed Asset Forecasting'!$K$4</f>
        <v>0.11679910429657742</v>
      </c>
      <c r="L40" s="219">
        <f>'Fixed Asset Forecasting'!$K$4</f>
        <v>0.11679910429657742</v>
      </c>
      <c r="M40" s="219">
        <f>'Fixed Asset Forecasting'!$K$4</f>
        <v>0.11679910429657742</v>
      </c>
    </row>
    <row r="41" spans="1:13" ht="15.75" customHeight="1">
      <c r="A41" s="55" t="s">
        <v>293</v>
      </c>
      <c r="B41" s="100" t="s">
        <v>292</v>
      </c>
      <c r="D41" s="219">
        <f>'Fixed Asset Forecasting'!$K$12</f>
        <v>3.1186932391523595E-2</v>
      </c>
      <c r="E41" s="219">
        <f>'Fixed Asset Forecasting'!$K$12</f>
        <v>3.1186932391523595E-2</v>
      </c>
      <c r="F41" s="219">
        <f>'Fixed Asset Forecasting'!$K$12</f>
        <v>3.1186932391523595E-2</v>
      </c>
      <c r="G41" s="219">
        <f>'Fixed Asset Forecasting'!$K$12</f>
        <v>3.1186932391523595E-2</v>
      </c>
      <c r="H41" s="219">
        <f>'Fixed Asset Forecasting'!$K$12</f>
        <v>3.1186932391523595E-2</v>
      </c>
      <c r="I41" s="219">
        <f>'Fixed Asset Forecasting'!$K$12</f>
        <v>3.1186932391523595E-2</v>
      </c>
      <c r="J41" s="219">
        <f>'Fixed Asset Forecasting'!$K$12</f>
        <v>3.1186932391523595E-2</v>
      </c>
      <c r="K41" s="219">
        <f>'Fixed Asset Forecasting'!$K$12</f>
        <v>3.1186932391523595E-2</v>
      </c>
      <c r="L41" s="219">
        <f>'Fixed Asset Forecasting'!$K$12</f>
        <v>3.1186932391523595E-2</v>
      </c>
      <c r="M41" s="219">
        <f>'Fixed Asset Forecasting'!$K$12</f>
        <v>3.1186932391523595E-2</v>
      </c>
    </row>
    <row r="42" spans="1:13" ht="15.75" customHeight="1">
      <c r="A42" s="49" t="s">
        <v>253</v>
      </c>
      <c r="B42" s="100" t="s">
        <v>275</v>
      </c>
      <c r="D42" s="222">
        <f>'Net Working Capital'!$L$54</f>
        <v>24.493229830068529</v>
      </c>
      <c r="E42" s="222">
        <f>'Net Working Capital'!$L$54</f>
        <v>24.493229830068529</v>
      </c>
      <c r="F42" s="222">
        <f>'Net Working Capital'!$L$54</f>
        <v>24.493229830068529</v>
      </c>
      <c r="G42" s="222">
        <f>'Net Working Capital'!$L$54</f>
        <v>24.493229830068529</v>
      </c>
      <c r="H42" s="222">
        <f>'Net Working Capital'!$L$54</f>
        <v>24.493229830068529</v>
      </c>
      <c r="I42" s="222">
        <f>'Net Working Capital'!$L$54</f>
        <v>24.493229830068529</v>
      </c>
      <c r="J42" s="222">
        <f>'Net Working Capital'!$L$54</f>
        <v>24.493229830068529</v>
      </c>
      <c r="K42" s="222">
        <f>'Net Working Capital'!$L$54</f>
        <v>24.493229830068529</v>
      </c>
      <c r="L42" s="222">
        <f>'Net Working Capital'!$L$54</f>
        <v>24.493229830068529</v>
      </c>
      <c r="M42" s="222">
        <f>'Net Working Capital'!$L$54</f>
        <v>24.493229830068529</v>
      </c>
    </row>
    <row r="43" spans="1:13" ht="15.75" customHeight="1">
      <c r="A43" s="54" t="s">
        <v>243</v>
      </c>
      <c r="B43" s="100" t="s">
        <v>275</v>
      </c>
      <c r="C43" s="54"/>
      <c r="D43" s="219">
        <f>'Net Working Capital'!$L$42</f>
        <v>4.332603712782658E-2</v>
      </c>
      <c r="E43" s="219">
        <f>'Net Working Capital'!$L$42</f>
        <v>4.332603712782658E-2</v>
      </c>
      <c r="F43" s="219">
        <f>'Net Working Capital'!$L$42</f>
        <v>4.332603712782658E-2</v>
      </c>
      <c r="G43" s="219">
        <f>'Net Working Capital'!$L$42</f>
        <v>4.332603712782658E-2</v>
      </c>
      <c r="H43" s="219">
        <f>'Net Working Capital'!$L$42</f>
        <v>4.332603712782658E-2</v>
      </c>
      <c r="I43" s="219">
        <f>'Net Working Capital'!$L$42</f>
        <v>4.332603712782658E-2</v>
      </c>
      <c r="J43" s="219">
        <f>'Net Working Capital'!$L$42</f>
        <v>4.332603712782658E-2</v>
      </c>
      <c r="K43" s="219">
        <f>'Net Working Capital'!$L$42</f>
        <v>4.332603712782658E-2</v>
      </c>
      <c r="L43" s="219">
        <f>'Net Working Capital'!$L$42</f>
        <v>4.332603712782658E-2</v>
      </c>
      <c r="M43" s="219">
        <f>'Net Working Capital'!$L$42</f>
        <v>4.332603712782658E-2</v>
      </c>
    </row>
    <row r="44" spans="1:13" ht="15.75" customHeight="1">
      <c r="A44" s="49" t="s">
        <v>244</v>
      </c>
      <c r="B44" s="100" t="s">
        <v>275</v>
      </c>
      <c r="D44" s="219">
        <f>'Net Working Capital'!$L$43</f>
        <v>2.6011275586815586E-2</v>
      </c>
      <c r="E44" s="219">
        <f>'Net Working Capital'!$L$43</f>
        <v>2.6011275586815586E-2</v>
      </c>
      <c r="F44" s="219">
        <f>'Net Working Capital'!$L$43</f>
        <v>2.6011275586815586E-2</v>
      </c>
      <c r="G44" s="219">
        <f>'Net Working Capital'!$L$43</f>
        <v>2.6011275586815586E-2</v>
      </c>
      <c r="H44" s="219">
        <f>'Net Working Capital'!$L$43</f>
        <v>2.6011275586815586E-2</v>
      </c>
      <c r="I44" s="219">
        <f>'Net Working Capital'!$L$43</f>
        <v>2.6011275586815586E-2</v>
      </c>
      <c r="J44" s="219">
        <f>'Net Working Capital'!$L$43</f>
        <v>2.6011275586815586E-2</v>
      </c>
      <c r="K44" s="219">
        <f>'Net Working Capital'!$L$43</f>
        <v>2.6011275586815586E-2</v>
      </c>
      <c r="L44" s="219">
        <f>'Net Working Capital'!$L$43</f>
        <v>2.6011275586815586E-2</v>
      </c>
      <c r="M44" s="219">
        <f>'Net Working Capital'!$L$43</f>
        <v>2.6011275586815586E-2</v>
      </c>
    </row>
    <row r="45" spans="1:13" ht="15.75" customHeight="1">
      <c r="A45" s="54" t="s">
        <v>245</v>
      </c>
      <c r="B45" s="100" t="s">
        <v>275</v>
      </c>
      <c r="C45" s="54"/>
      <c r="D45" s="219">
        <f>'Net Working Capital'!$L$44</f>
        <v>2.106767932255103E-2</v>
      </c>
      <c r="E45" s="219">
        <f>'Net Working Capital'!$L$44</f>
        <v>2.106767932255103E-2</v>
      </c>
      <c r="F45" s="219">
        <f>'Net Working Capital'!$L$44</f>
        <v>2.106767932255103E-2</v>
      </c>
      <c r="G45" s="219">
        <f>'Net Working Capital'!$L$44</f>
        <v>2.106767932255103E-2</v>
      </c>
      <c r="H45" s="219">
        <f>'Net Working Capital'!$L$44</f>
        <v>2.106767932255103E-2</v>
      </c>
      <c r="I45" s="219">
        <f>'Net Working Capital'!$L$44</f>
        <v>2.106767932255103E-2</v>
      </c>
      <c r="J45" s="219">
        <f>'Net Working Capital'!$L$44</f>
        <v>2.106767932255103E-2</v>
      </c>
      <c r="K45" s="219">
        <f>'Net Working Capital'!$L$44</f>
        <v>2.106767932255103E-2</v>
      </c>
      <c r="L45" s="219">
        <f>'Net Working Capital'!$L$44</f>
        <v>2.106767932255103E-2</v>
      </c>
      <c r="M45" s="219">
        <f>'Net Working Capital'!$L$44</f>
        <v>2.106767932255103E-2</v>
      </c>
    </row>
    <row r="46" spans="1:13" ht="15.75" customHeight="1">
      <c r="A46" s="54" t="s">
        <v>246</v>
      </c>
      <c r="B46" s="100" t="s">
        <v>275</v>
      </c>
      <c r="C46" s="54"/>
      <c r="D46" s="219">
        <f>'Net Working Capital'!$L$45</f>
        <v>1.2294948001308476E-2</v>
      </c>
      <c r="E46" s="219">
        <f>'Net Working Capital'!$L$45</f>
        <v>1.2294948001308476E-2</v>
      </c>
      <c r="F46" s="219">
        <f>'Net Working Capital'!$L$45</f>
        <v>1.2294948001308476E-2</v>
      </c>
      <c r="G46" s="219">
        <f>'Net Working Capital'!$L$45</f>
        <v>1.2294948001308476E-2</v>
      </c>
      <c r="H46" s="219">
        <f>'Net Working Capital'!$L$45</f>
        <v>1.2294948001308476E-2</v>
      </c>
      <c r="I46" s="219">
        <f>'Net Working Capital'!$L$45</f>
        <v>1.2294948001308476E-2</v>
      </c>
      <c r="J46" s="219">
        <f>'Net Working Capital'!$L$45</f>
        <v>1.2294948001308476E-2</v>
      </c>
      <c r="K46" s="219">
        <f>'Net Working Capital'!$L$45</f>
        <v>1.2294948001308476E-2</v>
      </c>
      <c r="L46" s="219">
        <f>'Net Working Capital'!$L$45</f>
        <v>1.2294948001308476E-2</v>
      </c>
      <c r="M46" s="219">
        <f>'Net Working Capital'!$L$45</f>
        <v>1.2294948001308476E-2</v>
      </c>
    </row>
    <row r="47" spans="1:13" ht="15.75" customHeight="1">
      <c r="A47" s="49" t="s">
        <v>247</v>
      </c>
      <c r="B47" s="100" t="s">
        <v>275</v>
      </c>
      <c r="C47" s="54"/>
      <c r="D47" s="219">
        <f>'Net Working Capital'!$L$46</f>
        <v>5.4243561861762976E-2</v>
      </c>
      <c r="E47" s="219">
        <f>'Net Working Capital'!$L$46</f>
        <v>5.4243561861762976E-2</v>
      </c>
      <c r="F47" s="219">
        <f>'Net Working Capital'!$L$46</f>
        <v>5.4243561861762976E-2</v>
      </c>
      <c r="G47" s="219">
        <f>'Net Working Capital'!$L$46</f>
        <v>5.4243561861762976E-2</v>
      </c>
      <c r="H47" s="219">
        <f>'Net Working Capital'!$L$46</f>
        <v>5.4243561861762976E-2</v>
      </c>
      <c r="I47" s="219">
        <f>'Net Working Capital'!$L$46</f>
        <v>5.4243561861762976E-2</v>
      </c>
      <c r="J47" s="219">
        <f>'Net Working Capital'!$L$46</f>
        <v>5.4243561861762976E-2</v>
      </c>
      <c r="K47" s="219">
        <f>'Net Working Capital'!$L$46</f>
        <v>5.4243561861762976E-2</v>
      </c>
      <c r="L47" s="219">
        <f>'Net Working Capital'!$L$46</f>
        <v>5.4243561861762976E-2</v>
      </c>
      <c r="M47" s="219">
        <f>'Net Working Capital'!$L$46</f>
        <v>5.4243561861762976E-2</v>
      </c>
    </row>
    <row r="48" spans="1:13" ht="15.75" customHeight="1">
      <c r="A48" s="54" t="s">
        <v>248</v>
      </c>
      <c r="B48" s="100" t="s">
        <v>275</v>
      </c>
      <c r="C48" s="54"/>
      <c r="D48" s="219">
        <f>'Net Working Capital'!$L$47</f>
        <v>4.3419725155751564E-2</v>
      </c>
      <c r="E48" s="219">
        <f>'Net Working Capital'!$L$47</f>
        <v>4.3419725155751564E-2</v>
      </c>
      <c r="F48" s="219">
        <f>'Net Working Capital'!$L$47</f>
        <v>4.3419725155751564E-2</v>
      </c>
      <c r="G48" s="219">
        <f>'Net Working Capital'!$L$47</f>
        <v>4.3419725155751564E-2</v>
      </c>
      <c r="H48" s="219">
        <f>'Net Working Capital'!$L$47</f>
        <v>4.3419725155751564E-2</v>
      </c>
      <c r="I48" s="219">
        <f>'Net Working Capital'!$L$47</f>
        <v>4.3419725155751564E-2</v>
      </c>
      <c r="J48" s="219">
        <f>'Net Working Capital'!$L$47</f>
        <v>4.3419725155751564E-2</v>
      </c>
      <c r="K48" s="219">
        <f>'Net Working Capital'!$L$47</f>
        <v>4.3419725155751564E-2</v>
      </c>
      <c r="L48" s="219">
        <f>'Net Working Capital'!$L$47</f>
        <v>4.3419725155751564E-2</v>
      </c>
      <c r="M48" s="219">
        <f>'Net Working Capital'!$L$47</f>
        <v>4.3419725155751564E-2</v>
      </c>
    </row>
    <row r="49" spans="1:13" ht="15.75" customHeight="1">
      <c r="A49" s="55" t="s">
        <v>294</v>
      </c>
      <c r="B49" s="100" t="s">
        <v>295</v>
      </c>
      <c r="C49" s="55"/>
      <c r="D49" s="219">
        <f>D7</f>
        <v>0.03</v>
      </c>
      <c r="E49" s="219">
        <f t="shared" ref="E49:M49" si="10">E7</f>
        <v>0.03</v>
      </c>
      <c r="F49" s="219">
        <f t="shared" si="10"/>
        <v>0.03</v>
      </c>
      <c r="G49" s="219">
        <f t="shared" si="10"/>
        <v>0.03</v>
      </c>
      <c r="H49" s="219">
        <f t="shared" si="10"/>
        <v>0.03</v>
      </c>
      <c r="I49" s="219">
        <f t="shared" si="10"/>
        <v>0.03</v>
      </c>
      <c r="J49" s="219">
        <f t="shared" si="10"/>
        <v>0.03</v>
      </c>
      <c r="K49" s="219">
        <f t="shared" si="10"/>
        <v>0.03</v>
      </c>
      <c r="L49" s="219">
        <f t="shared" si="10"/>
        <v>0.03</v>
      </c>
      <c r="M49" s="219">
        <f t="shared" si="10"/>
        <v>0.03</v>
      </c>
    </row>
    <row r="50" spans="1:13" ht="15.75" customHeight="1">
      <c r="A50" s="63" t="s">
        <v>296</v>
      </c>
      <c r="B50" s="100" t="s">
        <v>476</v>
      </c>
      <c r="C50" s="55"/>
      <c r="D50" s="229">
        <f>WACC!B3</f>
        <v>1136900000</v>
      </c>
      <c r="E50" s="229">
        <f>D50-D51</f>
        <v>1124900000</v>
      </c>
      <c r="F50" s="229">
        <f>E50-E51</f>
        <v>1114900000</v>
      </c>
      <c r="G50" s="229">
        <f>F50-F51</f>
        <v>1104900000</v>
      </c>
      <c r="H50" s="229">
        <f t="shared" ref="H50:M50" si="11">G50-G51</f>
        <v>1094900000</v>
      </c>
      <c r="I50" s="229">
        <f t="shared" si="11"/>
        <v>1084900000</v>
      </c>
      <c r="J50" s="229">
        <f t="shared" si="11"/>
        <v>1074900000</v>
      </c>
      <c r="K50" s="229">
        <f t="shared" si="11"/>
        <v>1064900000</v>
      </c>
      <c r="L50" s="229">
        <f t="shared" si="11"/>
        <v>1054900000</v>
      </c>
      <c r="M50" s="229">
        <f t="shared" si="11"/>
        <v>1044900000</v>
      </c>
    </row>
    <row r="51" spans="1:13" ht="15.75" customHeight="1">
      <c r="A51" s="63" t="s">
        <v>297</v>
      </c>
      <c r="B51" s="100" t="s">
        <v>475</v>
      </c>
      <c r="C51" s="228"/>
      <c r="D51" s="229">
        <v>12000000</v>
      </c>
      <c r="E51" s="229">
        <v>10000000</v>
      </c>
      <c r="F51" s="229">
        <f>E51</f>
        <v>10000000</v>
      </c>
      <c r="G51" s="229">
        <f t="shared" ref="G51:M52" si="12">F51</f>
        <v>10000000</v>
      </c>
      <c r="H51" s="229">
        <f t="shared" si="12"/>
        <v>10000000</v>
      </c>
      <c r="I51" s="229">
        <f t="shared" si="12"/>
        <v>10000000</v>
      </c>
      <c r="J51" s="229">
        <f t="shared" si="12"/>
        <v>10000000</v>
      </c>
      <c r="K51" s="229">
        <f t="shared" si="12"/>
        <v>10000000</v>
      </c>
      <c r="L51" s="229">
        <f t="shared" si="12"/>
        <v>10000000</v>
      </c>
      <c r="M51" s="229">
        <f t="shared" si="12"/>
        <v>10000000</v>
      </c>
    </row>
    <row r="52" spans="1:13" ht="15.75" customHeight="1">
      <c r="A52" s="63" t="s">
        <v>298</v>
      </c>
      <c r="B52" s="100"/>
      <c r="C52" s="55"/>
      <c r="D52" s="229">
        <v>100</v>
      </c>
      <c r="E52" s="229">
        <v>100</v>
      </c>
      <c r="F52" s="229">
        <f>E52</f>
        <v>100</v>
      </c>
      <c r="G52" s="229">
        <f t="shared" si="12"/>
        <v>100</v>
      </c>
      <c r="H52" s="229">
        <f t="shared" si="12"/>
        <v>100</v>
      </c>
      <c r="I52" s="229">
        <f t="shared" si="12"/>
        <v>100</v>
      </c>
      <c r="J52" s="229">
        <f t="shared" si="12"/>
        <v>100</v>
      </c>
      <c r="K52" s="229">
        <f t="shared" si="12"/>
        <v>100</v>
      </c>
      <c r="L52" s="229">
        <f t="shared" si="12"/>
        <v>100</v>
      </c>
      <c r="M52" s="229">
        <f t="shared" si="12"/>
        <v>100</v>
      </c>
    </row>
    <row r="53" spans="1:13" ht="15">
      <c r="A53" s="63" t="s">
        <v>161</v>
      </c>
      <c r="B53" s="100" t="s">
        <v>477</v>
      </c>
      <c r="C53" s="230">
        <f>'Dividend Forecasting'!K3</f>
        <v>2.3199999999999998</v>
      </c>
      <c r="D53" s="206">
        <f>C53*(1+6%)</f>
        <v>2.4592000000000001</v>
      </c>
      <c r="E53" s="206">
        <f t="shared" ref="E53:L53" si="13">D53*(1+6%)</f>
        <v>2.6067520000000002</v>
      </c>
      <c r="F53" s="206">
        <f t="shared" si="13"/>
        <v>2.7631571200000002</v>
      </c>
      <c r="G53" s="206">
        <f t="shared" si="13"/>
        <v>2.9289465472000002</v>
      </c>
      <c r="H53" s="206">
        <f t="shared" si="13"/>
        <v>3.1046833400320004</v>
      </c>
      <c r="I53" s="206">
        <f t="shared" si="13"/>
        <v>3.2909643404339204</v>
      </c>
      <c r="J53" s="206">
        <f t="shared" si="13"/>
        <v>3.4884222008599557</v>
      </c>
      <c r="K53" s="206">
        <f t="shared" si="13"/>
        <v>3.6977275329115531</v>
      </c>
      <c r="L53" s="206">
        <f t="shared" si="13"/>
        <v>3.9195911848862464</v>
      </c>
      <c r="M53" s="206">
        <f>L53*(1+6%)</f>
        <v>4.1547666559794214</v>
      </c>
    </row>
    <row r="54" spans="1:13" ht="15.75" customHeight="1">
      <c r="A54" s="55"/>
      <c r="B54" s="100"/>
      <c r="C54" s="55"/>
      <c r="D54" s="58"/>
      <c r="E54" s="58"/>
      <c r="F54" s="58"/>
      <c r="G54" s="58"/>
      <c r="H54" s="58"/>
      <c r="I54" s="58"/>
      <c r="J54" s="58"/>
      <c r="K54" s="58"/>
      <c r="L54" s="58"/>
      <c r="M54" s="58"/>
    </row>
    <row r="56" spans="1:13" ht="15.75" customHeight="1">
      <c r="A56" s="51" t="s">
        <v>299</v>
      </c>
      <c r="B56" s="240"/>
      <c r="C56" s="51"/>
    </row>
    <row r="58" spans="1:13" ht="15.75" customHeight="1">
      <c r="A58" s="168" t="s">
        <v>300</v>
      </c>
      <c r="B58" s="168"/>
      <c r="C58" s="166"/>
      <c r="D58" s="168">
        <f t="shared" ref="D58:M58" si="14">D3</f>
        <v>2025</v>
      </c>
      <c r="E58" s="168">
        <f t="shared" si="14"/>
        <v>2026</v>
      </c>
      <c r="F58" s="168">
        <f t="shared" si="14"/>
        <v>2027</v>
      </c>
      <c r="G58" s="168">
        <f t="shared" si="14"/>
        <v>2028</v>
      </c>
      <c r="H58" s="168">
        <f t="shared" si="14"/>
        <v>2029</v>
      </c>
      <c r="I58" s="168">
        <f t="shared" si="14"/>
        <v>2030</v>
      </c>
      <c r="J58" s="168">
        <f t="shared" si="14"/>
        <v>2031</v>
      </c>
      <c r="K58" s="168">
        <f t="shared" si="14"/>
        <v>2032</v>
      </c>
      <c r="L58" s="168">
        <f t="shared" si="14"/>
        <v>2033</v>
      </c>
      <c r="M58" s="168">
        <f t="shared" si="14"/>
        <v>2034</v>
      </c>
    </row>
    <row r="59" spans="1:13" ht="15">
      <c r="A59" s="54" t="s">
        <v>479</v>
      </c>
      <c r="B59" s="67" t="s">
        <v>480</v>
      </c>
      <c r="C59" s="54"/>
      <c r="D59" s="231">
        <f>D10</f>
        <v>39437.329573473347</v>
      </c>
      <c r="E59" s="231">
        <f t="shared" ref="E59:M59" si="15">E10</f>
        <v>41861.963248655149</v>
      </c>
      <c r="F59" s="231">
        <f t="shared" si="15"/>
        <v>44396.581347731742</v>
      </c>
      <c r="G59" s="231">
        <f t="shared" si="15"/>
        <v>47045.600765829142</v>
      </c>
      <c r="H59" s="231">
        <f t="shared" si="15"/>
        <v>49813.604425799414</v>
      </c>
      <c r="I59" s="231">
        <f t="shared" si="15"/>
        <v>52705.347264679229</v>
      </c>
      <c r="J59" s="231">
        <f t="shared" si="15"/>
        <v>55725.762429908034</v>
      </c>
      <c r="K59" s="231">
        <f t="shared" si="15"/>
        <v>58879.967692512357</v>
      </c>
      <c r="L59" s="231">
        <f t="shared" si="15"/>
        <v>62173.272084686017</v>
      </c>
      <c r="M59" s="231">
        <f t="shared" si="15"/>
        <v>65611.182769466846</v>
      </c>
    </row>
    <row r="60" spans="1:13" ht="15.75" customHeight="1">
      <c r="A60" s="51" t="s">
        <v>135</v>
      </c>
      <c r="B60" s="240"/>
      <c r="C60" s="54"/>
      <c r="D60" s="232">
        <f>D59</f>
        <v>39437.329573473347</v>
      </c>
      <c r="E60" s="232">
        <f t="shared" ref="E60:M60" si="16">E59</f>
        <v>41861.963248655149</v>
      </c>
      <c r="F60" s="232">
        <f t="shared" si="16"/>
        <v>44396.581347731742</v>
      </c>
      <c r="G60" s="232">
        <f t="shared" si="16"/>
        <v>47045.600765829142</v>
      </c>
      <c r="H60" s="232">
        <f t="shared" si="16"/>
        <v>49813.604425799414</v>
      </c>
      <c r="I60" s="232">
        <f t="shared" si="16"/>
        <v>52705.347264679229</v>
      </c>
      <c r="J60" s="232">
        <f t="shared" si="16"/>
        <v>55725.762429908034</v>
      </c>
      <c r="K60" s="232">
        <f t="shared" si="16"/>
        <v>58879.967692512357</v>
      </c>
      <c r="L60" s="232">
        <f t="shared" si="16"/>
        <v>62173.272084686017</v>
      </c>
      <c r="M60" s="232">
        <f t="shared" si="16"/>
        <v>65611.182769466846</v>
      </c>
    </row>
    <row r="61" spans="1:13" ht="15.75" customHeight="1">
      <c r="A61" s="54" t="s">
        <v>393</v>
      </c>
      <c r="C61" s="54"/>
      <c r="D61" s="232">
        <f>D17*D60</f>
        <v>28301.972885185751</v>
      </c>
      <c r="E61" s="232">
        <f t="shared" ref="E61:M61" si="17">E17*E60</f>
        <v>30041.997305542565</v>
      </c>
      <c r="F61" s="232">
        <f t="shared" si="17"/>
        <v>31860.951415524127</v>
      </c>
      <c r="G61" s="232">
        <f t="shared" si="17"/>
        <v>33762.004974529598</v>
      </c>
      <c r="H61" s="232">
        <f t="shared" si="17"/>
        <v>35748.44689080141</v>
      </c>
      <c r="I61" s="232">
        <f t="shared" si="17"/>
        <v>37823.689517572871</v>
      </c>
      <c r="J61" s="232">
        <f t="shared" si="17"/>
        <v>39991.273099748483</v>
      </c>
      <c r="K61" s="232">
        <f t="shared" si="17"/>
        <v>42254.870376288811</v>
      </c>
      <c r="L61" s="232">
        <f t="shared" si="17"/>
        <v>44618.29134363179</v>
      </c>
      <c r="M61" s="232">
        <f t="shared" si="17"/>
        <v>47085.488185676688</v>
      </c>
    </row>
    <row r="62" spans="1:13" ht="15.75" customHeight="1">
      <c r="A62" s="48" t="s">
        <v>136</v>
      </c>
      <c r="B62" s="240"/>
      <c r="C62" s="54"/>
      <c r="D62" s="232">
        <f>D60-D61</f>
        <v>11135.356688287597</v>
      </c>
      <c r="E62" s="232">
        <f t="shared" ref="E62:M62" si="18">E60-E61</f>
        <v>11819.965943112584</v>
      </c>
      <c r="F62" s="232">
        <f t="shared" si="18"/>
        <v>12535.629932207616</v>
      </c>
      <c r="G62" s="232">
        <f t="shared" si="18"/>
        <v>13283.595791299544</v>
      </c>
      <c r="H62" s="232">
        <f t="shared" si="18"/>
        <v>14065.157534998005</v>
      </c>
      <c r="I62" s="232">
        <f t="shared" si="18"/>
        <v>14881.657747106357</v>
      </c>
      <c r="J62" s="232">
        <f t="shared" si="18"/>
        <v>15734.489330159551</v>
      </c>
      <c r="K62" s="232">
        <f t="shared" si="18"/>
        <v>16625.097316223546</v>
      </c>
      <c r="L62" s="232">
        <f t="shared" si="18"/>
        <v>17554.980741054227</v>
      </c>
      <c r="M62" s="232">
        <f t="shared" si="18"/>
        <v>18525.694583790159</v>
      </c>
    </row>
    <row r="63" spans="1:13" ht="15.75" customHeight="1">
      <c r="A63" s="54" t="s">
        <v>137</v>
      </c>
      <c r="C63" s="54"/>
      <c r="D63" s="232">
        <f>D18*D59</f>
        <v>2633.484599515742</v>
      </c>
      <c r="E63" s="232">
        <f t="shared" ref="E63:M63" si="19">E18*E59</f>
        <v>2795.3930124868225</v>
      </c>
      <c r="F63" s="232">
        <f t="shared" si="19"/>
        <v>2964.6457940966043</v>
      </c>
      <c r="G63" s="232">
        <f t="shared" si="19"/>
        <v>3141.5378888917348</v>
      </c>
      <c r="H63" s="232">
        <f t="shared" si="19"/>
        <v>3326.3753281598856</v>
      </c>
      <c r="I63" s="232">
        <f t="shared" si="19"/>
        <v>3519.4756296841606</v>
      </c>
      <c r="J63" s="232">
        <f t="shared" si="19"/>
        <v>3721.1682115045101</v>
      </c>
      <c r="K63" s="232">
        <f t="shared" si="19"/>
        <v>3931.7948201673644</v>
      </c>
      <c r="L63" s="232">
        <f t="shared" si="19"/>
        <v>4151.709973959636</v>
      </c>
      <c r="M63" s="232">
        <f t="shared" si="19"/>
        <v>4381.2814216412935</v>
      </c>
    </row>
    <row r="64" spans="1:13" ht="15.75" customHeight="1">
      <c r="A64" s="54" t="s">
        <v>138</v>
      </c>
      <c r="C64" s="54"/>
      <c r="D64" s="232">
        <f>D19*D59</f>
        <v>1874.4363272679464</v>
      </c>
      <c r="E64" s="232">
        <f t="shared" ref="E64:M64" si="20">E19*E59</f>
        <v>1989.6779394722103</v>
      </c>
      <c r="F64" s="232">
        <f t="shared" si="20"/>
        <v>2110.1470557141893</v>
      </c>
      <c r="G64" s="232">
        <f t="shared" si="20"/>
        <v>2236.0536087851619</v>
      </c>
      <c r="H64" s="232">
        <f t="shared" si="20"/>
        <v>2367.6154226902495</v>
      </c>
      <c r="I64" s="232">
        <f t="shared" si="20"/>
        <v>2505.058497181763</v>
      </c>
      <c r="J64" s="232">
        <f t="shared" si="20"/>
        <v>2648.6173022623184</v>
      </c>
      <c r="K64" s="232">
        <f t="shared" si="20"/>
        <v>2798.535083000244</v>
      </c>
      <c r="L64" s="232">
        <f t="shared" si="20"/>
        <v>2955.0641750104082</v>
      </c>
      <c r="M64" s="232">
        <f t="shared" si="20"/>
        <v>3118.4663309664829</v>
      </c>
    </row>
    <row r="65" spans="1:13" ht="15.75" customHeight="1">
      <c r="A65" s="54" t="s">
        <v>371</v>
      </c>
      <c r="C65" s="54"/>
      <c r="D65" s="232">
        <f>D59*D36</f>
        <v>733.0127471776467</v>
      </c>
      <c r="E65" s="232">
        <f t="shared" ref="E65:M65" si="21">E59*E36</f>
        <v>778.07886626751269</v>
      </c>
      <c r="F65" s="232">
        <f t="shared" si="21"/>
        <v>825.189241030311</v>
      </c>
      <c r="G65" s="232">
        <f t="shared" si="21"/>
        <v>874.4259672992365</v>
      </c>
      <c r="H65" s="232">
        <f t="shared" si="21"/>
        <v>925.87422682736997</v>
      </c>
      <c r="I65" s="232">
        <f t="shared" si="21"/>
        <v>979.62239855663279</v>
      </c>
      <c r="J65" s="232">
        <f t="shared" si="21"/>
        <v>1035.7621737854959</v>
      </c>
      <c r="K65" s="232">
        <f t="shared" si="21"/>
        <v>1094.3886753693901</v>
      </c>
      <c r="L65" s="232">
        <f t="shared" si="21"/>
        <v>1155.6005810919105</v>
      </c>
      <c r="M65" s="232">
        <f t="shared" si="21"/>
        <v>1219.5002513499501</v>
      </c>
    </row>
    <row r="66" spans="1:13" s="48" customFormat="1" ht="15.75" customHeight="1">
      <c r="A66" s="54" t="s">
        <v>139</v>
      </c>
      <c r="B66" s="67"/>
      <c r="C66" s="54"/>
      <c r="D66" s="232">
        <f>SUM(D63:D65)</f>
        <v>5240.9336739613354</v>
      </c>
      <c r="E66" s="232">
        <f t="shared" ref="E66:M66" si="22">SUM(E63:E65)</f>
        <v>5563.1498182265459</v>
      </c>
      <c r="F66" s="232">
        <f t="shared" si="22"/>
        <v>5899.9820908411048</v>
      </c>
      <c r="G66" s="232">
        <f t="shared" si="22"/>
        <v>6252.0174649761329</v>
      </c>
      <c r="H66" s="232">
        <f t="shared" si="22"/>
        <v>6619.8649776775046</v>
      </c>
      <c r="I66" s="232">
        <f t="shared" si="22"/>
        <v>7004.1565254225561</v>
      </c>
      <c r="J66" s="232">
        <f t="shared" si="22"/>
        <v>7405.5476875523245</v>
      </c>
      <c r="K66" s="232">
        <f t="shared" si="22"/>
        <v>7824.7185785369984</v>
      </c>
      <c r="L66" s="232">
        <f t="shared" si="22"/>
        <v>8262.3747300619543</v>
      </c>
      <c r="M66" s="232">
        <f t="shared" si="22"/>
        <v>8719.2480039577258</v>
      </c>
    </row>
    <row r="67" spans="1:13" ht="15.75" customHeight="1" thickBot="1">
      <c r="A67" s="215" t="s">
        <v>381</v>
      </c>
      <c r="B67" s="241"/>
      <c r="C67" s="215"/>
      <c r="D67" s="211">
        <f>D62-D66</f>
        <v>5894.4230143262612</v>
      </c>
      <c r="E67" s="211">
        <f t="shared" ref="E67:M67" si="23">E62-E66</f>
        <v>6256.8161248860379</v>
      </c>
      <c r="F67" s="211">
        <f t="shared" si="23"/>
        <v>6635.6478413665109</v>
      </c>
      <c r="G67" s="211">
        <f t="shared" si="23"/>
        <v>7031.5783263234107</v>
      </c>
      <c r="H67" s="211">
        <f t="shared" si="23"/>
        <v>7445.2925573205002</v>
      </c>
      <c r="I67" s="211">
        <f t="shared" si="23"/>
        <v>7877.5012216838013</v>
      </c>
      <c r="J67" s="211">
        <f t="shared" si="23"/>
        <v>8328.9416426072275</v>
      </c>
      <c r="K67" s="211">
        <f t="shared" si="23"/>
        <v>8800.3787376865475</v>
      </c>
      <c r="L67" s="211">
        <f t="shared" si="23"/>
        <v>9292.6060109922728</v>
      </c>
      <c r="M67" s="211">
        <f t="shared" si="23"/>
        <v>9806.4465798324327</v>
      </c>
    </row>
    <row r="68" spans="1:13" ht="15">
      <c r="A68" s="49" t="s">
        <v>142</v>
      </c>
      <c r="B68" s="67" t="s">
        <v>301</v>
      </c>
      <c r="C68" s="54"/>
      <c r="D68" s="234">
        <f t="shared" ref="D68:M68" si="24">(D22*D23)+(D24*D25)+(D26*D100)</f>
        <v>632.12771546567274</v>
      </c>
      <c r="E68" s="234">
        <f t="shared" si="24"/>
        <v>593.61698489631317</v>
      </c>
      <c r="F68" s="234">
        <f t="shared" si="24"/>
        <v>564.70921279887284</v>
      </c>
      <c r="G68" s="234">
        <f t="shared" si="24"/>
        <v>531.3125498391795</v>
      </c>
      <c r="H68" s="234">
        <f t="shared" si="24"/>
        <v>488.73545306038545</v>
      </c>
      <c r="I68" s="234">
        <f t="shared" si="24"/>
        <v>460.32169693000964</v>
      </c>
      <c r="J68" s="234">
        <f t="shared" si="24"/>
        <v>432.14538477405586</v>
      </c>
      <c r="K68" s="234">
        <f t="shared" si="24"/>
        <v>404.2159606115078</v>
      </c>
      <c r="L68" s="234">
        <f t="shared" si="24"/>
        <v>376.54322140291021</v>
      </c>
      <c r="M68" s="234">
        <f t="shared" si="24"/>
        <v>349.13732972724642</v>
      </c>
    </row>
    <row r="69" spans="1:13" ht="15.75" customHeight="1">
      <c r="A69" s="10" t="s">
        <v>514</v>
      </c>
      <c r="B69" s="240"/>
      <c r="C69" s="54"/>
      <c r="D69" s="232">
        <f>D67-D68</f>
        <v>5262.2952988605884</v>
      </c>
      <c r="E69" s="232">
        <f t="shared" ref="E69:M69" si="25">E67-E68</f>
        <v>5663.1991399897252</v>
      </c>
      <c r="F69" s="232">
        <f t="shared" si="25"/>
        <v>6070.9386285676383</v>
      </c>
      <c r="G69" s="232">
        <f t="shared" si="25"/>
        <v>6500.2657764842315</v>
      </c>
      <c r="H69" s="232">
        <f t="shared" si="25"/>
        <v>6956.557104260115</v>
      </c>
      <c r="I69" s="232">
        <f t="shared" si="25"/>
        <v>7417.1795247537921</v>
      </c>
      <c r="J69" s="232">
        <f t="shared" si="25"/>
        <v>7896.7962578331717</v>
      </c>
      <c r="K69" s="232">
        <f t="shared" si="25"/>
        <v>8396.1627770750401</v>
      </c>
      <c r="L69" s="232">
        <f t="shared" si="25"/>
        <v>8916.0627895893631</v>
      </c>
      <c r="M69" s="232">
        <f t="shared" si="25"/>
        <v>9457.3092501051869</v>
      </c>
    </row>
    <row r="70" spans="1:13" ht="15.75" customHeight="1">
      <c r="A70" s="49" t="s">
        <v>148</v>
      </c>
      <c r="C70" s="54"/>
      <c r="D70" s="232">
        <f>D28*D69</f>
        <v>1631.3115426467823</v>
      </c>
      <c r="E70" s="232">
        <f t="shared" ref="E70:M70" si="26">E28*E69</f>
        <v>1755.5917333968148</v>
      </c>
      <c r="F70" s="232">
        <f t="shared" si="26"/>
        <v>1881.9909748559678</v>
      </c>
      <c r="G70" s="232">
        <f t="shared" si="26"/>
        <v>2015.0823907101117</v>
      </c>
      <c r="H70" s="232">
        <f t="shared" si="26"/>
        <v>2156.5327023206355</v>
      </c>
      <c r="I70" s="232">
        <f t="shared" si="26"/>
        <v>2299.3256526736754</v>
      </c>
      <c r="J70" s="232">
        <f t="shared" si="26"/>
        <v>2448.0068399282832</v>
      </c>
      <c r="K70" s="232">
        <f t="shared" si="26"/>
        <v>2602.8104608932626</v>
      </c>
      <c r="L70" s="232">
        <f t="shared" si="26"/>
        <v>2763.9794647727026</v>
      </c>
      <c r="M70" s="232">
        <f t="shared" si="26"/>
        <v>2931.7658675326079</v>
      </c>
    </row>
    <row r="71" spans="1:13" ht="15.75" customHeight="1">
      <c r="A71" s="10" t="s">
        <v>386</v>
      </c>
      <c r="C71" s="54"/>
      <c r="D71" s="232">
        <f>D69-D70</f>
        <v>3630.9837562138064</v>
      </c>
      <c r="E71" s="232">
        <f t="shared" ref="E71:M71" si="27">E69-E70</f>
        <v>3907.6074065929106</v>
      </c>
      <c r="F71" s="232">
        <f t="shared" si="27"/>
        <v>4188.9476537116707</v>
      </c>
      <c r="G71" s="232">
        <f t="shared" si="27"/>
        <v>4485.1833857741203</v>
      </c>
      <c r="H71" s="232">
        <f t="shared" si="27"/>
        <v>4800.0244019394795</v>
      </c>
      <c r="I71" s="232">
        <f t="shared" si="27"/>
        <v>5117.8538720801171</v>
      </c>
      <c r="J71" s="232">
        <f t="shared" si="27"/>
        <v>5448.789417904889</v>
      </c>
      <c r="K71" s="232">
        <f t="shared" si="27"/>
        <v>5793.3523161817775</v>
      </c>
      <c r="L71" s="232">
        <f t="shared" si="27"/>
        <v>6152.08332481666</v>
      </c>
      <c r="M71" s="232">
        <f t="shared" si="27"/>
        <v>6525.5433825725795</v>
      </c>
    </row>
    <row r="72" spans="1:13" ht="15.75" customHeight="1" thickBot="1">
      <c r="A72" s="121" t="s">
        <v>150</v>
      </c>
      <c r="B72" s="242"/>
      <c r="C72" s="237"/>
      <c r="D72" s="211">
        <f>D71</f>
        <v>3630.9837562138064</v>
      </c>
      <c r="E72" s="211">
        <f t="shared" ref="E72:M72" si="28">E71</f>
        <v>3907.6074065929106</v>
      </c>
      <c r="F72" s="211">
        <f t="shared" si="28"/>
        <v>4188.9476537116707</v>
      </c>
      <c r="G72" s="211">
        <f t="shared" si="28"/>
        <v>4485.1833857741203</v>
      </c>
      <c r="H72" s="211">
        <f t="shared" si="28"/>
        <v>4800.0244019394795</v>
      </c>
      <c r="I72" s="211">
        <f t="shared" si="28"/>
        <v>5117.8538720801171</v>
      </c>
      <c r="J72" s="211">
        <f t="shared" si="28"/>
        <v>5448.789417904889</v>
      </c>
      <c r="K72" s="211">
        <f t="shared" si="28"/>
        <v>5793.3523161817775</v>
      </c>
      <c r="L72" s="211">
        <f t="shared" si="28"/>
        <v>6152.08332481666</v>
      </c>
      <c r="M72" s="211">
        <f t="shared" si="28"/>
        <v>6525.5433825725795</v>
      </c>
    </row>
    <row r="73" spans="1:13" ht="15.75" customHeight="1">
      <c r="A73" s="10"/>
      <c r="B73" s="240"/>
      <c r="C73" s="54"/>
      <c r="D73" s="232"/>
      <c r="E73" s="232"/>
      <c r="F73" s="232"/>
      <c r="G73" s="232"/>
      <c r="H73" s="232"/>
      <c r="I73" s="232"/>
      <c r="J73" s="232"/>
      <c r="K73" s="232"/>
      <c r="L73" s="232"/>
      <c r="M73" s="232"/>
    </row>
    <row r="74" spans="1:13" ht="15.75" customHeight="1">
      <c r="A74" s="54" t="s">
        <v>302</v>
      </c>
      <c r="B74" s="67" t="s">
        <v>484</v>
      </c>
      <c r="C74" s="54"/>
      <c r="D74" s="232">
        <f>D50*D53/1000000</f>
        <v>2795.8644800000002</v>
      </c>
      <c r="E74" s="232">
        <f t="shared" ref="E74:M74" si="29">E50*E53/1000000</f>
        <v>2932.3353248000003</v>
      </c>
      <c r="F74" s="232">
        <f t="shared" si="29"/>
        <v>3080.6438730880004</v>
      </c>
      <c r="G74" s="232">
        <f t="shared" si="29"/>
        <v>3236.1930400012802</v>
      </c>
      <c r="H74" s="232">
        <f t="shared" si="29"/>
        <v>3399.317789001037</v>
      </c>
      <c r="I74" s="232">
        <f t="shared" si="29"/>
        <v>3570.3672129367606</v>
      </c>
      <c r="J74" s="232">
        <f t="shared" si="29"/>
        <v>3749.7050237043663</v>
      </c>
      <c r="K74" s="232">
        <f t="shared" si="29"/>
        <v>3937.710049797513</v>
      </c>
      <c r="L74" s="232">
        <f t="shared" si="29"/>
        <v>4134.7767409365015</v>
      </c>
      <c r="M74" s="232">
        <f t="shared" si="29"/>
        <v>4341.315678832897</v>
      </c>
    </row>
    <row r="75" spans="1:13" ht="15.75" customHeight="1">
      <c r="A75" s="54" t="s">
        <v>303</v>
      </c>
      <c r="B75" s="67" t="s">
        <v>485</v>
      </c>
      <c r="C75" s="54"/>
      <c r="D75" s="232">
        <f>D72-D74</f>
        <v>835.11927621380619</v>
      </c>
      <c r="E75" s="232">
        <f t="shared" ref="E75:M75" si="30">E72-E74</f>
        <v>975.27208179291029</v>
      </c>
      <c r="F75" s="232">
        <f t="shared" si="30"/>
        <v>1108.3037806236703</v>
      </c>
      <c r="G75" s="232">
        <f t="shared" si="30"/>
        <v>1248.9903457728401</v>
      </c>
      <c r="H75" s="232">
        <f t="shared" si="30"/>
        <v>1400.7066129384425</v>
      </c>
      <c r="I75" s="232">
        <f t="shared" si="30"/>
        <v>1547.4866591433565</v>
      </c>
      <c r="J75" s="232">
        <f t="shared" si="30"/>
        <v>1699.0843942005226</v>
      </c>
      <c r="K75" s="232">
        <f t="shared" si="30"/>
        <v>1855.6422663842645</v>
      </c>
      <c r="L75" s="232">
        <f t="shared" si="30"/>
        <v>2017.3065838801585</v>
      </c>
      <c r="M75" s="232">
        <f t="shared" si="30"/>
        <v>2184.2277037396825</v>
      </c>
    </row>
    <row r="76" spans="1:13" ht="15.75" customHeight="1">
      <c r="A76" s="54"/>
      <c r="C76" s="54"/>
      <c r="D76" s="232"/>
      <c r="E76" s="232"/>
      <c r="F76" s="232"/>
      <c r="G76" s="232"/>
      <c r="H76" s="232"/>
      <c r="I76" s="232"/>
      <c r="J76" s="232"/>
      <c r="K76" s="232"/>
      <c r="L76" s="232"/>
      <c r="M76" s="232"/>
    </row>
    <row r="77" spans="1:13" ht="15.75" customHeight="1">
      <c r="A77" s="54"/>
      <c r="C77" s="54"/>
      <c r="D77" s="232"/>
      <c r="E77" s="232"/>
      <c r="F77" s="232"/>
      <c r="G77" s="232"/>
      <c r="H77" s="232"/>
      <c r="I77" s="232"/>
      <c r="J77" s="232"/>
      <c r="K77" s="232"/>
      <c r="L77" s="232"/>
      <c r="M77" s="232"/>
    </row>
    <row r="78" spans="1:13" ht="15.75" customHeight="1">
      <c r="A78" s="168" t="s">
        <v>10</v>
      </c>
      <c r="B78" s="168"/>
      <c r="C78" s="168"/>
      <c r="D78" s="238">
        <v>2025</v>
      </c>
      <c r="E78" s="238">
        <v>2026</v>
      </c>
      <c r="F78" s="238">
        <v>2027</v>
      </c>
      <c r="G78" s="238">
        <v>2028</v>
      </c>
      <c r="H78" s="238">
        <v>2029</v>
      </c>
      <c r="I78" s="238">
        <v>2030</v>
      </c>
      <c r="J78" s="238">
        <v>2031</v>
      </c>
      <c r="K78" s="238">
        <v>2032</v>
      </c>
      <c r="L78" s="238">
        <v>2033</v>
      </c>
      <c r="M78" s="238">
        <v>2034</v>
      </c>
    </row>
    <row r="79" spans="1:13" ht="15.75" customHeight="1">
      <c r="A79" s="51" t="s">
        <v>13</v>
      </c>
      <c r="B79" s="240"/>
      <c r="C79" s="51"/>
      <c r="D79" s="232"/>
      <c r="E79" s="232"/>
      <c r="F79" s="232"/>
      <c r="G79" s="232"/>
      <c r="H79" s="232"/>
      <c r="I79" s="232"/>
      <c r="J79" s="232"/>
      <c r="K79" s="232"/>
      <c r="L79" s="232"/>
      <c r="M79" s="232"/>
    </row>
    <row r="80" spans="1:13" ht="15.75" customHeight="1">
      <c r="A80" s="54" t="s">
        <v>304</v>
      </c>
      <c r="C80" s="54"/>
      <c r="D80" s="232">
        <f t="shared" ref="D80:M80" si="31">D59*D30</f>
        <v>5637.0909990514319</v>
      </c>
      <c r="E80" s="232">
        <f t="shared" si="31"/>
        <v>5983.6631633989318</v>
      </c>
      <c r="F80" s="232">
        <f t="shared" si="31"/>
        <v>6345.9562757081367</v>
      </c>
      <c r="G80" s="232">
        <f t="shared" si="31"/>
        <v>6724.601677908835</v>
      </c>
      <c r="H80" s="232">
        <f t="shared" si="31"/>
        <v>7120.254443593436</v>
      </c>
      <c r="I80" s="232">
        <f t="shared" si="31"/>
        <v>7533.5942337090773</v>
      </c>
      <c r="J80" s="232">
        <f t="shared" si="31"/>
        <v>7965.3261822323402</v>
      </c>
      <c r="K80" s="232">
        <f t="shared" si="31"/>
        <v>8416.1818128566611</v>
      </c>
      <c r="L80" s="232">
        <f t="shared" si="31"/>
        <v>8886.9199877544306</v>
      </c>
      <c r="M80" s="232">
        <f t="shared" si="31"/>
        <v>9378.3278895144977</v>
      </c>
    </row>
    <row r="81" spans="1:13" ht="15.75" customHeight="1">
      <c r="A81" s="54" t="s">
        <v>478</v>
      </c>
      <c r="C81" s="54"/>
      <c r="D81" s="232">
        <f t="shared" ref="D81:M81" si="32">D39*D59</f>
        <v>307.1264011016649</v>
      </c>
      <c r="E81" s="232">
        <f t="shared" si="32"/>
        <v>326.00873980720888</v>
      </c>
      <c r="F81" s="232">
        <f t="shared" si="32"/>
        <v>345.74760507409405</v>
      </c>
      <c r="G81" s="232">
        <f t="shared" si="32"/>
        <v>366.37739439116586</v>
      </c>
      <c r="H81" s="232">
        <f t="shared" si="32"/>
        <v>387.9337982226952</v>
      </c>
      <c r="I81" s="232">
        <f t="shared" si="32"/>
        <v>410.45384662916871</v>
      </c>
      <c r="J81" s="232">
        <f t="shared" si="32"/>
        <v>433.97595752162573</v>
      </c>
      <c r="K81" s="232">
        <f t="shared" si="32"/>
        <v>458.53998660566384</v>
      </c>
      <c r="L81" s="232">
        <f t="shared" si="32"/>
        <v>484.18727907297483</v>
      </c>
      <c r="M81" s="232">
        <f t="shared" si="32"/>
        <v>510.96072310037943</v>
      </c>
    </row>
    <row r="82" spans="1:13" s="48" customFormat="1" ht="15.75" customHeight="1">
      <c r="A82" s="51" t="s">
        <v>305</v>
      </c>
      <c r="B82" s="240"/>
      <c r="C82" s="51"/>
      <c r="D82" s="233">
        <f>SUM(D80:D81)</f>
        <v>5944.2174001530966</v>
      </c>
      <c r="E82" s="233">
        <f t="shared" ref="E82:M82" si="33">SUM(E80:E81)</f>
        <v>6309.671903206141</v>
      </c>
      <c r="F82" s="233">
        <f t="shared" si="33"/>
        <v>6691.703880782231</v>
      </c>
      <c r="G82" s="233">
        <f t="shared" si="33"/>
        <v>7090.9790723000006</v>
      </c>
      <c r="H82" s="233">
        <f t="shared" si="33"/>
        <v>7508.1882418161313</v>
      </c>
      <c r="I82" s="233">
        <f t="shared" si="33"/>
        <v>7944.0480803382461</v>
      </c>
      <c r="J82" s="233">
        <f t="shared" si="33"/>
        <v>8399.3021397539651</v>
      </c>
      <c r="K82" s="233">
        <f t="shared" si="33"/>
        <v>8874.7217994623243</v>
      </c>
      <c r="L82" s="233">
        <f t="shared" si="33"/>
        <v>9371.1072668274046</v>
      </c>
      <c r="M82" s="233">
        <f t="shared" si="33"/>
        <v>9889.2886126148769</v>
      </c>
    </row>
    <row r="83" spans="1:13" ht="15.75" customHeight="1">
      <c r="A83" s="54" t="s">
        <v>306</v>
      </c>
      <c r="D83" s="232">
        <f t="shared" ref="D83:M83" si="34">D59/D31</f>
        <v>1591.4730434410258</v>
      </c>
      <c r="E83" s="232">
        <f t="shared" si="34"/>
        <v>1689.3178817200019</v>
      </c>
      <c r="F83" s="232">
        <f t="shared" si="34"/>
        <v>1791.60108455662</v>
      </c>
      <c r="G83" s="232">
        <f t="shared" si="34"/>
        <v>1898.5008934698872</v>
      </c>
      <c r="H83" s="232">
        <f t="shared" si="34"/>
        <v>2010.202249941849</v>
      </c>
      <c r="I83" s="232">
        <f t="shared" si="34"/>
        <v>2126.8970369980284</v>
      </c>
      <c r="J83" s="232">
        <f t="shared" si="34"/>
        <v>2248.7843292526081</v>
      </c>
      <c r="K83" s="232">
        <f t="shared" si="34"/>
        <v>2376.0706517091639</v>
      </c>
      <c r="L83" s="232">
        <f t="shared" si="34"/>
        <v>2508.9702476167859</v>
      </c>
      <c r="M83" s="232">
        <f t="shared" si="34"/>
        <v>2647.7053556923274</v>
      </c>
    </row>
    <row r="84" spans="1:13" ht="15.75" customHeight="1">
      <c r="A84" s="54" t="s">
        <v>225</v>
      </c>
      <c r="D84" s="232">
        <f t="shared" ref="D84:M84" si="35">D59/D32</f>
        <v>2321.3153011034578</v>
      </c>
      <c r="E84" s="232">
        <f t="shared" si="35"/>
        <v>2464.0313346341864</v>
      </c>
      <c r="F84" s="232">
        <f t="shared" si="35"/>
        <v>2613.2211464057664</v>
      </c>
      <c r="G84" s="232">
        <f t="shared" si="35"/>
        <v>2769.1447186824707</v>
      </c>
      <c r="H84" s="232">
        <f t="shared" si="35"/>
        <v>2932.0718062640112</v>
      </c>
      <c r="I84" s="232">
        <f t="shared" si="35"/>
        <v>3102.2822888536634</v>
      </c>
      <c r="J84" s="232">
        <f t="shared" si="35"/>
        <v>3280.0665357730231</v>
      </c>
      <c r="K84" s="232">
        <f t="shared" si="35"/>
        <v>3465.7257834475763</v>
      </c>
      <c r="L84" s="232">
        <f t="shared" si="35"/>
        <v>3659.5725261004063</v>
      </c>
      <c r="M84" s="232">
        <f t="shared" si="35"/>
        <v>3861.9309201073042</v>
      </c>
    </row>
    <row r="85" spans="1:13" ht="15.75" customHeight="1">
      <c r="A85" s="54" t="s">
        <v>226</v>
      </c>
      <c r="C85" s="51"/>
      <c r="D85" s="232">
        <f t="shared" ref="D85:M85" si="36">D38*D59</f>
        <v>469.02476025833607</v>
      </c>
      <c r="E85" s="232">
        <f t="shared" si="36"/>
        <v>497.86071950090491</v>
      </c>
      <c r="F85" s="232">
        <f t="shared" si="36"/>
        <v>528.00471401379548</v>
      </c>
      <c r="G85" s="232">
        <f t="shared" si="36"/>
        <v>559.5092735499087</v>
      </c>
      <c r="H85" s="232">
        <f t="shared" si="36"/>
        <v>592.4289024155762</v>
      </c>
      <c r="I85" s="232">
        <f t="shared" si="36"/>
        <v>626.82015066699557</v>
      </c>
      <c r="J85" s="232">
        <f t="shared" si="36"/>
        <v>662.74168780131924</v>
      </c>
      <c r="K85" s="232">
        <f t="shared" si="36"/>
        <v>700.25437902810199</v>
      </c>
      <c r="L85" s="232">
        <f t="shared" si="36"/>
        <v>739.42136420947043</v>
      </c>
      <c r="M85" s="232">
        <f t="shared" si="36"/>
        <v>780.30813956059592</v>
      </c>
    </row>
    <row r="86" spans="1:13" ht="15.75" customHeight="1">
      <c r="A86" s="239" t="s">
        <v>21</v>
      </c>
      <c r="B86" s="244"/>
      <c r="C86" s="239"/>
      <c r="D86" s="233">
        <f t="shared" ref="D86:M86" si="37">SUM(D82:D85)</f>
        <v>10326.030504955917</v>
      </c>
      <c r="E86" s="233">
        <f t="shared" si="37"/>
        <v>10960.881839061234</v>
      </c>
      <c r="F86" s="233">
        <f t="shared" si="37"/>
        <v>11624.530825758413</v>
      </c>
      <c r="G86" s="233">
        <f t="shared" si="37"/>
        <v>12318.133958002269</v>
      </c>
      <c r="H86" s="233">
        <f t="shared" si="37"/>
        <v>13042.891200437569</v>
      </c>
      <c r="I86" s="233">
        <f t="shared" si="37"/>
        <v>13800.047556856933</v>
      </c>
      <c r="J86" s="233">
        <f t="shared" si="37"/>
        <v>14590.894692580916</v>
      </c>
      <c r="K86" s="233">
        <f t="shared" si="37"/>
        <v>15416.772613647167</v>
      </c>
      <c r="L86" s="233">
        <f t="shared" si="37"/>
        <v>16279.071404754068</v>
      </c>
      <c r="M86" s="233">
        <f t="shared" si="37"/>
        <v>17179.233027975104</v>
      </c>
    </row>
    <row r="87" spans="1:13" ht="15">
      <c r="A87" s="54" t="s">
        <v>257</v>
      </c>
      <c r="B87" s="67" t="s">
        <v>307</v>
      </c>
      <c r="C87" s="54"/>
      <c r="D87" s="232">
        <f>'Historical Balance Sheet'!K20*(1+'Pro Forma Statement Step 2'!D40)</f>
        <v>32082.511228948642</v>
      </c>
      <c r="E87" s="232">
        <f t="shared" ref="E87:M87" si="38">D87*(1+E40)</f>
        <v>35829.719804074732</v>
      </c>
      <c r="F87" s="232">
        <f t="shared" si="38"/>
        <v>40014.598984388002</v>
      </c>
      <c r="G87" s="232">
        <f t="shared" si="38"/>
        <v>44688.26830455126</v>
      </c>
      <c r="H87" s="232">
        <f t="shared" si="38"/>
        <v>49907.818015087978</v>
      </c>
      <c r="I87" s="232">
        <f t="shared" si="38"/>
        <v>55737.00645664685</v>
      </c>
      <c r="J87" s="232">
        <f t="shared" si="38"/>
        <v>62247.038886955757</v>
      </c>
      <c r="K87" s="232">
        <f t="shared" si="38"/>
        <v>69517.437274066411</v>
      </c>
      <c r="L87" s="232">
        <f t="shared" si="38"/>
        <v>77637.011680670883</v>
      </c>
      <c r="M87" s="232">
        <f t="shared" si="38"/>
        <v>86704.945105236169</v>
      </c>
    </row>
    <row r="88" spans="1:13" ht="15.75" customHeight="1">
      <c r="A88" s="54" t="s">
        <v>308</v>
      </c>
      <c r="C88" s="54"/>
      <c r="D88" s="232">
        <f>'Historical Balance Sheet'!K21*(1+'Pro Forma Statement Step 2'!D40)</f>
        <v>12034.06874834777</v>
      </c>
      <c r="E88" s="232">
        <f t="shared" ref="E88:M88" si="39">D88*(1+E40)</f>
        <v>13439.637199198225</v>
      </c>
      <c r="F88" s="232">
        <f t="shared" si="39"/>
        <v>15009.37478613554</v>
      </c>
      <c r="G88" s="232">
        <f t="shared" si="39"/>
        <v>16762.456317207805</v>
      </c>
      <c r="H88" s="232">
        <f t="shared" si="39"/>
        <v>18720.296200868182</v>
      </c>
      <c r="I88" s="232">
        <f t="shared" si="39"/>
        <v>20906.810029296208</v>
      </c>
      <c r="J88" s="232">
        <f t="shared" si="39"/>
        <v>23348.706714416709</v>
      </c>
      <c r="K88" s="232">
        <f t="shared" si="39"/>
        <v>26075.814745144064</v>
      </c>
      <c r="L88" s="232">
        <f t="shared" si="39"/>
        <v>29121.446551180379</v>
      </c>
      <c r="M88" s="232">
        <f t="shared" si="39"/>
        <v>32522.805424178903</v>
      </c>
    </row>
    <row r="89" spans="1:13" ht="15">
      <c r="A89" s="51" t="s">
        <v>309</v>
      </c>
      <c r="B89" s="240"/>
      <c r="C89" s="54"/>
      <c r="D89" s="232">
        <f>D87+D88</f>
        <v>44116.579977296409</v>
      </c>
      <c r="E89" s="232">
        <f>E87+E88</f>
        <v>49269.357003272955</v>
      </c>
      <c r="F89" s="232">
        <f t="shared" ref="F89:M89" si="40">F87+F88</f>
        <v>55023.973770523546</v>
      </c>
      <c r="G89" s="232">
        <f t="shared" si="40"/>
        <v>61450.724621759065</v>
      </c>
      <c r="H89" s="232">
        <f t="shared" si="40"/>
        <v>68628.114215956157</v>
      </c>
      <c r="I89" s="232">
        <f t="shared" si="40"/>
        <v>76643.816485943054</v>
      </c>
      <c r="J89" s="232">
        <f t="shared" si="40"/>
        <v>85595.745601372473</v>
      </c>
      <c r="K89" s="232">
        <f t="shared" si="40"/>
        <v>95593.252019210471</v>
      </c>
      <c r="L89" s="232">
        <f t="shared" si="40"/>
        <v>106758.45823185125</v>
      </c>
      <c r="M89" s="232">
        <f t="shared" si="40"/>
        <v>119227.75052941508</v>
      </c>
    </row>
    <row r="90" spans="1:13" ht="15">
      <c r="A90" s="54" t="s">
        <v>262</v>
      </c>
      <c r="B90" s="67" t="s">
        <v>516</v>
      </c>
      <c r="C90" s="51"/>
      <c r="D90" s="235">
        <f>('Historical Balance Sheet'!K29-'Historical Balance Sheet'!K22)*(1+'Pro Forma Statement Step 2'!D41)</f>
        <v>13805.118176084761</v>
      </c>
      <c r="E90" s="232">
        <f t="shared" ref="E90:M90" si="41">D90*(1+E41)</f>
        <v>14235.657463299312</v>
      </c>
      <c r="F90" s="232">
        <f t="shared" si="41"/>
        <v>14679.623950156118</v>
      </c>
      <c r="G90" s="232">
        <f t="shared" si="41"/>
        <v>15137.436389822629</v>
      </c>
      <c r="H90" s="232">
        <f t="shared" si="41"/>
        <v>15609.526595093019</v>
      </c>
      <c r="I90" s="232">
        <f t="shared" si="41"/>
        <v>16096.339845677876</v>
      </c>
      <c r="J90" s="232">
        <f t="shared" si="41"/>
        <v>16598.335308196019</v>
      </c>
      <c r="K90" s="232">
        <f t="shared" si="41"/>
        <v>17115.986469264568</v>
      </c>
      <c r="L90" s="232">
        <f t="shared" si="41"/>
        <v>17649.781582095755</v>
      </c>
      <c r="M90" s="232">
        <f t="shared" si="41"/>
        <v>18200.224127021735</v>
      </c>
    </row>
    <row r="91" spans="1:13" ht="16" thickBot="1">
      <c r="A91" s="175" t="s">
        <v>310</v>
      </c>
      <c r="B91" s="243"/>
      <c r="C91" s="175"/>
      <c r="D91" s="211">
        <f>D86+D89+D90</f>
        <v>68247.728658337088</v>
      </c>
      <c r="E91" s="211">
        <f t="shared" ref="E91:M91" si="42">E86+E89+E90</f>
        <v>74465.896305633505</v>
      </c>
      <c r="F91" s="211">
        <f t="shared" si="42"/>
        <v>81328.128546438078</v>
      </c>
      <c r="G91" s="211">
        <f t="shared" si="42"/>
        <v>88906.294969583963</v>
      </c>
      <c r="H91" s="211">
        <f t="shared" si="42"/>
        <v>97280.53201148675</v>
      </c>
      <c r="I91" s="211">
        <f t="shared" si="42"/>
        <v>106540.20388847787</v>
      </c>
      <c r="J91" s="211">
        <f t="shared" si="42"/>
        <v>116784.97560214941</v>
      </c>
      <c r="K91" s="211">
        <f t="shared" si="42"/>
        <v>128126.0111021222</v>
      </c>
      <c r="L91" s="211">
        <f t="shared" si="42"/>
        <v>140687.31121870107</v>
      </c>
      <c r="M91" s="211">
        <f t="shared" si="42"/>
        <v>154607.2076844119</v>
      </c>
    </row>
    <row r="92" spans="1:13" ht="15">
      <c r="A92" s="54"/>
      <c r="C92" s="54"/>
      <c r="D92" s="232"/>
      <c r="E92" s="232"/>
      <c r="F92" s="232"/>
      <c r="G92" s="232"/>
      <c r="H92" s="232"/>
      <c r="I92" s="232"/>
      <c r="J92" s="232"/>
      <c r="K92" s="232"/>
      <c r="L92" s="232"/>
      <c r="M92" s="232"/>
    </row>
    <row r="93" spans="1:13" ht="15">
      <c r="A93" s="51" t="s">
        <v>311</v>
      </c>
      <c r="B93" s="240"/>
      <c r="C93" s="54"/>
      <c r="D93" s="232"/>
      <c r="E93" s="232"/>
      <c r="F93" s="232"/>
      <c r="G93" s="232"/>
      <c r="H93" s="232"/>
      <c r="I93" s="232"/>
      <c r="J93" s="232"/>
      <c r="K93" s="232"/>
      <c r="L93" s="232"/>
      <c r="M93" s="232"/>
    </row>
    <row r="94" spans="1:13" ht="15">
      <c r="A94" s="54" t="s">
        <v>229</v>
      </c>
      <c r="C94" s="54"/>
      <c r="D94" s="232">
        <f t="shared" ref="D94:M94" si="43">D59/D42</f>
        <v>1610.1318546833318</v>
      </c>
      <c r="E94" s="232">
        <f t="shared" si="43"/>
        <v>1709.1238492877044</v>
      </c>
      <c r="F94" s="232">
        <f t="shared" si="43"/>
        <v>1812.6062448991247</v>
      </c>
      <c r="G94" s="232">
        <f t="shared" si="43"/>
        <v>1920.7593727828714</v>
      </c>
      <c r="H94" s="232">
        <f t="shared" si="43"/>
        <v>2033.770342719233</v>
      </c>
      <c r="I94" s="232">
        <f t="shared" si="43"/>
        <v>2151.8332874162952</v>
      </c>
      <c r="J94" s="232">
        <f t="shared" si="43"/>
        <v>2275.1496154867104</v>
      </c>
      <c r="K94" s="232">
        <f t="shared" si="43"/>
        <v>2403.9282732826755</v>
      </c>
      <c r="L94" s="232">
        <f t="shared" si="43"/>
        <v>2538.3860158924604</v>
      </c>
      <c r="M94" s="232">
        <f t="shared" si="43"/>
        <v>2678.7476876128785</v>
      </c>
    </row>
    <row r="95" spans="1:13" ht="15">
      <c r="A95" s="54" t="s">
        <v>230</v>
      </c>
      <c r="C95" s="54"/>
      <c r="D95" s="232">
        <f t="shared" ref="D95:M95" si="44">D$59*D43</f>
        <v>1708.6632053226394</v>
      </c>
      <c r="E95" s="232">
        <f t="shared" si="44"/>
        <v>1813.7129739549448</v>
      </c>
      <c r="F95" s="232">
        <f t="shared" si="44"/>
        <v>1923.5279318203984</v>
      </c>
      <c r="G95" s="232">
        <f t="shared" si="44"/>
        <v>2038.2994454812201</v>
      </c>
      <c r="H95" s="232">
        <f t="shared" si="44"/>
        <v>2158.2260748230519</v>
      </c>
      <c r="I95" s="232">
        <f t="shared" si="44"/>
        <v>2283.5138324244854</v>
      </c>
      <c r="J95" s="232">
        <f t="shared" si="44"/>
        <v>2414.3764520146392</v>
      </c>
      <c r="K95" s="232">
        <f t="shared" si="44"/>
        <v>2551.0356663310199</v>
      </c>
      <c r="L95" s="232">
        <f t="shared" si="44"/>
        <v>2693.7214946995705</v>
      </c>
      <c r="M95" s="232">
        <f t="shared" si="44"/>
        <v>2842.6725406705364</v>
      </c>
    </row>
    <row r="96" spans="1:13" ht="15">
      <c r="A96" s="49" t="s">
        <v>231</v>
      </c>
      <c r="C96" s="54"/>
      <c r="D96" s="245">
        <f>WACC!G9-WACC!N5</f>
        <v>1320</v>
      </c>
      <c r="E96" s="245">
        <f>WACC!N5-WACC!N6</f>
        <v>1320</v>
      </c>
      <c r="F96" s="245">
        <f>WACC!N6-WACC!N7</f>
        <v>1320</v>
      </c>
      <c r="G96" s="245">
        <f>WACC!N7-WACC!N8</f>
        <v>1320</v>
      </c>
      <c r="H96" s="245">
        <f>WACC!N8-WACC!N9</f>
        <v>1320</v>
      </c>
      <c r="I96" s="245">
        <f>WACC!N9-WACC!N10</f>
        <v>900</v>
      </c>
      <c r="J96" s="245">
        <f>WACC!N10-WACC!N11</f>
        <v>900</v>
      </c>
      <c r="K96" s="245">
        <f>WACC!N11-WACC!N12</f>
        <v>900</v>
      </c>
      <c r="L96" s="245">
        <f>WACC!N12-WACC!N13</f>
        <v>900</v>
      </c>
      <c r="M96" s="245">
        <f>WACC!N13-WACC!N14</f>
        <v>900</v>
      </c>
    </row>
    <row r="97" spans="1:14" ht="15">
      <c r="A97" s="54" t="s">
        <v>232</v>
      </c>
      <c r="C97" s="54"/>
      <c r="D97" s="234">
        <f t="shared" ref="D97:M97" si="45">D$59*D45</f>
        <v>830.85301279169471</v>
      </c>
      <c r="E97" s="234">
        <f t="shared" si="45"/>
        <v>881.93441753508318</v>
      </c>
      <c r="F97" s="234">
        <f t="shared" si="45"/>
        <v>935.33293885156274</v>
      </c>
      <c r="G97" s="234">
        <f t="shared" si="45"/>
        <v>991.14163047124953</v>
      </c>
      <c r="H97" s="234">
        <f t="shared" si="45"/>
        <v>1049.4570439431509</v>
      </c>
      <c r="I97" s="234">
        <f t="shared" si="45"/>
        <v>1110.3793547559542</v>
      </c>
      <c r="J97" s="234">
        <f t="shared" si="45"/>
        <v>1174.0124928779646</v>
      </c>
      <c r="K97" s="234">
        <f t="shared" si="45"/>
        <v>1240.4642778680152</v>
      </c>
      <c r="L97" s="234">
        <f t="shared" si="45"/>
        <v>1309.8465587138787</v>
      </c>
      <c r="M97" s="234">
        <f t="shared" si="45"/>
        <v>1382.275358560413</v>
      </c>
    </row>
    <row r="98" spans="1:14" ht="15">
      <c r="A98" s="54" t="s">
        <v>233</v>
      </c>
      <c r="C98" s="51"/>
      <c r="D98" s="234">
        <f t="shared" ref="D98:M98" si="46">D$59*D46</f>
        <v>484.87991641631976</v>
      </c>
      <c r="E98" s="234">
        <f t="shared" si="46"/>
        <v>514.69066137490154</v>
      </c>
      <c r="F98" s="234">
        <f t="shared" si="46"/>
        <v>545.85365910622352</v>
      </c>
      <c r="G98" s="234">
        <f t="shared" si="46"/>
        <v>578.42321510618751</v>
      </c>
      <c r="H98" s="234">
        <f t="shared" si="46"/>
        <v>612.45567617295353</v>
      </c>
      <c r="I98" s="234">
        <f t="shared" si="46"/>
        <v>648.00950401013699</v>
      </c>
      <c r="J98" s="234">
        <f t="shared" si="46"/>
        <v>685.14535140898874</v>
      </c>
      <c r="K98" s="234">
        <f t="shared" si="46"/>
        <v>723.92614109816247</v>
      </c>
      <c r="L98" s="234">
        <f t="shared" si="46"/>
        <v>764.4171473524184</v>
      </c>
      <c r="M98" s="234">
        <f t="shared" si="46"/>
        <v>806.68608045494148</v>
      </c>
    </row>
    <row r="99" spans="1:14" ht="15">
      <c r="A99" s="49" t="s">
        <v>234</v>
      </c>
      <c r="C99" s="51"/>
      <c r="D99" s="234">
        <f t="shared" ref="D99:M99" si="47">D$59*D47</f>
        <v>2139.2212263814358</v>
      </c>
      <c r="E99" s="234">
        <f t="shared" si="47"/>
        <v>2270.7419931332738</v>
      </c>
      <c r="F99" s="234">
        <f t="shared" si="47"/>
        <v>2408.2287067864791</v>
      </c>
      <c r="G99" s="234">
        <f t="shared" si="47"/>
        <v>2551.9209554650565</v>
      </c>
      <c r="H99" s="234">
        <f t="shared" si="47"/>
        <v>2702.0673332282404</v>
      </c>
      <c r="I99" s="234">
        <f t="shared" si="47"/>
        <v>2858.9257647973277</v>
      </c>
      <c r="J99" s="234">
        <f t="shared" si="47"/>
        <v>3022.7638416606237</v>
      </c>
      <c r="K99" s="234">
        <f t="shared" si="47"/>
        <v>3193.8591699473996</v>
      </c>
      <c r="L99" s="234">
        <f t="shared" si="47"/>
        <v>3372.4997304738872</v>
      </c>
      <c r="M99" s="234">
        <f t="shared" si="47"/>
        <v>3558.9842513790118</v>
      </c>
    </row>
    <row r="100" spans="1:14" ht="15">
      <c r="A100" s="54" t="s">
        <v>235</v>
      </c>
      <c r="C100" s="51"/>
      <c r="D100" s="234">
        <f t="shared" ref="D100:M100" si="48">D$59*D48</f>
        <v>1712.3580109570057</v>
      </c>
      <c r="E100" s="234">
        <f t="shared" si="48"/>
        <v>1817.6349387367795</v>
      </c>
      <c r="F100" s="234">
        <f t="shared" si="48"/>
        <v>1927.6873599734786</v>
      </c>
      <c r="G100" s="234">
        <f t="shared" si="48"/>
        <v>2042.7070550395167</v>
      </c>
      <c r="H100" s="234">
        <f t="shared" si="48"/>
        <v>2162.8930131855404</v>
      </c>
      <c r="I100" s="234">
        <f t="shared" si="48"/>
        <v>2288.4516924708146</v>
      </c>
      <c r="J100" s="234">
        <f t="shared" si="48"/>
        <v>2419.5972888013134</v>
      </c>
      <c r="K100" s="234">
        <f t="shared" si="48"/>
        <v>2556.5520143884182</v>
      </c>
      <c r="L100" s="234">
        <f t="shared" si="48"/>
        <v>2699.5463859508282</v>
      </c>
      <c r="M100" s="234">
        <f t="shared" si="48"/>
        <v>2848.8195229940334</v>
      </c>
    </row>
    <row r="101" spans="1:14" s="48" customFormat="1" ht="15">
      <c r="A101" s="51" t="s">
        <v>18</v>
      </c>
      <c r="B101" s="240"/>
      <c r="C101" s="51"/>
      <c r="D101" s="275">
        <f t="shared" ref="D101:M101" si="49">SUM(D94:D100)</f>
        <v>9806.1072265524272</v>
      </c>
      <c r="E101" s="275">
        <f t="shared" si="49"/>
        <v>10327.838834022687</v>
      </c>
      <c r="F101" s="275">
        <f t="shared" si="49"/>
        <v>10873.236841437269</v>
      </c>
      <c r="G101" s="275">
        <f t="shared" si="49"/>
        <v>11443.251674346102</v>
      </c>
      <c r="H101" s="275">
        <f t="shared" si="49"/>
        <v>12038.869484072169</v>
      </c>
      <c r="I101" s="275">
        <f t="shared" si="49"/>
        <v>12241.113435875015</v>
      </c>
      <c r="J101" s="275">
        <f t="shared" si="49"/>
        <v>12891.04504225024</v>
      </c>
      <c r="K101" s="275">
        <f t="shared" si="49"/>
        <v>13569.765542915691</v>
      </c>
      <c r="L101" s="275">
        <f t="shared" si="49"/>
        <v>14278.417333083042</v>
      </c>
      <c r="M101" s="275">
        <f t="shared" si="49"/>
        <v>15018.185441671816</v>
      </c>
    </row>
    <row r="102" spans="1:14" ht="15.75" customHeight="1">
      <c r="A102" s="54" t="s">
        <v>209</v>
      </c>
      <c r="B102" s="67" t="s">
        <v>543</v>
      </c>
      <c r="D102" s="234">
        <f>D22+D24 +(WACC!$B$18*'Pro Forma Statement Step 2'!D119)</f>
        <v>22104.974846923666</v>
      </c>
      <c r="E102" s="234">
        <f>E22+E24 +(WACC!$B$18*'Pro Forma Statement Step 2'!E119)</f>
        <v>22246.589596135367</v>
      </c>
      <c r="F102" s="234">
        <f>F22+F24 +(WACC!$B$18*'Pro Forma Statement Step 2'!F119)</f>
        <v>22645.65287488023</v>
      </c>
      <c r="G102" s="234">
        <f>G22+G24 +(WACC!$B$18*'Pro Forma Statement Step 2'!G119)</f>
        <v>23078.9391272668</v>
      </c>
      <c r="H102" s="234">
        <f>H22+H24 +(WACC!$B$18*'Pro Forma Statement Step 2'!H119)</f>
        <v>23481.902732347698</v>
      </c>
      <c r="I102" s="234">
        <f>I22+I24 +(WACC!$B$18*'Pro Forma Statement Step 2'!I119)</f>
        <v>24451.863034507507</v>
      </c>
      <c r="J102" s="234">
        <f>J22+J24 +(WACC!$B$18*'Pro Forma Statement Step 2'!J119)</f>
        <v>25499.71165135628</v>
      </c>
      <c r="K102" s="234">
        <f>K22+K24 +(WACC!$B$18*'Pro Forma Statement Step 2'!K119)</f>
        <v>26736.397857050193</v>
      </c>
      <c r="L102" s="234">
        <f>L22+L24 +(WACC!$B$18*'Pro Forma Statement Step 2'!L119)</f>
        <v>28186.709114945745</v>
      </c>
      <c r="M102" s="234">
        <f>M22+M24 +(WACC!$B$18*'Pro Forma Statement Step 2'!M119)</f>
        <v>29878.419541281182</v>
      </c>
    </row>
    <row r="103" spans="1:14" ht="15">
      <c r="A103" s="54" t="s">
        <v>312</v>
      </c>
      <c r="C103" s="51"/>
      <c r="D103" s="234">
        <f>'Historical Balance Sheet'!K43*(1+'Pro Forma Statement Step 2'!D49)</f>
        <v>9034.7480000000014</v>
      </c>
      <c r="E103" s="234">
        <f>D103*(1+E$49)</f>
        <v>9305.7904400000025</v>
      </c>
      <c r="F103" s="234">
        <f>E103*(1+F$49)</f>
        <v>9584.9641532000023</v>
      </c>
      <c r="G103" s="234">
        <f t="shared" ref="E103:M106" si="50">F103*(1+G$49)</f>
        <v>9872.5130777960021</v>
      </c>
      <c r="H103" s="234">
        <f t="shared" si="50"/>
        <v>10168.688470129882</v>
      </c>
      <c r="I103" s="234">
        <f t="shared" si="50"/>
        <v>10473.749124233778</v>
      </c>
      <c r="J103" s="234">
        <f t="shared" si="50"/>
        <v>10787.961597960792</v>
      </c>
      <c r="K103" s="234">
        <f t="shared" si="50"/>
        <v>11111.600445899616</v>
      </c>
      <c r="L103" s="234">
        <f t="shared" si="50"/>
        <v>11444.948459276604</v>
      </c>
      <c r="M103" s="234">
        <f t="shared" si="50"/>
        <v>11788.296913054903</v>
      </c>
    </row>
    <row r="104" spans="1:14" ht="15.75" customHeight="1">
      <c r="A104" s="54" t="s">
        <v>313</v>
      </c>
      <c r="D104" s="234">
        <f>'Historical Balance Sheet'!K44*(1+'Pro Forma Statement Step 2'!D49)</f>
        <v>6142.5080000000007</v>
      </c>
      <c r="E104" s="234">
        <f t="shared" si="50"/>
        <v>6326.7832400000007</v>
      </c>
      <c r="F104" s="234">
        <f t="shared" si="50"/>
        <v>6516.5867372000012</v>
      </c>
      <c r="G104" s="234">
        <f t="shared" si="50"/>
        <v>6712.0843393160012</v>
      </c>
      <c r="H104" s="234">
        <f t="shared" si="50"/>
        <v>6913.4468694954812</v>
      </c>
      <c r="I104" s="234">
        <f t="shared" si="50"/>
        <v>7120.8502755803456</v>
      </c>
      <c r="J104" s="234">
        <f t="shared" si="50"/>
        <v>7334.4757838477562</v>
      </c>
      <c r="K104" s="234">
        <f t="shared" si="50"/>
        <v>7554.5100573631889</v>
      </c>
      <c r="L104" s="234">
        <f t="shared" si="50"/>
        <v>7781.1453590840847</v>
      </c>
      <c r="M104" s="234">
        <f t="shared" si="50"/>
        <v>8014.5797198566079</v>
      </c>
    </row>
    <row r="105" spans="1:14" ht="15">
      <c r="A105" s="54" t="s">
        <v>314</v>
      </c>
      <c r="C105" s="54"/>
      <c r="D105" s="234">
        <f>'Historical Balance Sheet'!K45*(1+'Pro Forma Statement Step 2'!D49)</f>
        <v>21.733000000000001</v>
      </c>
      <c r="E105" s="234">
        <f>D105*(1+E$49)</f>
        <v>22.384990000000002</v>
      </c>
      <c r="F105" s="234">
        <f>E105*(1+F$49)</f>
        <v>23.056539700000002</v>
      </c>
      <c r="G105" s="234">
        <f t="shared" si="50"/>
        <v>23.748235891000004</v>
      </c>
      <c r="H105" s="234">
        <f t="shared" si="50"/>
        <v>24.460682967730005</v>
      </c>
      <c r="I105" s="234">
        <f t="shared" si="50"/>
        <v>25.194503456761904</v>
      </c>
      <c r="J105" s="234">
        <f t="shared" si="50"/>
        <v>25.950338560464761</v>
      </c>
      <c r="K105" s="234">
        <f t="shared" si="50"/>
        <v>26.728848717278705</v>
      </c>
      <c r="L105" s="234">
        <f t="shared" si="50"/>
        <v>27.530714178797066</v>
      </c>
      <c r="M105" s="234">
        <f t="shared" si="50"/>
        <v>28.356635604160978</v>
      </c>
    </row>
    <row r="106" spans="1:14" ht="15">
      <c r="A106" s="54" t="s">
        <v>315</v>
      </c>
      <c r="C106" s="54"/>
      <c r="D106" s="234">
        <f>'Historical Balance Sheet'!K46*(1+'Pro Forma Statement Step 2'!D49)</f>
        <v>634.37699999999995</v>
      </c>
      <c r="E106" s="234">
        <f>D106*(1+E$49)</f>
        <v>653.40830999999991</v>
      </c>
      <c r="F106" s="234">
        <f t="shared" si="50"/>
        <v>673.01055929999995</v>
      </c>
      <c r="G106" s="234">
        <f t="shared" si="50"/>
        <v>693.20087607899995</v>
      </c>
      <c r="H106" s="234">
        <f t="shared" si="50"/>
        <v>713.99690236136996</v>
      </c>
      <c r="I106" s="234">
        <f t="shared" si="50"/>
        <v>735.41680943221104</v>
      </c>
      <c r="J106" s="234">
        <f t="shared" si="50"/>
        <v>757.47931371517734</v>
      </c>
      <c r="K106" s="234">
        <f t="shared" si="50"/>
        <v>780.20369312663263</v>
      </c>
      <c r="L106" s="234">
        <f t="shared" si="50"/>
        <v>803.60980392043166</v>
      </c>
      <c r="M106" s="234">
        <f t="shared" si="50"/>
        <v>827.71809803804467</v>
      </c>
    </row>
    <row r="107" spans="1:14" ht="15.75" customHeight="1" thickBot="1">
      <c r="A107" s="175" t="s">
        <v>193</v>
      </c>
      <c r="B107" s="243"/>
      <c r="C107" s="175"/>
      <c r="D107" s="211">
        <f>SUM(D101:D106)</f>
        <v>47744.448073476095</v>
      </c>
      <c r="E107" s="211">
        <f t="shared" ref="E107:M107" si="51">SUM(E101:E106)</f>
        <v>48882.795410158062</v>
      </c>
      <c r="F107" s="211">
        <f t="shared" si="51"/>
        <v>50316.5077057175</v>
      </c>
      <c r="G107" s="211">
        <f t="shared" si="51"/>
        <v>51823.737330694901</v>
      </c>
      <c r="H107" s="211">
        <f t="shared" si="51"/>
        <v>53341.365141374328</v>
      </c>
      <c r="I107" s="211">
        <f t="shared" si="51"/>
        <v>55048.187183085611</v>
      </c>
      <c r="J107" s="211">
        <f t="shared" si="51"/>
        <v>57296.623727690712</v>
      </c>
      <c r="K107" s="211">
        <f t="shared" si="51"/>
        <v>59779.206445072596</v>
      </c>
      <c r="L107" s="211">
        <f t="shared" si="51"/>
        <v>62522.360784488701</v>
      </c>
      <c r="M107" s="211">
        <f t="shared" si="51"/>
        <v>65555.556349506718</v>
      </c>
    </row>
    <row r="108" spans="1:14" ht="15.75" customHeight="1">
      <c r="D108" s="234"/>
      <c r="E108" s="234"/>
      <c r="F108" s="234"/>
      <c r="G108" s="234"/>
      <c r="H108" s="234"/>
      <c r="I108" s="234"/>
      <c r="J108" s="234"/>
      <c r="K108" s="234"/>
      <c r="L108" s="234"/>
      <c r="M108" s="234"/>
    </row>
    <row r="109" spans="1:14" ht="15">
      <c r="A109" s="49" t="s">
        <v>316</v>
      </c>
      <c r="B109" s="67" t="s">
        <v>486</v>
      </c>
      <c r="C109" s="102"/>
      <c r="D109" s="234">
        <f t="shared" ref="D109:M109" si="52">0.1*D50/1000000</f>
        <v>113.69</v>
      </c>
      <c r="E109" s="234">
        <f t="shared" si="52"/>
        <v>112.49</v>
      </c>
      <c r="F109" s="234">
        <f t="shared" si="52"/>
        <v>111.49</v>
      </c>
      <c r="G109" s="234">
        <f t="shared" si="52"/>
        <v>110.49</v>
      </c>
      <c r="H109" s="234">
        <f t="shared" si="52"/>
        <v>109.49</v>
      </c>
      <c r="I109" s="234">
        <f t="shared" si="52"/>
        <v>108.49</v>
      </c>
      <c r="J109" s="234">
        <f t="shared" si="52"/>
        <v>107.49</v>
      </c>
      <c r="K109" s="234">
        <f t="shared" si="52"/>
        <v>106.49</v>
      </c>
      <c r="L109" s="234">
        <f t="shared" si="52"/>
        <v>105.49</v>
      </c>
      <c r="M109" s="234">
        <f t="shared" si="52"/>
        <v>104.49</v>
      </c>
    </row>
    <row r="110" spans="1:14" ht="15">
      <c r="A110" s="49" t="s">
        <v>317</v>
      </c>
      <c r="B110" s="67" t="s">
        <v>487</v>
      </c>
      <c r="C110" s="256">
        <f>'Historical Balance Sheet'!K50</f>
        <v>322.60000000000002</v>
      </c>
      <c r="D110" s="234">
        <f t="shared" ref="D110:M110" si="53">C110-((D51/1000000)*(D52-0.1))</f>
        <v>-876.20000000000016</v>
      </c>
      <c r="E110" s="234">
        <f t="shared" si="53"/>
        <v>-1875.2000000000003</v>
      </c>
      <c r="F110" s="234">
        <f t="shared" si="53"/>
        <v>-2874.2000000000003</v>
      </c>
      <c r="G110" s="234">
        <f t="shared" si="53"/>
        <v>-3873.2000000000003</v>
      </c>
      <c r="H110" s="234">
        <f t="shared" si="53"/>
        <v>-4872.2000000000007</v>
      </c>
      <c r="I110" s="234">
        <f t="shared" si="53"/>
        <v>-5871.2000000000007</v>
      </c>
      <c r="J110" s="234">
        <f t="shared" si="53"/>
        <v>-6870.2000000000007</v>
      </c>
      <c r="K110" s="234">
        <f t="shared" si="53"/>
        <v>-7869.2000000000007</v>
      </c>
      <c r="L110" s="234">
        <f t="shared" si="53"/>
        <v>-8868.2000000000007</v>
      </c>
      <c r="M110" s="234">
        <f t="shared" si="53"/>
        <v>-9867.2000000000007</v>
      </c>
      <c r="N110" s="101"/>
    </row>
    <row r="111" spans="1:14" ht="15">
      <c r="A111" s="49" t="s">
        <v>318</v>
      </c>
      <c r="B111" s="67" t="s">
        <v>508</v>
      </c>
      <c r="C111" s="256">
        <f>'Historical Balance Sheet'!K51</f>
        <v>-7343.8</v>
      </c>
      <c r="D111" s="234">
        <f t="shared" ref="D111:M111" si="54">C111+D72-D74</f>
        <v>-6508.680723786194</v>
      </c>
      <c r="E111" s="234">
        <f t="shared" si="54"/>
        <v>-5533.4086419932837</v>
      </c>
      <c r="F111" s="234">
        <f t="shared" si="54"/>
        <v>-4425.104861369613</v>
      </c>
      <c r="G111" s="234">
        <f t="shared" si="54"/>
        <v>-3176.1145155967729</v>
      </c>
      <c r="H111" s="234">
        <f t="shared" si="54"/>
        <v>-1775.4079026583304</v>
      </c>
      <c r="I111" s="234">
        <f t="shared" si="54"/>
        <v>-227.92124351497387</v>
      </c>
      <c r="J111" s="234">
        <f t="shared" si="54"/>
        <v>1471.1631506855488</v>
      </c>
      <c r="K111" s="234">
        <f t="shared" si="54"/>
        <v>3326.8054170698128</v>
      </c>
      <c r="L111" s="234">
        <f t="shared" si="54"/>
        <v>5344.1120009499709</v>
      </c>
      <c r="M111" s="234">
        <f t="shared" si="54"/>
        <v>7528.3397046896525</v>
      </c>
      <c r="N111" s="102"/>
    </row>
    <row r="112" spans="1:14" ht="15">
      <c r="A112" s="49" t="s">
        <v>319</v>
      </c>
      <c r="C112" s="54"/>
      <c r="D112" s="234">
        <v>0</v>
      </c>
      <c r="E112" s="234">
        <v>0</v>
      </c>
      <c r="F112" s="234">
        <v>0</v>
      </c>
      <c r="G112" s="234">
        <v>0</v>
      </c>
      <c r="H112" s="234">
        <v>0</v>
      </c>
      <c r="I112" s="234">
        <v>0</v>
      </c>
      <c r="J112" s="234">
        <v>0</v>
      </c>
      <c r="K112" s="234">
        <v>0</v>
      </c>
      <c r="L112" s="234">
        <v>0</v>
      </c>
      <c r="M112" s="234">
        <v>0</v>
      </c>
    </row>
    <row r="113" spans="1:13" ht="15.75" customHeight="1">
      <c r="A113" s="49" t="s">
        <v>320</v>
      </c>
      <c r="B113" s="289" t="s">
        <v>321</v>
      </c>
      <c r="D113" s="234">
        <f>'Historical Balance Sheet'!K53*(1+'Pro Forma Statement Step 2'!D11)</f>
        <v>467.45448447060147</v>
      </c>
      <c r="E113" s="234">
        <f t="shared" ref="E113:M113" si="55">D113*(1+E11)</f>
        <v>496.19390209649794</v>
      </c>
      <c r="F113" s="234">
        <f t="shared" si="55"/>
        <v>526.23697574392486</v>
      </c>
      <c r="G113" s="234">
        <f t="shared" si="55"/>
        <v>557.63605929831056</v>
      </c>
      <c r="H113" s="234">
        <f t="shared" si="55"/>
        <v>590.4454745877897</v>
      </c>
      <c r="I113" s="234">
        <f t="shared" si="55"/>
        <v>624.72158234127585</v>
      </c>
      <c r="J113" s="234">
        <f t="shared" si="55"/>
        <v>660.52285563283533</v>
      </c>
      <c r="K113" s="234">
        <f t="shared" si="55"/>
        <v>697.90995589778117</v>
      </c>
      <c r="L113" s="234">
        <f t="shared" si="55"/>
        <v>736.94581160855421</v>
      </c>
      <c r="M113" s="234">
        <f t="shared" si="55"/>
        <v>777.69569970166572</v>
      </c>
    </row>
    <row r="114" spans="1:13" ht="15">
      <c r="A114" s="255" t="s">
        <v>322</v>
      </c>
      <c r="B114" s="67" t="s">
        <v>544</v>
      </c>
      <c r="C114" s="248"/>
      <c r="D114" s="249">
        <f>SUM(D109:D113)+WACC!$B$17*'Pro Forma Statement Step 2'!D119</f>
        <v>20503.280584860997</v>
      </c>
      <c r="E114" s="249">
        <f>SUM(E109:E113)+WACC!$B$17*'Pro Forma Statement Step 2'!E119</f>
        <v>25583.100895475443</v>
      </c>
      <c r="F114" s="249">
        <f>SUM(F109:F113)+WACC!$B$17*'Pro Forma Statement Step 2'!F119</f>
        <v>31011.620840720578</v>
      </c>
      <c r="G114" s="249">
        <f>SUM(G109:G113)+WACC!$B$17*'Pro Forma Statement Step 2'!G119</f>
        <v>37082.557638889062</v>
      </c>
      <c r="H114" s="249">
        <f>SUM(H109:H113)+WACC!$B$17*'Pro Forma Statement Step 2'!H119</f>
        <v>43939.166870112429</v>
      </c>
      <c r="I114" s="249">
        <f>SUM(I109:I113)+WACC!$B$17*'Pro Forma Statement Step 2'!I119</f>
        <v>51492.016705392271</v>
      </c>
      <c r="J114" s="249">
        <f>SUM(J109:J113)+WACC!$B$17*'Pro Forma Statement Step 2'!J119</f>
        <v>59488.351874458698</v>
      </c>
      <c r="K114" s="249">
        <f>SUM(K109:K113)+WACC!$B$17*'Pro Forma Statement Step 2'!K119</f>
        <v>68346.804657049594</v>
      </c>
      <c r="L114" s="249">
        <f>SUM(L109:L113)+WACC!$B$17*'Pro Forma Statement Step 2'!L119</f>
        <v>78164.950434212369</v>
      </c>
      <c r="M114" s="249">
        <f>SUM(M109:M113)+WACC!$B$17*'Pro Forma Statement Step 2'!M119</f>
        <v>89051.651334905182</v>
      </c>
    </row>
    <row r="115" spans="1:13" ht="15.75" customHeight="1" thickBot="1">
      <c r="A115" s="175" t="s">
        <v>323</v>
      </c>
      <c r="B115" s="253"/>
      <c r="C115" s="254"/>
      <c r="D115" s="254">
        <f>D107+D114</f>
        <v>68247.728658337088</v>
      </c>
      <c r="E115" s="254">
        <f t="shared" ref="E115:M115" si="56">E107+E114</f>
        <v>74465.896305633505</v>
      </c>
      <c r="F115" s="254">
        <f t="shared" si="56"/>
        <v>81328.128546438078</v>
      </c>
      <c r="G115" s="254">
        <f t="shared" si="56"/>
        <v>88906.294969583963</v>
      </c>
      <c r="H115" s="254">
        <f t="shared" si="56"/>
        <v>97280.532011486765</v>
      </c>
      <c r="I115" s="254">
        <f t="shared" si="56"/>
        <v>106540.20388847787</v>
      </c>
      <c r="J115" s="254">
        <f t="shared" si="56"/>
        <v>116784.97560214941</v>
      </c>
      <c r="K115" s="254">
        <f t="shared" si="56"/>
        <v>128126.0111021222</v>
      </c>
      <c r="L115" s="254">
        <f t="shared" si="56"/>
        <v>140687.31121870107</v>
      </c>
      <c r="M115" s="254">
        <f t="shared" si="56"/>
        <v>154607.2076844119</v>
      </c>
    </row>
    <row r="116" spans="1:13" ht="15.75" customHeight="1" thickBot="1">
      <c r="A116" s="252" t="s">
        <v>310</v>
      </c>
      <c r="B116" s="250"/>
      <c r="C116" s="251"/>
      <c r="D116" s="251">
        <f>D91</f>
        <v>68247.728658337088</v>
      </c>
      <c r="E116" s="251">
        <f t="shared" ref="E116:M116" si="57">E91</f>
        <v>74465.896305633505</v>
      </c>
      <c r="F116" s="251">
        <f t="shared" si="57"/>
        <v>81328.128546438078</v>
      </c>
      <c r="G116" s="251">
        <f t="shared" si="57"/>
        <v>88906.294969583963</v>
      </c>
      <c r="H116" s="251">
        <f t="shared" si="57"/>
        <v>97280.53201148675</v>
      </c>
      <c r="I116" s="251">
        <f t="shared" si="57"/>
        <v>106540.20388847787</v>
      </c>
      <c r="J116" s="251">
        <f t="shared" si="57"/>
        <v>116784.97560214941</v>
      </c>
      <c r="K116" s="251">
        <f t="shared" si="57"/>
        <v>128126.0111021222</v>
      </c>
      <c r="L116" s="251">
        <f t="shared" si="57"/>
        <v>140687.31121870107</v>
      </c>
      <c r="M116" s="251">
        <f t="shared" si="57"/>
        <v>154607.2076844119</v>
      </c>
    </row>
    <row r="117" spans="1:13" ht="15.75" customHeight="1">
      <c r="A117" s="299"/>
      <c r="B117" s="300"/>
      <c r="C117" s="301"/>
      <c r="D117" s="301"/>
      <c r="E117" s="301"/>
      <c r="F117" s="301"/>
      <c r="G117" s="301"/>
      <c r="H117" s="301"/>
      <c r="I117" s="301"/>
      <c r="J117" s="301"/>
      <c r="K117" s="301"/>
      <c r="L117" s="301"/>
      <c r="M117" s="301"/>
    </row>
    <row r="118" spans="1:13" ht="15.75" customHeight="1">
      <c r="A118" s="239" t="s">
        <v>569</v>
      </c>
      <c r="B118" s="279"/>
      <c r="C118" s="280"/>
      <c r="D118" s="294">
        <f>'Pro Forma Statement Step 1'!D117</f>
        <v>34631.991671100252</v>
      </c>
      <c r="E118" s="294">
        <f>'Pro Forma Statement Step 1'!E117</f>
        <v>41069.615231507596</v>
      </c>
      <c r="F118" s="294">
        <f>'Pro Forma Statement Step 1'!F117</f>
        <v>47778.851601226495</v>
      </c>
      <c r="G118" s="294">
        <f>'Pro Forma Statement Step 1'!G117</f>
        <v>52800.517222454328</v>
      </c>
      <c r="H118" s="294">
        <f>'Pro Forma Statement Step 1'!H117</f>
        <v>58121.696030530671</v>
      </c>
      <c r="I118" s="294">
        <f>'Pro Forma Statement Step 1'!I117</f>
        <v>66267.052401073481</v>
      </c>
      <c r="J118" s="294">
        <f>'Pro Forma Statement Step 1'!J117</f>
        <v>74809.846519496597</v>
      </c>
      <c r="K118" s="294">
        <f>'Pro Forma Statement Step 1'!K117</f>
        <v>-14611.014858867828</v>
      </c>
      <c r="L118" s="294">
        <f>'Pro Forma Statement Step 1'!L117</f>
        <v>93738.904736599594</v>
      </c>
      <c r="M118" s="294">
        <f>'Pro Forma Statement Step 1'!M117</f>
        <v>105172.30247179506</v>
      </c>
    </row>
    <row r="119" spans="1:13" ht="16">
      <c r="A119" s="54" t="s">
        <v>568</v>
      </c>
      <c r="B119" s="274" t="s">
        <v>536</v>
      </c>
      <c r="C119" s="54"/>
      <c r="D119" s="234">
        <v>34631.991671100252</v>
      </c>
      <c r="E119" s="234">
        <v>41069.615231507596</v>
      </c>
      <c r="F119" s="234">
        <v>47778.851601226495</v>
      </c>
      <c r="G119" s="234">
        <v>55122.685222454325</v>
      </c>
      <c r="H119" s="234">
        <v>63268.742030530673</v>
      </c>
      <c r="I119" s="234">
        <v>72109.789401073474</v>
      </c>
      <c r="J119" s="234">
        <v>81319.087519496592</v>
      </c>
      <c r="K119" s="234">
        <v>91421.197141132201</v>
      </c>
      <c r="L119" s="234">
        <v>102533.31173659959</v>
      </c>
      <c r="M119" s="234">
        <v>114786.74547179505</v>
      </c>
    </row>
    <row r="120" spans="1:13" ht="15">
      <c r="A120" s="54"/>
      <c r="C120" s="54"/>
      <c r="D120" s="234"/>
      <c r="E120" s="234"/>
      <c r="F120" s="234"/>
      <c r="G120" s="234"/>
      <c r="H120" s="234"/>
      <c r="I120" s="234"/>
      <c r="J120" s="234"/>
      <c r="K120" s="234"/>
      <c r="L120" s="234"/>
      <c r="M120" s="234"/>
    </row>
    <row r="121" spans="1:13" ht="16">
      <c r="A121" t="s">
        <v>537</v>
      </c>
      <c r="B121" s="67" t="s">
        <v>570</v>
      </c>
      <c r="D121" s="246">
        <f t="shared" ref="D121:M121" si="58">(D96+D97+D102+D103)/(D96+D97+D102+D103+D114)</f>
        <v>0.6188546064551913</v>
      </c>
      <c r="E121" s="246">
        <f t="shared" si="58"/>
        <v>0.56885380421539233</v>
      </c>
      <c r="F121" s="246">
        <f t="shared" si="58"/>
        <v>0.52652258002372587</v>
      </c>
      <c r="G121" s="246">
        <f t="shared" si="58"/>
        <v>0.48742166015093324</v>
      </c>
      <c r="H121" s="246">
        <f t="shared" si="58"/>
        <v>0.45048026289308674</v>
      </c>
      <c r="I121" s="246">
        <f t="shared" si="58"/>
        <v>0.41769561768334817</v>
      </c>
      <c r="J121" s="246">
        <f t="shared" si="58"/>
        <v>0.39204569233263137</v>
      </c>
      <c r="K121" s="246">
        <f t="shared" si="58"/>
        <v>0.36911768069964468</v>
      </c>
      <c r="L121" s="246">
        <f t="shared" si="58"/>
        <v>0.34866044733889018</v>
      </c>
      <c r="M121" s="246">
        <f t="shared" si="58"/>
        <v>0.33044194954799294</v>
      </c>
    </row>
    <row r="122" spans="1:13" ht="15.75" customHeight="1">
      <c r="A122" s="49" t="s">
        <v>327</v>
      </c>
      <c r="D122" s="236">
        <f t="shared" ref="D122:M122" si="59">D75/D72</f>
        <v>0.22999807553108512</v>
      </c>
      <c r="E122" s="236">
        <f t="shared" si="59"/>
        <v>0.24958292384936942</v>
      </c>
      <c r="F122" s="236">
        <f t="shared" si="59"/>
        <v>0.26457809269629889</v>
      </c>
      <c r="G122" s="236">
        <f t="shared" si="59"/>
        <v>0.27847029616098307</v>
      </c>
      <c r="H122" s="236">
        <f t="shared" si="59"/>
        <v>0.29181239419792915</v>
      </c>
      <c r="I122" s="236">
        <f t="shared" si="59"/>
        <v>0.30237023131619645</v>
      </c>
      <c r="J122" s="236">
        <f t="shared" si="59"/>
        <v>0.31182786925427497</v>
      </c>
      <c r="K122" s="236">
        <f t="shared" si="59"/>
        <v>0.32030544063428579</v>
      </c>
      <c r="L122" s="236">
        <f t="shared" si="59"/>
        <v>0.32790625181271854</v>
      </c>
      <c r="M122" s="236">
        <f t="shared" si="59"/>
        <v>0.33471966634579164</v>
      </c>
    </row>
    <row r="123" spans="1:13" ht="15.75" customHeight="1">
      <c r="D123" s="102"/>
      <c r="E123" s="102"/>
      <c r="F123" s="102"/>
      <c r="G123" s="102"/>
      <c r="H123" s="102"/>
      <c r="I123" s="102"/>
      <c r="J123" s="102"/>
      <c r="K123" s="102"/>
      <c r="L123" s="102"/>
      <c r="M123" s="102"/>
    </row>
    <row r="124" spans="1:13" ht="15.75" customHeight="1">
      <c r="A124" s="49" t="s">
        <v>540</v>
      </c>
      <c r="B124" s="240"/>
      <c r="C124" s="54"/>
      <c r="D124" s="232">
        <f t="shared" ref="D124:M124" si="60">D67*(1-D28)</f>
        <v>4067.1518798851198</v>
      </c>
      <c r="E124" s="232">
        <f t="shared" si="60"/>
        <v>4317.2031261713655</v>
      </c>
      <c r="F124" s="232">
        <f t="shared" si="60"/>
        <v>4578.5970105428923</v>
      </c>
      <c r="G124" s="232">
        <f t="shared" si="60"/>
        <v>4851.7890451631529</v>
      </c>
      <c r="H124" s="232">
        <f t="shared" si="60"/>
        <v>5137.2518645511445</v>
      </c>
      <c r="I124" s="232">
        <f t="shared" si="60"/>
        <v>5435.4758429618223</v>
      </c>
      <c r="J124" s="232">
        <f t="shared" si="60"/>
        <v>5746.9697333989861</v>
      </c>
      <c r="K124" s="232">
        <f t="shared" si="60"/>
        <v>6072.261329003717</v>
      </c>
      <c r="L124" s="232">
        <f t="shared" si="60"/>
        <v>6411.8981475846676</v>
      </c>
      <c r="M124" s="232">
        <f t="shared" si="60"/>
        <v>6766.4481400843779</v>
      </c>
    </row>
    <row r="125" spans="1:13" ht="15.75" customHeight="1">
      <c r="A125" s="49" t="s">
        <v>541</v>
      </c>
      <c r="B125" s="67" t="s">
        <v>571</v>
      </c>
      <c r="C125" s="54"/>
      <c r="D125" s="232">
        <f t="shared" ref="D125:M125" si="61">D124+D64</f>
        <v>5941.5882071530659</v>
      </c>
      <c r="E125" s="232">
        <f t="shared" si="61"/>
        <v>6306.8810656435762</v>
      </c>
      <c r="F125" s="232">
        <f t="shared" si="61"/>
        <v>6688.7440662570816</v>
      </c>
      <c r="G125" s="232">
        <f t="shared" si="61"/>
        <v>7087.8426539483153</v>
      </c>
      <c r="H125" s="232">
        <f t="shared" si="61"/>
        <v>7504.8672872413936</v>
      </c>
      <c r="I125" s="232">
        <f t="shared" si="61"/>
        <v>7940.5343401435857</v>
      </c>
      <c r="J125" s="232">
        <f t="shared" si="61"/>
        <v>8395.587035661305</v>
      </c>
      <c r="K125" s="232">
        <f t="shared" si="61"/>
        <v>8870.7964120039614</v>
      </c>
      <c r="L125" s="232">
        <f t="shared" si="61"/>
        <v>9366.9623225950763</v>
      </c>
      <c r="M125" s="232">
        <f t="shared" si="61"/>
        <v>9884.9144710508608</v>
      </c>
    </row>
    <row r="126" spans="1:13" ht="15.75" customHeight="1">
      <c r="A126" s="49" t="s">
        <v>526</v>
      </c>
      <c r="B126" s="67" t="s">
        <v>551</v>
      </c>
      <c r="C126" s="54"/>
      <c r="D126" s="232"/>
      <c r="E126" s="232">
        <f>E89-D89</f>
        <v>5152.7770259765457</v>
      </c>
      <c r="F126" s="232">
        <f>F89-E89</f>
        <v>5754.6167672505908</v>
      </c>
      <c r="G126" s="232">
        <f>G89-F89</f>
        <v>6426.7508512355198</v>
      </c>
      <c r="H126" s="232">
        <f>H89-G89</f>
        <v>7177.3895941970914</v>
      </c>
      <c r="I126" s="232">
        <f>5%*I59</f>
        <v>2635.2673632339615</v>
      </c>
      <c r="J126" s="232">
        <f t="shared" ref="J126:M126" si="62">5%*J59</f>
        <v>2786.2881214954018</v>
      </c>
      <c r="K126" s="232">
        <f t="shared" si="62"/>
        <v>2943.9983846256182</v>
      </c>
      <c r="L126" s="232">
        <f t="shared" si="62"/>
        <v>3108.6636042343011</v>
      </c>
      <c r="M126" s="232">
        <f t="shared" si="62"/>
        <v>3280.5591384733425</v>
      </c>
    </row>
    <row r="127" spans="1:13" ht="15.75" customHeight="1">
      <c r="A127" s="49" t="s">
        <v>531</v>
      </c>
      <c r="B127" s="67" t="s">
        <v>542</v>
      </c>
      <c r="C127" s="54"/>
      <c r="D127" s="232">
        <f t="shared" ref="D127:M127" si="63">(D83+D84+D85)-(D94+D95+D99+D100)</f>
        <v>-2788.5611925415924</v>
      </c>
      <c r="E127" s="232">
        <f t="shared" si="63"/>
        <v>-2960.0038192576085</v>
      </c>
      <c r="F127" s="232">
        <f t="shared" si="63"/>
        <v>-3139.2232985032997</v>
      </c>
      <c r="G127" s="232">
        <f t="shared" si="63"/>
        <v>-3326.5319430663985</v>
      </c>
      <c r="H127" s="232">
        <f t="shared" si="63"/>
        <v>-3522.2538053346298</v>
      </c>
      <c r="I127" s="232">
        <f t="shared" si="63"/>
        <v>-3726.7251005902363</v>
      </c>
      <c r="J127" s="232">
        <f t="shared" si="63"/>
        <v>-3940.294645136335</v>
      </c>
      <c r="K127" s="232">
        <f t="shared" si="63"/>
        <v>-4163.3243097646719</v>
      </c>
      <c r="L127" s="232">
        <f t="shared" si="63"/>
        <v>-4396.189489090083</v>
      </c>
      <c r="M127" s="232">
        <f t="shared" si="63"/>
        <v>-4639.2795872962315</v>
      </c>
    </row>
    <row r="128" spans="1:13" ht="15.75" customHeight="1">
      <c r="A128" s="49" t="s">
        <v>538</v>
      </c>
      <c r="B128" s="240"/>
      <c r="C128" s="54"/>
      <c r="D128" s="232"/>
      <c r="E128" s="232">
        <f>E127-D127</f>
        <v>-171.44262671601609</v>
      </c>
      <c r="F128" s="232">
        <f>F127-E127</f>
        <v>-179.21947924569122</v>
      </c>
      <c r="G128" s="232">
        <f t="shared" ref="G128:M128" si="64">G127-F127</f>
        <v>-187.30864456309882</v>
      </c>
      <c r="H128" s="232">
        <f t="shared" si="64"/>
        <v>-195.72186226823123</v>
      </c>
      <c r="I128" s="232">
        <f t="shared" si="64"/>
        <v>-204.47129525560649</v>
      </c>
      <c r="J128" s="232">
        <f t="shared" si="64"/>
        <v>-213.56954454609877</v>
      </c>
      <c r="K128" s="232">
        <f t="shared" si="64"/>
        <v>-223.02966462833683</v>
      </c>
      <c r="L128" s="232">
        <f t="shared" si="64"/>
        <v>-232.86517932541119</v>
      </c>
      <c r="M128" s="232">
        <f t="shared" si="64"/>
        <v>-243.09009820614847</v>
      </c>
    </row>
    <row r="129" spans="1:13" ht="15.75" customHeight="1" thickBot="1">
      <c r="A129" s="292" t="s">
        <v>539</v>
      </c>
      <c r="B129" s="295" t="s">
        <v>572</v>
      </c>
      <c r="C129" s="293"/>
      <c r="D129" s="292">
        <f>D125-D126-D128</f>
        <v>5941.5882071530659</v>
      </c>
      <c r="E129" s="292">
        <f>E125-E126-E128</f>
        <v>1325.5466663830466</v>
      </c>
      <c r="F129" s="292">
        <f t="shared" ref="F129:M129" si="65">F125-F126-F128</f>
        <v>1113.346778252182</v>
      </c>
      <c r="G129" s="292">
        <f t="shared" si="65"/>
        <v>848.40044727589429</v>
      </c>
      <c r="H129" s="292">
        <f t="shared" si="65"/>
        <v>523.19955531253345</v>
      </c>
      <c r="I129" s="292">
        <f t="shared" si="65"/>
        <v>5509.7382721652311</v>
      </c>
      <c r="J129" s="292">
        <f t="shared" si="65"/>
        <v>5822.8684587120024</v>
      </c>
      <c r="K129" s="292">
        <f t="shared" si="65"/>
        <v>6149.8276920066801</v>
      </c>
      <c r="L129" s="292">
        <f t="shared" si="65"/>
        <v>6491.1638976861859</v>
      </c>
      <c r="M129" s="292">
        <f t="shared" si="65"/>
        <v>6847.4454307836668</v>
      </c>
    </row>
    <row r="130" spans="1:13" ht="15.75" customHeight="1" thickTop="1">
      <c r="D130" s="102"/>
      <c r="E130" s="102"/>
      <c r="F130" s="102"/>
      <c r="G130" s="102"/>
      <c r="H130" s="102"/>
      <c r="I130" s="102"/>
      <c r="J130" s="102"/>
      <c r="K130" s="102"/>
      <c r="L130" s="102"/>
      <c r="M130" s="102"/>
    </row>
    <row r="131" spans="1:13" ht="15.75" customHeight="1">
      <c r="D131" s="102"/>
      <c r="E131" s="102"/>
      <c r="F131" s="102"/>
      <c r="G131" s="102"/>
      <c r="H131" s="102"/>
      <c r="I131" s="102"/>
      <c r="J131" s="102"/>
      <c r="K131" s="102"/>
      <c r="L131" s="102"/>
      <c r="M131" s="102"/>
    </row>
    <row r="132" spans="1:13" ht="15.75" customHeight="1">
      <c r="A132" s="67" t="s">
        <v>566</v>
      </c>
      <c r="D132" s="102"/>
      <c r="E132" s="102"/>
      <c r="F132" s="102"/>
      <c r="G132" s="102"/>
      <c r="H132" s="102"/>
      <c r="I132" s="102"/>
      <c r="J132" s="102"/>
      <c r="K132" s="102"/>
      <c r="L132" s="102"/>
      <c r="M132" s="102"/>
    </row>
    <row r="133" spans="1:13" ht="15.75" customHeight="1">
      <c r="A133" s="282" t="s">
        <v>547</v>
      </c>
      <c r="B133" s="282" t="s">
        <v>546</v>
      </c>
      <c r="C133" s="282" t="s">
        <v>519</v>
      </c>
    </row>
    <row r="134" spans="1:13" ht="15.75" customHeight="1">
      <c r="A134" s="274" t="s">
        <v>517</v>
      </c>
      <c r="B134" s="274" t="s">
        <v>518</v>
      </c>
      <c r="C134" s="277">
        <v>0.4</v>
      </c>
    </row>
    <row r="135" spans="1:13" ht="15.75" customHeight="1">
      <c r="A135" s="274" t="s">
        <v>520</v>
      </c>
      <c r="B135" s="274" t="s">
        <v>573</v>
      </c>
      <c r="C135" s="277">
        <v>0.06</v>
      </c>
    </row>
    <row r="136" spans="1:13" ht="15.75" customHeight="1">
      <c r="A136" s="274" t="s">
        <v>521</v>
      </c>
      <c r="B136" s="274" t="s">
        <v>522</v>
      </c>
      <c r="C136" s="277">
        <v>0.7</v>
      </c>
    </row>
    <row r="137" spans="1:13" ht="15.75" customHeight="1">
      <c r="A137" s="274" t="s">
        <v>523</v>
      </c>
      <c r="B137" s="274" t="s">
        <v>524</v>
      </c>
      <c r="C137" s="274" t="s">
        <v>525</v>
      </c>
    </row>
    <row r="138" spans="1:13" ht="15.75" customHeight="1">
      <c r="A138" s="274" t="s">
        <v>526</v>
      </c>
      <c r="B138" s="274" t="s">
        <v>527</v>
      </c>
      <c r="C138" s="274" t="s">
        <v>528</v>
      </c>
    </row>
    <row r="139" spans="1:13" ht="15.75" customHeight="1">
      <c r="A139" s="274" t="s">
        <v>529</v>
      </c>
      <c r="B139" s="274"/>
      <c r="C139" s="274" t="s">
        <v>530</v>
      </c>
    </row>
    <row r="140" spans="1:13" ht="15.75" customHeight="1">
      <c r="A140" s="274" t="s">
        <v>531</v>
      </c>
      <c r="B140" s="274" t="s">
        <v>532</v>
      </c>
      <c r="C140" s="274"/>
    </row>
    <row r="141" spans="1:13" ht="15.75" customHeight="1">
      <c r="A141" s="274"/>
      <c r="B141" s="274"/>
      <c r="C141" s="274"/>
    </row>
    <row r="142" spans="1:13" ht="15.75" customHeight="1">
      <c r="A142" s="274" t="s">
        <v>545</v>
      </c>
      <c r="B142" s="274"/>
      <c r="C142" s="274"/>
    </row>
    <row r="143" spans="1:13" ht="15.75" customHeight="1">
      <c r="A143" s="274" t="s">
        <v>533</v>
      </c>
      <c r="B143" s="274"/>
      <c r="C143" s="278">
        <v>2.5000000000000001E-2</v>
      </c>
    </row>
  </sheetData>
  <pageMargins left="0.25" right="0.25" top="0.75" bottom="0.75" header="0.3" footer="0.3"/>
  <pageSetup scale="4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39C3-D0F1-DA4A-AB33-F08DF07A3EA7}">
  <sheetPr>
    <tabColor rgb="FF007041"/>
  </sheetPr>
  <dimension ref="A1:N54"/>
  <sheetViews>
    <sheetView showGridLines="0" workbookViewId="0">
      <selection activeCell="E28" sqref="E28"/>
    </sheetView>
  </sheetViews>
  <sheetFormatPr baseColWidth="10" defaultRowHeight="16"/>
  <cols>
    <col min="1" max="1" width="22.83203125" bestFit="1" customWidth="1"/>
    <col min="2" max="10" width="12.33203125" bestFit="1" customWidth="1"/>
    <col min="11" max="11" width="13.6640625" bestFit="1" customWidth="1"/>
  </cols>
  <sheetData>
    <row r="1" spans="1:11">
      <c r="A1" s="48" t="s">
        <v>513</v>
      </c>
    </row>
    <row r="2" spans="1:11">
      <c r="A2" s="48"/>
    </row>
    <row r="3" spans="1:11">
      <c r="A3" s="285" t="s">
        <v>574</v>
      </c>
    </row>
    <row r="4" spans="1:11">
      <c r="A4" s="168"/>
      <c r="B4" s="168">
        <v>1</v>
      </c>
      <c r="C4" s="167">
        <v>2</v>
      </c>
      <c r="D4" s="167">
        <v>3</v>
      </c>
      <c r="E4" s="167">
        <v>4</v>
      </c>
      <c r="F4" s="167">
        <v>5</v>
      </c>
      <c r="G4" s="167">
        <v>6</v>
      </c>
      <c r="H4" s="167">
        <v>7</v>
      </c>
      <c r="I4" s="167">
        <v>8</v>
      </c>
      <c r="J4" s="167">
        <v>9</v>
      </c>
      <c r="K4" s="167">
        <v>10</v>
      </c>
    </row>
    <row r="5" spans="1:11">
      <c r="A5" s="168"/>
      <c r="B5" s="168">
        <v>2025</v>
      </c>
      <c r="C5" s="167">
        <v>2026</v>
      </c>
      <c r="D5" s="167">
        <v>2027</v>
      </c>
      <c r="E5" s="167">
        <v>2028</v>
      </c>
      <c r="F5" s="167">
        <v>2029</v>
      </c>
      <c r="G5" s="167">
        <v>2030</v>
      </c>
      <c r="H5" s="167">
        <v>2031</v>
      </c>
      <c r="I5" s="167">
        <v>2032</v>
      </c>
      <c r="J5" s="167">
        <v>2033</v>
      </c>
      <c r="K5" s="167">
        <v>2034</v>
      </c>
    </row>
    <row r="6" spans="1:11">
      <c r="A6" s="49" t="s">
        <v>540</v>
      </c>
      <c r="B6" s="281">
        <f>'Pro Forma Statement Step 2'!D124</f>
        <v>4067.1518798851198</v>
      </c>
      <c r="C6" s="281">
        <f>'Pro Forma Statement Step 2'!E124</f>
        <v>4317.2031261713655</v>
      </c>
      <c r="D6" s="281">
        <f>'Pro Forma Statement Step 2'!F124</f>
        <v>4578.5970105428923</v>
      </c>
      <c r="E6" s="281">
        <f>'Pro Forma Statement Step 2'!G124</f>
        <v>4851.7890451631529</v>
      </c>
      <c r="F6" s="281">
        <f>'Pro Forma Statement Step 2'!H124</f>
        <v>5137.2518645511445</v>
      </c>
      <c r="G6" s="281">
        <f>'Pro Forma Statement Step 2'!I124</f>
        <v>5435.4758429618223</v>
      </c>
      <c r="H6" s="281">
        <f>'Pro Forma Statement Step 2'!J124</f>
        <v>5746.9697333989861</v>
      </c>
      <c r="I6" s="281">
        <f>'Pro Forma Statement Step 2'!K124</f>
        <v>6072.261329003717</v>
      </c>
      <c r="J6" s="281">
        <f>'Pro Forma Statement Step 2'!L124</f>
        <v>6411.8981475846676</v>
      </c>
      <c r="K6" s="281">
        <f>'Pro Forma Statement Step 2'!M124</f>
        <v>6766.4481400843779</v>
      </c>
    </row>
    <row r="7" spans="1:11">
      <c r="A7" s="49" t="s">
        <v>541</v>
      </c>
      <c r="B7" s="286">
        <f>'Pro Forma Statement Step 2'!D125</f>
        <v>5941.5882071530659</v>
      </c>
      <c r="C7" s="286">
        <f>'Pro Forma Statement Step 2'!E125</f>
        <v>6306.8810656435762</v>
      </c>
      <c r="D7" s="286">
        <f>'Pro Forma Statement Step 2'!F125</f>
        <v>6688.7440662570816</v>
      </c>
      <c r="E7" s="286">
        <f>'Pro Forma Statement Step 2'!G125</f>
        <v>7087.8426539483153</v>
      </c>
      <c r="F7" s="286">
        <f>'Pro Forma Statement Step 2'!H125</f>
        <v>7504.8672872413936</v>
      </c>
      <c r="G7" s="286">
        <f>'Pro Forma Statement Step 2'!I125</f>
        <v>7940.5343401435857</v>
      </c>
      <c r="H7" s="286">
        <f>'Pro Forma Statement Step 2'!J125</f>
        <v>8395.587035661305</v>
      </c>
      <c r="I7" s="286">
        <f>'Pro Forma Statement Step 2'!K125</f>
        <v>8870.7964120039614</v>
      </c>
      <c r="J7" s="286">
        <f>'Pro Forma Statement Step 2'!L125</f>
        <v>9366.9623225950763</v>
      </c>
      <c r="K7" s="286">
        <f>'Pro Forma Statement Step 2'!M125</f>
        <v>9884.9144710508608</v>
      </c>
    </row>
    <row r="8" spans="1:11">
      <c r="A8" s="49" t="s">
        <v>526</v>
      </c>
      <c r="B8" s="286">
        <f>'Pro Forma Statement Step 2'!D126</f>
        <v>0</v>
      </c>
      <c r="C8" s="286">
        <f>'Pro Forma Statement Step 2'!E126</f>
        <v>5152.7770259765457</v>
      </c>
      <c r="D8" s="286">
        <f>'Pro Forma Statement Step 2'!F126</f>
        <v>5754.6167672505908</v>
      </c>
      <c r="E8" s="286">
        <f>'Pro Forma Statement Step 2'!G126</f>
        <v>6426.7508512355198</v>
      </c>
      <c r="F8" s="286">
        <f>'Pro Forma Statement Step 2'!H126</f>
        <v>7177.3895941970914</v>
      </c>
      <c r="G8" s="286">
        <f>'Pro Forma Statement Step 2'!I126</f>
        <v>2635.2673632339615</v>
      </c>
      <c r="H8" s="286">
        <f>'Pro Forma Statement Step 2'!J126</f>
        <v>2786.2881214954018</v>
      </c>
      <c r="I8" s="286">
        <f>'Pro Forma Statement Step 2'!K126</f>
        <v>2943.9983846256182</v>
      </c>
      <c r="J8" s="286">
        <f>'Pro Forma Statement Step 2'!L126</f>
        <v>3108.6636042343011</v>
      </c>
      <c r="K8" s="286">
        <f>'Pro Forma Statement Step 2'!M126</f>
        <v>3280.5591384733425</v>
      </c>
    </row>
    <row r="9" spans="1:11">
      <c r="A9" s="49" t="s">
        <v>531</v>
      </c>
      <c r="B9" s="286">
        <f>'Pro Forma Statement Step 2'!D127</f>
        <v>-2788.5611925415924</v>
      </c>
      <c r="C9" s="286">
        <f>'Pro Forma Statement Step 2'!E127</f>
        <v>-2960.0038192576085</v>
      </c>
      <c r="D9" s="286">
        <f>'Pro Forma Statement Step 2'!F127</f>
        <v>-3139.2232985032997</v>
      </c>
      <c r="E9" s="286">
        <f>'Pro Forma Statement Step 2'!G127</f>
        <v>-3326.5319430663985</v>
      </c>
      <c r="F9" s="286">
        <f>'Pro Forma Statement Step 2'!H127</f>
        <v>-3522.2538053346298</v>
      </c>
      <c r="G9" s="286">
        <f>'Pro Forma Statement Step 2'!I127</f>
        <v>-3726.7251005902363</v>
      </c>
      <c r="H9" s="286">
        <f>'Pro Forma Statement Step 2'!J127</f>
        <v>-3940.294645136335</v>
      </c>
      <c r="I9" s="286">
        <f>'Pro Forma Statement Step 2'!K127</f>
        <v>-4163.3243097646719</v>
      </c>
      <c r="J9" s="286">
        <f>'Pro Forma Statement Step 2'!L127</f>
        <v>-4396.189489090083</v>
      </c>
      <c r="K9" s="286">
        <f>'Pro Forma Statement Step 2'!M127</f>
        <v>-4639.2795872962315</v>
      </c>
    </row>
    <row r="10" spans="1:11">
      <c r="A10" s="49" t="s">
        <v>538</v>
      </c>
      <c r="B10" s="286">
        <f>'Pro Forma Statement Step 2'!D128</f>
        <v>0</v>
      </c>
      <c r="C10" s="286">
        <f>'Pro Forma Statement Step 2'!E128</f>
        <v>-171.44262671601609</v>
      </c>
      <c r="D10" s="286">
        <f>'Pro Forma Statement Step 2'!F128</f>
        <v>-179.21947924569122</v>
      </c>
      <c r="E10" s="286">
        <f>'Pro Forma Statement Step 2'!G128</f>
        <v>-187.30864456309882</v>
      </c>
      <c r="F10" s="286">
        <f>'Pro Forma Statement Step 2'!H128</f>
        <v>-195.72186226823123</v>
      </c>
      <c r="G10" s="286">
        <f>'Pro Forma Statement Step 2'!I128</f>
        <v>-204.47129525560649</v>
      </c>
      <c r="H10" s="286">
        <f>'Pro Forma Statement Step 2'!J128</f>
        <v>-213.56954454609877</v>
      </c>
      <c r="I10" s="286">
        <f>'Pro Forma Statement Step 2'!K128</f>
        <v>-223.02966462833683</v>
      </c>
      <c r="J10" s="286">
        <f>'Pro Forma Statement Step 2'!L128</f>
        <v>-232.86517932541119</v>
      </c>
      <c r="K10" s="286">
        <f>'Pro Forma Statement Step 2'!M128</f>
        <v>-243.09009820614847</v>
      </c>
    </row>
    <row r="11" spans="1:11" ht="17" thickBot="1">
      <c r="A11" s="283" t="s">
        <v>539</v>
      </c>
      <c r="B11" s="290">
        <f>'Pro Forma Statement Step 2'!D129</f>
        <v>5941.5882071530659</v>
      </c>
      <c r="C11" s="290">
        <f>'Pro Forma Statement Step 2'!E129</f>
        <v>1325.5466663830466</v>
      </c>
      <c r="D11" s="290">
        <f>'Pro Forma Statement Step 2'!F129</f>
        <v>1113.346778252182</v>
      </c>
      <c r="E11" s="290">
        <f>'Pro Forma Statement Step 2'!G129</f>
        <v>848.40044727589429</v>
      </c>
      <c r="F11" s="290">
        <f>'Pro Forma Statement Step 2'!H129</f>
        <v>523.19955531253345</v>
      </c>
      <c r="G11" s="290">
        <f>'Pro Forma Statement Step 2'!I129</f>
        <v>5509.7382721652311</v>
      </c>
      <c r="H11" s="290">
        <f>'Pro Forma Statement Step 2'!J129</f>
        <v>5822.8684587120024</v>
      </c>
      <c r="I11" s="290">
        <f>'Pro Forma Statement Step 2'!K129</f>
        <v>6149.8276920066801</v>
      </c>
      <c r="J11" s="290">
        <f>'Pro Forma Statement Step 2'!L129</f>
        <v>6491.1638976861859</v>
      </c>
      <c r="K11" s="290">
        <f>'Pro Forma Statement Step 2'!M129</f>
        <v>6847.4454307836668</v>
      </c>
    </row>
    <row r="12" spans="1:11" ht="17" thickTop="1">
      <c r="B12" s="287"/>
      <c r="C12" s="287"/>
      <c r="D12" s="287"/>
      <c r="E12" s="287"/>
      <c r="F12" s="287"/>
      <c r="G12" s="287"/>
      <c r="H12" s="287"/>
      <c r="I12" s="287"/>
      <c r="J12" s="287"/>
      <c r="K12" s="287"/>
    </row>
    <row r="13" spans="1:11">
      <c r="A13" s="285" t="s">
        <v>548</v>
      </c>
      <c r="B13" s="288"/>
      <c r="C13" s="288"/>
      <c r="D13" s="288"/>
      <c r="E13" s="288"/>
      <c r="F13" s="288"/>
      <c r="G13" s="288"/>
      <c r="H13" s="288"/>
      <c r="I13" s="288"/>
      <c r="J13" s="288"/>
      <c r="K13" s="288">
        <f>(K11*(1+'Pro Forma Statement Step 2'!C143))/(WACC!B21-'Pro Forma Statement Step 2'!C143)</f>
        <v>153743.92010946572</v>
      </c>
    </row>
    <row r="14" spans="1:11">
      <c r="A14" s="285" t="s">
        <v>549</v>
      </c>
      <c r="B14" s="288">
        <f>(B11)/(1+WACC!$B$21)^B4</f>
        <v>5549.5075027672583</v>
      </c>
      <c r="C14" s="288">
        <f>(C11)/(1+WACC!$B$21)^C4</f>
        <v>1156.3753083472907</v>
      </c>
      <c r="D14" s="288">
        <f>(D11)/(1+WACC!$B$21)^D4</f>
        <v>907.16469204520365</v>
      </c>
      <c r="E14" s="288">
        <f>(E11)/(1+WACC!$B$21)^E4</f>
        <v>645.66681333788381</v>
      </c>
      <c r="F14" s="288">
        <f>(F11)/(1+WACC!$B$21)^F4</f>
        <v>371.90056316424193</v>
      </c>
      <c r="G14" s="288">
        <f>(G11)/(1+WACC!$B$21)^G4</f>
        <v>3657.9884757484851</v>
      </c>
      <c r="H14" s="288">
        <f>(H11)/(1+WACC!$B$21)^H4</f>
        <v>3610.7734218175906</v>
      </c>
      <c r="I14" s="288">
        <f>(I11)/(1+WACC!$B$21)^I4</f>
        <v>3561.8702850855002</v>
      </c>
      <c r="J14" s="288">
        <f>(J11)/(1+WACC!$B$21)^J4</f>
        <v>3511.4753217278781</v>
      </c>
      <c r="K14" s="288">
        <f>(K11+K13)/(1+WACC!$B$21)^K4</f>
        <v>81141.144776528978</v>
      </c>
    </row>
    <row r="15" spans="1:11">
      <c r="A15" s="285"/>
      <c r="B15" s="288"/>
      <c r="C15" s="288"/>
      <c r="D15" s="288"/>
      <c r="E15" s="288"/>
      <c r="F15" s="288"/>
      <c r="G15" s="288"/>
      <c r="H15" s="288"/>
      <c r="I15" s="288"/>
      <c r="J15" s="288"/>
      <c r="K15" s="288"/>
    </row>
    <row r="16" spans="1:11">
      <c r="A16" s="285" t="s">
        <v>550</v>
      </c>
      <c r="B16" s="288">
        <f>SUM(B14:K14)</f>
        <v>104113.86716057031</v>
      </c>
      <c r="C16" s="288"/>
      <c r="D16" s="288"/>
      <c r="E16" s="288"/>
      <c r="F16" s="288"/>
      <c r="G16" s="288"/>
      <c r="H16" s="288"/>
      <c r="I16" s="288"/>
      <c r="J16" s="288"/>
      <c r="K16" s="288"/>
    </row>
    <row r="17" spans="1:11">
      <c r="B17" s="287"/>
      <c r="C17" s="287"/>
      <c r="D17" s="287"/>
      <c r="E17" s="287"/>
      <c r="F17" s="287"/>
      <c r="G17" s="287"/>
      <c r="H17" s="287"/>
      <c r="I17" s="287"/>
      <c r="J17" s="287"/>
      <c r="K17" s="287"/>
    </row>
    <row r="19" spans="1:11">
      <c r="A19" s="168"/>
      <c r="B19" s="167">
        <v>2034</v>
      </c>
    </row>
    <row r="20" spans="1:11">
      <c r="A20" t="s">
        <v>559</v>
      </c>
      <c r="B20" s="286">
        <f>'Pro Forma Statement Step 2'!M102</f>
        <v>29878.419541281182</v>
      </c>
    </row>
    <row r="21" spans="1:11">
      <c r="A21" t="s">
        <v>560</v>
      </c>
      <c r="B21" s="286">
        <f>'Pro Forma Statement Step 2'!M96</f>
        <v>900</v>
      </c>
    </row>
    <row r="22" spans="1:11">
      <c r="A22" t="s">
        <v>561</v>
      </c>
      <c r="B22" s="286">
        <f>'Pro Forma Statement Step 2'!M82</f>
        <v>9889.2886126148769</v>
      </c>
    </row>
    <row r="23" spans="1:11">
      <c r="A23" t="s">
        <v>345</v>
      </c>
      <c r="B23" s="287">
        <f>B20+B21-B22</f>
        <v>20889.130928666305</v>
      </c>
    </row>
    <row r="24" spans="1:11">
      <c r="B24" s="287"/>
    </row>
    <row r="25" spans="1:11">
      <c r="A25" s="285" t="s">
        <v>557</v>
      </c>
      <c r="B25" s="291">
        <f>B16-B23</f>
        <v>83224.736231904011</v>
      </c>
      <c r="C25" s="274" t="s">
        <v>558</v>
      </c>
    </row>
    <row r="26" spans="1:11">
      <c r="A26" t="s">
        <v>562</v>
      </c>
      <c r="B26" s="287">
        <f>('Pro Forma Statement Step 2'!M50+'Pro Forma Statement Step 2'!M51)/1000000</f>
        <v>1054.9000000000001</v>
      </c>
    </row>
    <row r="27" spans="1:11" ht="17" thickBot="1">
      <c r="A27" s="283" t="s">
        <v>567</v>
      </c>
      <c r="B27" s="284">
        <f>B25/B26</f>
        <v>78.893483962369899</v>
      </c>
      <c r="C27" s="274" t="s">
        <v>563</v>
      </c>
      <c r="D27" s="276"/>
    </row>
    <row r="28" spans="1:11" ht="17" thickTop="1">
      <c r="A28" s="307"/>
      <c r="B28" s="308"/>
      <c r="C28" s="274"/>
      <c r="D28" s="276"/>
    </row>
    <row r="30" spans="1:11">
      <c r="A30" s="309" t="s">
        <v>601</v>
      </c>
    </row>
    <row r="31" spans="1:11">
      <c r="A31" s="285" t="s">
        <v>552</v>
      </c>
    </row>
    <row r="32" spans="1:11">
      <c r="A32" s="1" t="s">
        <v>564</v>
      </c>
    </row>
    <row r="33" spans="1:14">
      <c r="A33" s="1" t="s">
        <v>553</v>
      </c>
    </row>
    <row r="34" spans="1:14">
      <c r="A34" s="285" t="s">
        <v>554</v>
      </c>
    </row>
    <row r="35" spans="1:14">
      <c r="A35" s="1" t="s">
        <v>555</v>
      </c>
    </row>
    <row r="36" spans="1:14">
      <c r="A36" s="285" t="s">
        <v>556</v>
      </c>
    </row>
    <row r="37" spans="1:14">
      <c r="A37" s="1" t="s">
        <v>565</v>
      </c>
    </row>
    <row r="38" spans="1:14">
      <c r="A38" s="285" t="s">
        <v>598</v>
      </c>
    </row>
    <row r="39" spans="1:14">
      <c r="A39" s="285" t="s">
        <v>599</v>
      </c>
    </row>
    <row r="41" spans="1:14">
      <c r="A41" s="285" t="s">
        <v>600</v>
      </c>
    </row>
    <row r="42" spans="1:14">
      <c r="A42" s="306" t="s">
        <v>597</v>
      </c>
      <c r="B42" s="306"/>
      <c r="C42" s="306"/>
      <c r="D42" s="306"/>
      <c r="E42" s="306"/>
      <c r="F42" s="306"/>
      <c r="G42" s="306"/>
      <c r="H42" s="306"/>
      <c r="I42" s="306"/>
      <c r="J42" s="306"/>
      <c r="K42" s="306"/>
      <c r="L42" s="306"/>
      <c r="M42" s="306"/>
      <c r="N42" s="306"/>
    </row>
    <row r="43" spans="1:14" ht="62" customHeight="1">
      <c r="A43" s="306"/>
      <c r="B43" s="306"/>
      <c r="C43" s="306"/>
      <c r="D43" s="306"/>
      <c r="E43" s="306"/>
      <c r="F43" s="306"/>
      <c r="G43" s="306"/>
      <c r="H43" s="306"/>
      <c r="I43" s="306"/>
      <c r="J43" s="306"/>
      <c r="K43" s="306"/>
      <c r="L43" s="306"/>
      <c r="M43" s="306"/>
      <c r="N43" s="306"/>
    </row>
    <row r="54" spans="1:1" ht="19">
      <c r="A54" s="296"/>
    </row>
  </sheetData>
  <mergeCells count="1">
    <mergeCell ref="A42:N43"/>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Cover Sheet</vt:lpstr>
      <vt:lpstr>Historical Balance Sheet</vt:lpstr>
      <vt:lpstr>Historical Income Statement</vt:lpstr>
      <vt:lpstr>Historical CashFlow Statement</vt:lpstr>
      <vt:lpstr>Real Revenue</vt:lpstr>
      <vt:lpstr>Real Operating Costs</vt:lpstr>
      <vt:lpstr>Forecasting Sales</vt:lpstr>
      <vt:lpstr>Forecasting Costs</vt:lpstr>
      <vt:lpstr>Interest &amp; Taxes</vt:lpstr>
      <vt:lpstr>Fixed Asset Forecasting</vt:lpstr>
      <vt:lpstr>Dividend Forecasting</vt:lpstr>
      <vt:lpstr>Net Working Capital</vt:lpstr>
      <vt:lpstr>Pro Forma Statement Step 1</vt:lpstr>
      <vt:lpstr>WACC</vt:lpstr>
      <vt:lpstr>Pro Forma Statement Step 2</vt:lpstr>
      <vt:lpstr>Completed Valuation</vt:lpstr>
      <vt:lpstr>'Pro Forma Statement Step 1'!Print_Area</vt:lpstr>
      <vt:lpstr>'Pro Forma Statement Step 2'!Print_Area</vt:lpstr>
      <vt:lpstr>WACC!Print_Area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Katuwal, Shaira</dc:creator>
  <cp:lastModifiedBy>Katuwal, Shaira</cp:lastModifiedBy>
  <dcterms:created xsi:type="dcterms:W3CDTF">2025-11-12T01:57:13Z</dcterms:created>
  <dcterms:modified xsi:type="dcterms:W3CDTF">2026-05-30T21:17:33Z</dcterms:modified>
</cp:coreProperties>
</file>