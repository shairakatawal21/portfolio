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https://indiana-my.sharepoint.com/personal/skatuwal_iu_edu/Documents/IU Kelley/Project portfolio/"/>
    </mc:Choice>
  </mc:AlternateContent>
  <xr:revisionPtr revIDLastSave="45" documentId="13_ncr:1_{A0C781BA-96B9-384F-9755-B9DE305C2038}" xr6:coauthVersionLast="47" xr6:coauthVersionMax="47" xr10:uidLastSave="{4C2F7B6F-B4A2-1548-9089-9C06BAEEE427}"/>
  <bookViews>
    <workbookView xWindow="0" yWindow="660" windowWidth="29400" windowHeight="18460" activeTab="5" xr2:uid="{7E69A0EB-7AB2-2346-8AF1-50A1F6279C72}"/>
  </bookViews>
  <sheets>
    <sheet name="Introduction" sheetId="16" r:id="rId1"/>
    <sheet name="Assumptions and Key Inputs" sheetId="12" r:id="rId2"/>
    <sheet name="1. Madison Analysis" sheetId="14" r:id="rId3"/>
    <sheet name="2. Feasibility Test" sheetId="5" r:id="rId4"/>
    <sheet name="3. Yield on Cost" sheetId="10" r:id="rId5"/>
    <sheet name="4. Pro Forma NPV" sheetId="9" r:id="rId6"/>
    <sheet name="Supporting Documents --&gt;" sheetId="15" r:id="rId7"/>
    <sheet name="Construction Loan" sheetId="8" r:id="rId8"/>
    <sheet name="NOI at Completion" sheetId="11" r:id="rId9"/>
  </sheets>
  <definedNames>
    <definedName name="CIQWBGuid" hidden="1">"23fd590c-55ab-4a18-8dee-ea2b403fd81f"</definedName>
    <definedName name="CIQWBInfo" hidden="1">"{ ""CIQVersion"":""9.53.6531.4508"" }"</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45973.0515393519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8" i="9" l="1"/>
  <c r="F48" i="9"/>
  <c r="H38" i="9"/>
  <c r="C10" i="10"/>
  <c r="C6" i="10"/>
  <c r="C22" i="8"/>
  <c r="C16" i="8"/>
  <c r="C15" i="8"/>
  <c r="C14" i="8"/>
  <c r="F18" i="5"/>
  <c r="F5" i="9" l="1"/>
  <c r="G5" i="9" s="1"/>
  <c r="H5" i="9" s="1"/>
  <c r="I5" i="9" s="1"/>
  <c r="J5" i="9" s="1"/>
  <c r="K5" i="9" s="1"/>
  <c r="L5" i="9" s="1"/>
  <c r="M5" i="9" s="1"/>
  <c r="N5" i="9" s="1"/>
  <c r="O5" i="9" s="1"/>
  <c r="P5" i="9" s="1"/>
  <c r="Q5" i="9" s="1"/>
  <c r="R5" i="9" s="1"/>
  <c r="S5" i="9" s="1"/>
  <c r="C12" i="9"/>
  <c r="C48" i="9"/>
  <c r="C44" i="9"/>
  <c r="C42" i="9"/>
  <c r="C36" i="9"/>
  <c r="C11" i="9"/>
  <c r="F11" i="9" s="1"/>
  <c r="D7" i="12"/>
  <c r="D9" i="12" s="1"/>
  <c r="G47" i="9"/>
  <c r="D18" i="12"/>
  <c r="D20" i="12" s="1"/>
  <c r="C41" i="9"/>
  <c r="G2" i="9"/>
  <c r="H2" i="9" s="1"/>
  <c r="I2" i="9" s="1"/>
  <c r="J2" i="9" s="1"/>
  <c r="K2" i="9" s="1"/>
  <c r="L2" i="9" s="1"/>
  <c r="M2" i="9" s="1"/>
  <c r="N2" i="9" s="1"/>
  <c r="O2" i="9" s="1"/>
  <c r="P2" i="9" s="1"/>
  <c r="Q2" i="9" s="1"/>
  <c r="R2" i="9" s="1"/>
  <c r="S2" i="9" s="1"/>
  <c r="D36" i="12"/>
  <c r="C7" i="9" s="1"/>
  <c r="F7" i="9" s="1"/>
  <c r="F47" i="9" s="1"/>
  <c r="F18" i="9"/>
  <c r="Q12" i="9" l="1"/>
  <c r="J12" i="9"/>
  <c r="R12" i="9"/>
  <c r="F12" i="9"/>
  <c r="P12" i="9"/>
  <c r="O12" i="9"/>
  <c r="N12" i="9"/>
  <c r="H11" i="9"/>
  <c r="M12" i="9"/>
  <c r="L12" i="9"/>
  <c r="K12" i="9"/>
  <c r="H12" i="9"/>
  <c r="I12" i="9"/>
  <c r="M11" i="9"/>
  <c r="L11" i="9"/>
  <c r="Q11" i="9"/>
  <c r="N11" i="9"/>
  <c r="P11" i="9"/>
  <c r="O11" i="9"/>
  <c r="I11" i="9"/>
  <c r="K11" i="9"/>
  <c r="J11" i="9"/>
  <c r="R11" i="9"/>
  <c r="D8" i="12"/>
  <c r="C5" i="10"/>
  <c r="G9" i="11"/>
  <c r="G11" i="11" s="1"/>
  <c r="H5" i="11"/>
  <c r="I5" i="11" s="1"/>
  <c r="J5" i="11" s="1"/>
  <c r="K5" i="11" s="1"/>
  <c r="L5" i="11" s="1"/>
  <c r="M5" i="11" s="1"/>
  <c r="N5" i="11" s="1"/>
  <c r="O5" i="11" s="1"/>
  <c r="P5" i="11" s="1"/>
  <c r="Q5" i="11" s="1"/>
  <c r="R5" i="11" s="1"/>
  <c r="S5" i="11" s="1"/>
  <c r="T5" i="11" s="1"/>
  <c r="U5" i="11" s="1"/>
  <c r="V5" i="11" s="1"/>
  <c r="W5" i="11" s="1"/>
  <c r="X5" i="11" s="1"/>
  <c r="Y5" i="11" s="1"/>
  <c r="Z5" i="11" s="1"/>
  <c r="AA5" i="11" s="1"/>
  <c r="AB5" i="11" s="1"/>
  <c r="H2" i="11"/>
  <c r="I2" i="11" s="1"/>
  <c r="J2" i="11" s="1"/>
  <c r="K2" i="11" s="1"/>
  <c r="L2" i="11" s="1"/>
  <c r="M2" i="11" s="1"/>
  <c r="N2" i="11" s="1"/>
  <c r="O2" i="11" s="1"/>
  <c r="P2" i="11" s="1"/>
  <c r="Q2" i="11" s="1"/>
  <c r="R2" i="11" s="1"/>
  <c r="S2" i="11" s="1"/>
  <c r="T2" i="11" s="1"/>
  <c r="U2" i="11" s="1"/>
  <c r="V2" i="11" s="1"/>
  <c r="W2" i="11" s="1"/>
  <c r="X2" i="11" s="1"/>
  <c r="Y2" i="11" s="1"/>
  <c r="Z2" i="11" s="1"/>
  <c r="AA2" i="11" s="1"/>
  <c r="AB2" i="11" s="1"/>
  <c r="AC2" i="11" s="1"/>
  <c r="C8" i="10"/>
  <c r="I4" i="9"/>
  <c r="H9" i="8"/>
  <c r="I9" i="8"/>
  <c r="J9" i="8"/>
  <c r="K9" i="8"/>
  <c r="L9" i="8"/>
  <c r="M9" i="8"/>
  <c r="N9" i="8"/>
  <c r="O9" i="8"/>
  <c r="P9" i="8"/>
  <c r="Q9" i="8"/>
  <c r="R9" i="8"/>
  <c r="S9" i="8"/>
  <c r="T9" i="8"/>
  <c r="U9" i="8"/>
  <c r="V9" i="8"/>
  <c r="W9" i="8"/>
  <c r="X9" i="8"/>
  <c r="Y9" i="8"/>
  <c r="Z9" i="8"/>
  <c r="AA9" i="8"/>
  <c r="AB9" i="8"/>
  <c r="AC9" i="8"/>
  <c r="AD9" i="8"/>
  <c r="AE9" i="8"/>
  <c r="AF9" i="8"/>
  <c r="AG9" i="8"/>
  <c r="AH9" i="8"/>
  <c r="AI9" i="8"/>
  <c r="AJ9" i="8"/>
  <c r="AK9" i="8"/>
  <c r="AL9" i="8"/>
  <c r="AM9" i="8"/>
  <c r="AN9" i="8"/>
  <c r="AO9" i="8"/>
  <c r="AP9" i="8"/>
  <c r="AQ9" i="8"/>
  <c r="AR9" i="8"/>
  <c r="AS9" i="8"/>
  <c r="AT9" i="8"/>
  <c r="AU9" i="8"/>
  <c r="AV9" i="8"/>
  <c r="AW9" i="8"/>
  <c r="AX9" i="8"/>
  <c r="AY9" i="8"/>
  <c r="AZ9" i="8"/>
  <c r="BA9" i="8"/>
  <c r="BB9" i="8"/>
  <c r="BC9" i="8"/>
  <c r="BD9" i="8"/>
  <c r="BE9" i="8"/>
  <c r="BF9" i="8"/>
  <c r="BG9" i="8"/>
  <c r="BH9" i="8"/>
  <c r="BI9" i="8"/>
  <c r="BJ9" i="8"/>
  <c r="BK9" i="8"/>
  <c r="BL9" i="8"/>
  <c r="BM9" i="8"/>
  <c r="BN9" i="8"/>
  <c r="BO9" i="8"/>
  <c r="BP9" i="8"/>
  <c r="BQ9" i="8"/>
  <c r="BR9" i="8"/>
  <c r="BS9" i="8"/>
  <c r="BT9" i="8"/>
  <c r="BU9" i="8"/>
  <c r="BV9" i="8"/>
  <c r="BW9" i="8"/>
  <c r="BX9" i="8"/>
  <c r="BY9" i="8"/>
  <c r="BZ9" i="8"/>
  <c r="CA9" i="8"/>
  <c r="CB9" i="8"/>
  <c r="CC9" i="8"/>
  <c r="CD9" i="8"/>
  <c r="CE9" i="8"/>
  <c r="CF9" i="8"/>
  <c r="CG9" i="8"/>
  <c r="CH9" i="8"/>
  <c r="CI9" i="8"/>
  <c r="CJ9" i="8"/>
  <c r="CK9" i="8"/>
  <c r="CL9" i="8"/>
  <c r="CM9" i="8"/>
  <c r="CN9" i="8"/>
  <c r="CO9" i="8"/>
  <c r="CP9" i="8"/>
  <c r="CQ9" i="8"/>
  <c r="CR9" i="8"/>
  <c r="CS9" i="8"/>
  <c r="CT9" i="8"/>
  <c r="CU9" i="8"/>
  <c r="CV9" i="8"/>
  <c r="CW9" i="8"/>
  <c r="CX9" i="8"/>
  <c r="CY9" i="8"/>
  <c r="CZ9" i="8"/>
  <c r="DA9" i="8"/>
  <c r="DB9" i="8"/>
  <c r="DC9" i="8"/>
  <c r="DD9" i="8"/>
  <c r="DE9" i="8"/>
  <c r="DF9" i="8"/>
  <c r="DG9" i="8"/>
  <c r="DH9" i="8"/>
  <c r="DI9" i="8"/>
  <c r="DJ9" i="8"/>
  <c r="DK9" i="8"/>
  <c r="DL9" i="8"/>
  <c r="DM9" i="8"/>
  <c r="DN9" i="8"/>
  <c r="DO9" i="8"/>
  <c r="DP9" i="8"/>
  <c r="DQ9" i="8"/>
  <c r="DR9" i="8"/>
  <c r="DS9" i="8"/>
  <c r="DT9" i="8"/>
  <c r="DU9" i="8"/>
  <c r="DV9" i="8"/>
  <c r="DW9" i="8"/>
  <c r="DX9" i="8"/>
  <c r="DY9" i="8"/>
  <c r="DZ9" i="8"/>
  <c r="EA9" i="8"/>
  <c r="EB9" i="8"/>
  <c r="EC9" i="8"/>
  <c r="ED9" i="8"/>
  <c r="EE9" i="8"/>
  <c r="EF9" i="8"/>
  <c r="EG9" i="8"/>
  <c r="EH9" i="8"/>
  <c r="EI9" i="8"/>
  <c r="EJ9" i="8"/>
  <c r="EK9" i="8"/>
  <c r="EL9" i="8"/>
  <c r="EM9" i="8"/>
  <c r="EN9" i="8"/>
  <c r="EO9" i="8"/>
  <c r="EP9" i="8"/>
  <c r="EQ9" i="8"/>
  <c r="ER9" i="8"/>
  <c r="ES9" i="8"/>
  <c r="ET9" i="8"/>
  <c r="EU9" i="8"/>
  <c r="EV9" i="8"/>
  <c r="EW9" i="8"/>
  <c r="EX9" i="8"/>
  <c r="EY9" i="8"/>
  <c r="EZ9" i="8"/>
  <c r="FA9" i="8"/>
  <c r="FB9" i="8"/>
  <c r="FC9" i="8"/>
  <c r="FD9" i="8"/>
  <c r="FE9" i="8"/>
  <c r="FF9" i="8"/>
  <c r="FG9" i="8"/>
  <c r="FH9" i="8"/>
  <c r="FI9" i="8"/>
  <c r="FJ9" i="8"/>
  <c r="FK9" i="8"/>
  <c r="FL9" i="8"/>
  <c r="FM9" i="8"/>
  <c r="FN9" i="8"/>
  <c r="FO9" i="8"/>
  <c r="FP9" i="8"/>
  <c r="FQ9" i="8"/>
  <c r="FR9" i="8"/>
  <c r="FS9" i="8"/>
  <c r="FT9" i="8"/>
  <c r="FU9" i="8"/>
  <c r="FV9" i="8"/>
  <c r="FW9" i="8"/>
  <c r="FX9" i="8"/>
  <c r="FY9" i="8"/>
  <c r="FZ9" i="8"/>
  <c r="GA9" i="8"/>
  <c r="GB9" i="8"/>
  <c r="GC9" i="8"/>
  <c r="GD9" i="8"/>
  <c r="GE9" i="8"/>
  <c r="GF9" i="8"/>
  <c r="GG9" i="8"/>
  <c r="GH9" i="8"/>
  <c r="GI9" i="8"/>
  <c r="GJ9" i="8"/>
  <c r="GK9" i="8"/>
  <c r="GL9" i="8"/>
  <c r="GM9" i="8"/>
  <c r="GN9" i="8"/>
  <c r="GO9" i="8"/>
  <c r="GP9" i="8"/>
  <c r="GQ9" i="8"/>
  <c r="GR9" i="8"/>
  <c r="GS9" i="8"/>
  <c r="GT9" i="8"/>
  <c r="GU9" i="8"/>
  <c r="GV9" i="8"/>
  <c r="GW9" i="8"/>
  <c r="GX9" i="8"/>
  <c r="GY9" i="8"/>
  <c r="GZ9" i="8"/>
  <c r="HA9" i="8"/>
  <c r="HB9" i="8"/>
  <c r="HC9" i="8"/>
  <c r="HD9" i="8"/>
  <c r="HE9" i="8"/>
  <c r="HF9" i="8"/>
  <c r="HG9" i="8"/>
  <c r="HH9" i="8"/>
  <c r="HI9" i="8"/>
  <c r="HJ9" i="8"/>
  <c r="HK9" i="8"/>
  <c r="HL9" i="8"/>
  <c r="HM9" i="8"/>
  <c r="HN9" i="8"/>
  <c r="HO9" i="8"/>
  <c r="HP9" i="8"/>
  <c r="HQ9" i="8"/>
  <c r="HR9" i="8"/>
  <c r="HS9" i="8"/>
  <c r="HT9" i="8"/>
  <c r="HU9" i="8"/>
  <c r="HV9" i="8"/>
  <c r="HW9" i="8"/>
  <c r="HX9" i="8"/>
  <c r="HY9" i="8"/>
  <c r="HZ9" i="8"/>
  <c r="IA9" i="8"/>
  <c r="IB9" i="8"/>
  <c r="IC9" i="8"/>
  <c r="ID9" i="8"/>
  <c r="IE9" i="8"/>
  <c r="IF9" i="8"/>
  <c r="IG9" i="8"/>
  <c r="IH9" i="8"/>
  <c r="II9" i="8"/>
  <c r="IJ9" i="8"/>
  <c r="IK9" i="8"/>
  <c r="IL9" i="8"/>
  <c r="IM9" i="8"/>
  <c r="IN9" i="8"/>
  <c r="IO9" i="8"/>
  <c r="IP9" i="8"/>
  <c r="IQ9" i="8"/>
  <c r="IR9" i="8"/>
  <c r="IS9" i="8"/>
  <c r="IT9" i="8"/>
  <c r="IU9" i="8"/>
  <c r="IV9" i="8"/>
  <c r="IW9" i="8"/>
  <c r="IX9" i="8"/>
  <c r="IY9" i="8"/>
  <c r="IZ9" i="8"/>
  <c r="JA9" i="8"/>
  <c r="JB9" i="8"/>
  <c r="JC9" i="8"/>
  <c r="JD9" i="8"/>
  <c r="JE9" i="8"/>
  <c r="JF9" i="8"/>
  <c r="JG9" i="8"/>
  <c r="JH9" i="8"/>
  <c r="JI9" i="8"/>
  <c r="JJ9" i="8"/>
  <c r="JK9" i="8"/>
  <c r="JL9" i="8"/>
  <c r="JM9" i="8"/>
  <c r="JN9" i="8"/>
  <c r="JO9" i="8"/>
  <c r="JP9" i="8"/>
  <c r="JQ9" i="8"/>
  <c r="JR9" i="8"/>
  <c r="JS9" i="8"/>
  <c r="JT9" i="8"/>
  <c r="JU9" i="8"/>
  <c r="JV9" i="8"/>
  <c r="JW9" i="8"/>
  <c r="JX9" i="8"/>
  <c r="JY9" i="8"/>
  <c r="JZ9" i="8"/>
  <c r="KA9" i="8"/>
  <c r="KB9" i="8"/>
  <c r="KC9" i="8"/>
  <c r="KD9" i="8"/>
  <c r="KE9" i="8"/>
  <c r="KF9" i="8"/>
  <c r="KG9" i="8"/>
  <c r="KH9" i="8"/>
  <c r="KI9" i="8"/>
  <c r="KJ9" i="8"/>
  <c r="KK9" i="8"/>
  <c r="KL9" i="8"/>
  <c r="KM9" i="8"/>
  <c r="KN9" i="8"/>
  <c r="KO9" i="8"/>
  <c r="KP9" i="8"/>
  <c r="KQ9" i="8"/>
  <c r="KR9" i="8"/>
  <c r="KS9" i="8"/>
  <c r="KT9" i="8"/>
  <c r="KU9" i="8"/>
  <c r="KV9" i="8"/>
  <c r="KW9"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AI10" i="8"/>
  <c r="AJ10" i="8"/>
  <c r="AK10" i="8"/>
  <c r="AL10" i="8"/>
  <c r="AM10" i="8"/>
  <c r="AN10" i="8"/>
  <c r="AO10" i="8"/>
  <c r="AP10" i="8"/>
  <c r="AQ10" i="8"/>
  <c r="AR10" i="8"/>
  <c r="AS10" i="8"/>
  <c r="AT10" i="8"/>
  <c r="AU10" i="8"/>
  <c r="AV10" i="8"/>
  <c r="AW10" i="8"/>
  <c r="AX10" i="8"/>
  <c r="AY10" i="8"/>
  <c r="AZ10" i="8"/>
  <c r="BA10" i="8"/>
  <c r="BB10" i="8"/>
  <c r="BC10" i="8"/>
  <c r="BD10" i="8"/>
  <c r="BE10" i="8"/>
  <c r="BF10" i="8"/>
  <c r="BG10" i="8"/>
  <c r="BH10" i="8"/>
  <c r="BI10" i="8"/>
  <c r="BJ10" i="8"/>
  <c r="BK10" i="8"/>
  <c r="BL10" i="8"/>
  <c r="BM10" i="8"/>
  <c r="BN10" i="8"/>
  <c r="BO10" i="8"/>
  <c r="BP10" i="8"/>
  <c r="BQ10" i="8"/>
  <c r="BR10" i="8"/>
  <c r="BS10" i="8"/>
  <c r="BT10" i="8"/>
  <c r="BU10" i="8"/>
  <c r="BV10" i="8"/>
  <c r="BW10" i="8"/>
  <c r="BX10" i="8"/>
  <c r="BY10" i="8"/>
  <c r="BZ10" i="8"/>
  <c r="CA10" i="8"/>
  <c r="CB10" i="8"/>
  <c r="CC10" i="8"/>
  <c r="CD10" i="8"/>
  <c r="CE10" i="8"/>
  <c r="CF10" i="8"/>
  <c r="CG10" i="8"/>
  <c r="CH10" i="8"/>
  <c r="CI10" i="8"/>
  <c r="CJ10" i="8"/>
  <c r="CK10" i="8"/>
  <c r="CL10" i="8"/>
  <c r="CM10" i="8"/>
  <c r="CN10" i="8"/>
  <c r="CO10" i="8"/>
  <c r="CP10" i="8"/>
  <c r="CQ10" i="8"/>
  <c r="CR10" i="8"/>
  <c r="CS10" i="8"/>
  <c r="CT10" i="8"/>
  <c r="CU10" i="8"/>
  <c r="CV10" i="8"/>
  <c r="CW10" i="8"/>
  <c r="CX10" i="8"/>
  <c r="CY10" i="8"/>
  <c r="CZ10" i="8"/>
  <c r="DA10" i="8"/>
  <c r="DB10" i="8"/>
  <c r="DC10" i="8"/>
  <c r="DD10" i="8"/>
  <c r="DE10" i="8"/>
  <c r="DF10" i="8"/>
  <c r="DG10" i="8"/>
  <c r="DH10" i="8"/>
  <c r="DI10" i="8"/>
  <c r="DJ10" i="8"/>
  <c r="DK10" i="8"/>
  <c r="DL10" i="8"/>
  <c r="DM10" i="8"/>
  <c r="DN10" i="8"/>
  <c r="DO10" i="8"/>
  <c r="DP10" i="8"/>
  <c r="DQ10" i="8"/>
  <c r="DR10" i="8"/>
  <c r="DS10" i="8"/>
  <c r="DT10" i="8"/>
  <c r="DU10" i="8"/>
  <c r="DV10" i="8"/>
  <c r="DW10" i="8"/>
  <c r="DX10" i="8"/>
  <c r="DY10" i="8"/>
  <c r="DZ10" i="8"/>
  <c r="EA10" i="8"/>
  <c r="EB10" i="8"/>
  <c r="EC10" i="8"/>
  <c r="ED10" i="8"/>
  <c r="EE10" i="8"/>
  <c r="EF10" i="8"/>
  <c r="EG10" i="8"/>
  <c r="EH10" i="8"/>
  <c r="EI10" i="8"/>
  <c r="EJ10" i="8"/>
  <c r="EK10" i="8"/>
  <c r="EL10" i="8"/>
  <c r="EM10" i="8"/>
  <c r="EN10" i="8"/>
  <c r="EO10" i="8"/>
  <c r="EP10" i="8"/>
  <c r="EQ10" i="8"/>
  <c r="ER10" i="8"/>
  <c r="ES10" i="8"/>
  <c r="ET10" i="8"/>
  <c r="EU10" i="8"/>
  <c r="EV10" i="8"/>
  <c r="EW10" i="8"/>
  <c r="EX10" i="8"/>
  <c r="EY10" i="8"/>
  <c r="EZ10" i="8"/>
  <c r="FA10" i="8"/>
  <c r="FB10" i="8"/>
  <c r="FC10" i="8"/>
  <c r="FD10" i="8"/>
  <c r="FE10" i="8"/>
  <c r="FF10" i="8"/>
  <c r="FG10" i="8"/>
  <c r="FH10" i="8"/>
  <c r="FI10" i="8"/>
  <c r="FJ10" i="8"/>
  <c r="FK10" i="8"/>
  <c r="FL10" i="8"/>
  <c r="FM10" i="8"/>
  <c r="FN10" i="8"/>
  <c r="FO10" i="8"/>
  <c r="FP10" i="8"/>
  <c r="FQ10" i="8"/>
  <c r="FR10" i="8"/>
  <c r="FS10" i="8"/>
  <c r="FT10" i="8"/>
  <c r="FU10" i="8"/>
  <c r="FV10" i="8"/>
  <c r="FW10" i="8"/>
  <c r="FX10" i="8"/>
  <c r="FY10" i="8"/>
  <c r="FZ10" i="8"/>
  <c r="GA10" i="8"/>
  <c r="GB10" i="8"/>
  <c r="GC10" i="8"/>
  <c r="GD10" i="8"/>
  <c r="GE10" i="8"/>
  <c r="GF10" i="8"/>
  <c r="GG10" i="8"/>
  <c r="GH10" i="8"/>
  <c r="GI10" i="8"/>
  <c r="GJ10" i="8"/>
  <c r="GK10" i="8"/>
  <c r="GL10" i="8"/>
  <c r="GM10" i="8"/>
  <c r="GN10" i="8"/>
  <c r="GO10" i="8"/>
  <c r="GP10" i="8"/>
  <c r="GQ10" i="8"/>
  <c r="GR10" i="8"/>
  <c r="GS10" i="8"/>
  <c r="GT10" i="8"/>
  <c r="GU10" i="8"/>
  <c r="GV10" i="8"/>
  <c r="GW10" i="8"/>
  <c r="GX10" i="8"/>
  <c r="GY10" i="8"/>
  <c r="GZ10" i="8"/>
  <c r="HA10" i="8"/>
  <c r="HB10" i="8"/>
  <c r="HC10" i="8"/>
  <c r="HD10" i="8"/>
  <c r="HE10" i="8"/>
  <c r="HF10" i="8"/>
  <c r="HG10" i="8"/>
  <c r="HH10" i="8"/>
  <c r="HI10" i="8"/>
  <c r="HJ10" i="8"/>
  <c r="HK10" i="8"/>
  <c r="HL10" i="8"/>
  <c r="HM10" i="8"/>
  <c r="HN10" i="8"/>
  <c r="HO10" i="8"/>
  <c r="HP10" i="8"/>
  <c r="HQ10" i="8"/>
  <c r="HR10" i="8"/>
  <c r="HS10" i="8"/>
  <c r="HT10" i="8"/>
  <c r="HU10" i="8"/>
  <c r="HV10" i="8"/>
  <c r="HW10" i="8"/>
  <c r="HX10" i="8"/>
  <c r="HY10" i="8"/>
  <c r="HZ10" i="8"/>
  <c r="IA10" i="8"/>
  <c r="IB10" i="8"/>
  <c r="IC10" i="8"/>
  <c r="ID10" i="8"/>
  <c r="IE10" i="8"/>
  <c r="IF10" i="8"/>
  <c r="IG10" i="8"/>
  <c r="IH10" i="8"/>
  <c r="II10" i="8"/>
  <c r="IJ10" i="8"/>
  <c r="IK10" i="8"/>
  <c r="IL10" i="8"/>
  <c r="IM10" i="8"/>
  <c r="IN10" i="8"/>
  <c r="IO10" i="8"/>
  <c r="IP10" i="8"/>
  <c r="IQ10" i="8"/>
  <c r="IR10" i="8"/>
  <c r="IS10" i="8"/>
  <c r="IT10" i="8"/>
  <c r="IU10" i="8"/>
  <c r="IV10" i="8"/>
  <c r="IW10" i="8"/>
  <c r="IX10" i="8"/>
  <c r="IY10" i="8"/>
  <c r="IZ10" i="8"/>
  <c r="JA10" i="8"/>
  <c r="JB10" i="8"/>
  <c r="JC10" i="8"/>
  <c r="JD10" i="8"/>
  <c r="JE10" i="8"/>
  <c r="JF10" i="8"/>
  <c r="JG10" i="8"/>
  <c r="JH10" i="8"/>
  <c r="JI10" i="8"/>
  <c r="JJ10" i="8"/>
  <c r="JK10" i="8"/>
  <c r="JL10" i="8"/>
  <c r="JM10" i="8"/>
  <c r="JN10" i="8"/>
  <c r="JO10" i="8"/>
  <c r="JP10" i="8"/>
  <c r="JQ10" i="8"/>
  <c r="JR10" i="8"/>
  <c r="JS10" i="8"/>
  <c r="JT10" i="8"/>
  <c r="JU10" i="8"/>
  <c r="JV10" i="8"/>
  <c r="JW10" i="8"/>
  <c r="JX10" i="8"/>
  <c r="JY10" i="8"/>
  <c r="JZ10" i="8"/>
  <c r="KA10" i="8"/>
  <c r="KB10" i="8"/>
  <c r="KC10" i="8"/>
  <c r="KD10" i="8"/>
  <c r="KE10" i="8"/>
  <c r="KF10" i="8"/>
  <c r="KG10" i="8"/>
  <c r="KH10" i="8"/>
  <c r="KI10" i="8"/>
  <c r="KJ10" i="8"/>
  <c r="KK10" i="8"/>
  <c r="KL10" i="8"/>
  <c r="KM10" i="8"/>
  <c r="KN10" i="8"/>
  <c r="KO10" i="8"/>
  <c r="KP10" i="8"/>
  <c r="KQ10" i="8"/>
  <c r="KR10" i="8"/>
  <c r="KS10" i="8"/>
  <c r="KT10" i="8"/>
  <c r="KU10" i="8"/>
  <c r="KV10" i="8"/>
  <c r="KW10" i="8"/>
  <c r="G10" i="8"/>
  <c r="G20" i="8" s="1"/>
  <c r="H13" i="9" l="1"/>
  <c r="H15" i="9" s="1"/>
  <c r="J4" i="9"/>
  <c r="D10" i="12"/>
  <c r="G10" i="11"/>
  <c r="G12" i="11" s="1"/>
  <c r="G14" i="11" s="1"/>
  <c r="D12" i="12" l="1"/>
  <c r="D32" i="12"/>
  <c r="C18" i="9" s="1"/>
  <c r="K4" i="9"/>
  <c r="J14" i="11"/>
  <c r="K14" i="11"/>
  <c r="Q14" i="11"/>
  <c r="I14" i="11"/>
  <c r="S14" i="11"/>
  <c r="G16" i="11"/>
  <c r="M14" i="11"/>
  <c r="N14" i="11"/>
  <c r="O14" i="11"/>
  <c r="P14" i="11"/>
  <c r="R14" i="11"/>
  <c r="L14" i="11"/>
  <c r="D45" i="12"/>
  <c r="G9" i="8"/>
  <c r="P8" i="8"/>
  <c r="Q8" i="8"/>
  <c r="R8" i="8"/>
  <c r="S8" i="8"/>
  <c r="T8" i="8"/>
  <c r="U8" i="8"/>
  <c r="V8" i="8"/>
  <c r="W8" i="8"/>
  <c r="X8" i="8"/>
  <c r="Y8" i="8"/>
  <c r="Z8" i="8"/>
  <c r="AA8" i="8"/>
  <c r="AB8" i="8"/>
  <c r="AC8" i="8"/>
  <c r="AD8" i="8"/>
  <c r="AE8" i="8"/>
  <c r="AF8" i="8"/>
  <c r="AG8" i="8"/>
  <c r="AH8" i="8"/>
  <c r="AI8" i="8"/>
  <c r="AJ8" i="8"/>
  <c r="AK8" i="8"/>
  <c r="AL8" i="8"/>
  <c r="AM8" i="8"/>
  <c r="AN8" i="8"/>
  <c r="AO8" i="8"/>
  <c r="AP8" i="8"/>
  <c r="AQ8" i="8"/>
  <c r="AR8" i="8"/>
  <c r="AS8" i="8"/>
  <c r="AT8" i="8"/>
  <c r="AU8" i="8"/>
  <c r="AV8" i="8"/>
  <c r="AW8" i="8"/>
  <c r="AX8" i="8"/>
  <c r="AY8" i="8"/>
  <c r="AZ8" i="8"/>
  <c r="BA8" i="8"/>
  <c r="BB8" i="8"/>
  <c r="BC8" i="8"/>
  <c r="BD8" i="8"/>
  <c r="BE8" i="8"/>
  <c r="BF8" i="8"/>
  <c r="BG8" i="8"/>
  <c r="BH8" i="8"/>
  <c r="BI8" i="8"/>
  <c r="BJ8" i="8"/>
  <c r="BK8" i="8"/>
  <c r="BL8" i="8"/>
  <c r="BM8" i="8"/>
  <c r="BN8" i="8"/>
  <c r="BO8" i="8"/>
  <c r="BP8" i="8"/>
  <c r="BQ8" i="8"/>
  <c r="BR8" i="8"/>
  <c r="BS8" i="8"/>
  <c r="BT8" i="8"/>
  <c r="BU8" i="8"/>
  <c r="BV8" i="8"/>
  <c r="BW8" i="8"/>
  <c r="BX8" i="8"/>
  <c r="BY8" i="8"/>
  <c r="BZ8" i="8"/>
  <c r="CA8" i="8"/>
  <c r="CB8" i="8"/>
  <c r="CC8" i="8"/>
  <c r="CD8" i="8"/>
  <c r="CE8" i="8"/>
  <c r="CF8" i="8"/>
  <c r="CG8" i="8"/>
  <c r="CH8" i="8"/>
  <c r="CI8" i="8"/>
  <c r="CJ8" i="8"/>
  <c r="CK8" i="8"/>
  <c r="CL8" i="8"/>
  <c r="CM8" i="8"/>
  <c r="CN8" i="8"/>
  <c r="CO8" i="8"/>
  <c r="CP8" i="8"/>
  <c r="CQ8" i="8"/>
  <c r="CR8" i="8"/>
  <c r="CS8" i="8"/>
  <c r="CT8" i="8"/>
  <c r="CU8" i="8"/>
  <c r="CV8" i="8"/>
  <c r="CW8" i="8"/>
  <c r="CX8" i="8"/>
  <c r="CY8" i="8"/>
  <c r="CZ8" i="8"/>
  <c r="DA8" i="8"/>
  <c r="DB8" i="8"/>
  <c r="DC8" i="8"/>
  <c r="DD8" i="8"/>
  <c r="DE8" i="8"/>
  <c r="DF8" i="8"/>
  <c r="DG8" i="8"/>
  <c r="DH8" i="8"/>
  <c r="DI8" i="8"/>
  <c r="DJ8" i="8"/>
  <c r="DK8" i="8"/>
  <c r="DL8" i="8"/>
  <c r="DM8" i="8"/>
  <c r="DN8" i="8"/>
  <c r="DO8" i="8"/>
  <c r="DP8" i="8"/>
  <c r="DQ8" i="8"/>
  <c r="DR8" i="8"/>
  <c r="DS8" i="8"/>
  <c r="DT8" i="8"/>
  <c r="DU8" i="8"/>
  <c r="DV8" i="8"/>
  <c r="DW8" i="8"/>
  <c r="DX8" i="8"/>
  <c r="DY8" i="8"/>
  <c r="DZ8" i="8"/>
  <c r="EA8" i="8"/>
  <c r="EB8" i="8"/>
  <c r="EC8" i="8"/>
  <c r="ED8" i="8"/>
  <c r="EE8" i="8"/>
  <c r="EF8" i="8"/>
  <c r="EG8" i="8"/>
  <c r="EH8" i="8"/>
  <c r="EI8" i="8"/>
  <c r="EJ8" i="8"/>
  <c r="EK8" i="8"/>
  <c r="EL8" i="8"/>
  <c r="EM8" i="8"/>
  <c r="EN8" i="8"/>
  <c r="EO8" i="8"/>
  <c r="EP8" i="8"/>
  <c r="EQ8" i="8"/>
  <c r="ER8" i="8"/>
  <c r="ES8" i="8"/>
  <c r="ET8" i="8"/>
  <c r="EU8" i="8"/>
  <c r="EV8" i="8"/>
  <c r="EW8" i="8"/>
  <c r="EX8" i="8"/>
  <c r="EY8" i="8"/>
  <c r="EZ8" i="8"/>
  <c r="FA8" i="8"/>
  <c r="FB8" i="8"/>
  <c r="FC8" i="8"/>
  <c r="FD8" i="8"/>
  <c r="FE8" i="8"/>
  <c r="FF8" i="8"/>
  <c r="FG8" i="8"/>
  <c r="FH8" i="8"/>
  <c r="FI8" i="8"/>
  <c r="FJ8" i="8"/>
  <c r="FK8" i="8"/>
  <c r="FL8" i="8"/>
  <c r="FM8" i="8"/>
  <c r="FN8" i="8"/>
  <c r="FO8" i="8"/>
  <c r="FP8" i="8"/>
  <c r="FQ8" i="8"/>
  <c r="FR8" i="8"/>
  <c r="FS8" i="8"/>
  <c r="FT8" i="8"/>
  <c r="FU8" i="8"/>
  <c r="FV8" i="8"/>
  <c r="FW8" i="8"/>
  <c r="FX8" i="8"/>
  <c r="FY8" i="8"/>
  <c r="FZ8" i="8"/>
  <c r="GA8" i="8"/>
  <c r="GB8" i="8"/>
  <c r="GC8" i="8"/>
  <c r="GD8" i="8"/>
  <c r="GE8" i="8"/>
  <c r="GF8" i="8"/>
  <c r="GG8" i="8"/>
  <c r="GH8" i="8"/>
  <c r="GI8" i="8"/>
  <c r="GJ8" i="8"/>
  <c r="GK8" i="8"/>
  <c r="GL8" i="8"/>
  <c r="GM8" i="8"/>
  <c r="GN8" i="8"/>
  <c r="GO8" i="8"/>
  <c r="GP8" i="8"/>
  <c r="GQ8" i="8"/>
  <c r="GR8" i="8"/>
  <c r="GS8" i="8"/>
  <c r="GT8" i="8"/>
  <c r="GU8" i="8"/>
  <c r="GV8" i="8"/>
  <c r="GW8" i="8"/>
  <c r="GX8" i="8"/>
  <c r="GY8" i="8"/>
  <c r="GZ8" i="8"/>
  <c r="HA8" i="8"/>
  <c r="HB8" i="8"/>
  <c r="HC8" i="8"/>
  <c r="HD8" i="8"/>
  <c r="HE8" i="8"/>
  <c r="HF8" i="8"/>
  <c r="HG8" i="8"/>
  <c r="HH8" i="8"/>
  <c r="HI8" i="8"/>
  <c r="HJ8" i="8"/>
  <c r="HK8" i="8"/>
  <c r="HL8" i="8"/>
  <c r="HM8" i="8"/>
  <c r="HN8" i="8"/>
  <c r="HO8" i="8"/>
  <c r="HP8" i="8"/>
  <c r="HQ8" i="8"/>
  <c r="HR8" i="8"/>
  <c r="HS8" i="8"/>
  <c r="HT8" i="8"/>
  <c r="HU8" i="8"/>
  <c r="HV8" i="8"/>
  <c r="HW8" i="8"/>
  <c r="HX8" i="8"/>
  <c r="HY8" i="8"/>
  <c r="HZ8" i="8"/>
  <c r="IA8" i="8"/>
  <c r="IB8" i="8"/>
  <c r="IC8" i="8"/>
  <c r="ID8" i="8"/>
  <c r="IE8" i="8"/>
  <c r="IF8" i="8"/>
  <c r="IG8" i="8"/>
  <c r="IH8" i="8"/>
  <c r="II8" i="8"/>
  <c r="IJ8" i="8"/>
  <c r="IK8" i="8"/>
  <c r="IL8" i="8"/>
  <c r="IM8" i="8"/>
  <c r="IN8" i="8"/>
  <c r="IO8" i="8"/>
  <c r="IP8" i="8"/>
  <c r="IQ8" i="8"/>
  <c r="IR8" i="8"/>
  <c r="IS8" i="8"/>
  <c r="IT8" i="8"/>
  <c r="IU8" i="8"/>
  <c r="IV8" i="8"/>
  <c r="IW8" i="8"/>
  <c r="IX8" i="8"/>
  <c r="IY8" i="8"/>
  <c r="IZ8" i="8"/>
  <c r="JA8" i="8"/>
  <c r="JB8" i="8"/>
  <c r="JC8" i="8"/>
  <c r="JD8" i="8"/>
  <c r="JE8" i="8"/>
  <c r="JF8" i="8"/>
  <c r="JG8" i="8"/>
  <c r="JH8" i="8"/>
  <c r="JI8" i="8"/>
  <c r="JJ8" i="8"/>
  <c r="JK8" i="8"/>
  <c r="JL8" i="8"/>
  <c r="JM8" i="8"/>
  <c r="JN8" i="8"/>
  <c r="JO8" i="8"/>
  <c r="JP8" i="8"/>
  <c r="JQ8" i="8"/>
  <c r="JR8" i="8"/>
  <c r="JS8" i="8"/>
  <c r="JT8" i="8"/>
  <c r="JU8" i="8"/>
  <c r="JV8" i="8"/>
  <c r="JW8" i="8"/>
  <c r="JX8" i="8"/>
  <c r="JY8" i="8"/>
  <c r="JZ8" i="8"/>
  <c r="KA8" i="8"/>
  <c r="KB8" i="8"/>
  <c r="KC8" i="8"/>
  <c r="KD8" i="8"/>
  <c r="KE8" i="8"/>
  <c r="KF8" i="8"/>
  <c r="KG8" i="8"/>
  <c r="KH8" i="8"/>
  <c r="KI8" i="8"/>
  <c r="KJ8" i="8"/>
  <c r="KK8" i="8"/>
  <c r="KL8" i="8"/>
  <c r="KM8" i="8"/>
  <c r="KN8" i="8"/>
  <c r="KO8" i="8"/>
  <c r="KP8" i="8"/>
  <c r="KQ8" i="8"/>
  <c r="KR8" i="8"/>
  <c r="KS8" i="8"/>
  <c r="KT8" i="8"/>
  <c r="KU8" i="8"/>
  <c r="KV8" i="8"/>
  <c r="KW8" i="8"/>
  <c r="H8" i="8"/>
  <c r="I8" i="8"/>
  <c r="J8" i="8"/>
  <c r="K8" i="8"/>
  <c r="L8" i="8"/>
  <c r="M8" i="8"/>
  <c r="N8" i="8"/>
  <c r="O8" i="8"/>
  <c r="G8" i="8"/>
  <c r="G7" i="8"/>
  <c r="H7" i="8"/>
  <c r="I7" i="8"/>
  <c r="J7" i="8"/>
  <c r="K7" i="8"/>
  <c r="L7" i="8"/>
  <c r="M7" i="8"/>
  <c r="N7" i="8"/>
  <c r="O7" i="8"/>
  <c r="P7" i="8"/>
  <c r="Q7" i="8"/>
  <c r="R7" i="8"/>
  <c r="S7" i="8"/>
  <c r="T7" i="8"/>
  <c r="U7" i="8"/>
  <c r="V7" i="8"/>
  <c r="W7" i="8"/>
  <c r="X7" i="8"/>
  <c r="Y7" i="8"/>
  <c r="Z7" i="8"/>
  <c r="AA7" i="8"/>
  <c r="AB7" i="8"/>
  <c r="AC7" i="8"/>
  <c r="AD7" i="8"/>
  <c r="AE7" i="8"/>
  <c r="AF7" i="8"/>
  <c r="AG7" i="8"/>
  <c r="AH7" i="8"/>
  <c r="AI7" i="8"/>
  <c r="AJ7" i="8"/>
  <c r="AK7" i="8"/>
  <c r="AL7" i="8"/>
  <c r="AM7" i="8"/>
  <c r="AN7" i="8"/>
  <c r="AO7" i="8"/>
  <c r="AP7" i="8"/>
  <c r="AQ7" i="8"/>
  <c r="AR7" i="8"/>
  <c r="AS7" i="8"/>
  <c r="AT7" i="8"/>
  <c r="AU7" i="8"/>
  <c r="AV7" i="8"/>
  <c r="AW7" i="8"/>
  <c r="AX7" i="8"/>
  <c r="AY7" i="8"/>
  <c r="AZ7" i="8"/>
  <c r="BA7" i="8"/>
  <c r="BB7" i="8"/>
  <c r="BC7" i="8"/>
  <c r="BD7" i="8"/>
  <c r="BE7" i="8"/>
  <c r="BF7" i="8"/>
  <c r="BG7" i="8"/>
  <c r="BH7" i="8"/>
  <c r="BI7" i="8"/>
  <c r="BJ7" i="8"/>
  <c r="BK7" i="8"/>
  <c r="BL7" i="8"/>
  <c r="BM7" i="8"/>
  <c r="BN7" i="8"/>
  <c r="BO7" i="8"/>
  <c r="BP7" i="8"/>
  <c r="BQ7" i="8"/>
  <c r="BR7" i="8"/>
  <c r="BS7" i="8"/>
  <c r="BT7" i="8"/>
  <c r="BU7" i="8"/>
  <c r="BV7" i="8"/>
  <c r="BW7" i="8"/>
  <c r="BX7" i="8"/>
  <c r="BY7" i="8"/>
  <c r="BZ7" i="8"/>
  <c r="CA7" i="8"/>
  <c r="CB7" i="8"/>
  <c r="CC7" i="8"/>
  <c r="CD7" i="8"/>
  <c r="CE7" i="8"/>
  <c r="CF7" i="8"/>
  <c r="CG7" i="8"/>
  <c r="CH7" i="8"/>
  <c r="CI7" i="8"/>
  <c r="CJ7" i="8"/>
  <c r="CK7" i="8"/>
  <c r="CL7" i="8"/>
  <c r="CM7" i="8"/>
  <c r="CN7" i="8"/>
  <c r="CO7" i="8"/>
  <c r="CP7" i="8"/>
  <c r="CQ7" i="8"/>
  <c r="CR7" i="8"/>
  <c r="CS7" i="8"/>
  <c r="CT7" i="8"/>
  <c r="CU7" i="8"/>
  <c r="CV7" i="8"/>
  <c r="CW7" i="8"/>
  <c r="CX7" i="8"/>
  <c r="CY7" i="8"/>
  <c r="CZ7" i="8"/>
  <c r="DA7" i="8"/>
  <c r="DB7" i="8"/>
  <c r="DC7" i="8"/>
  <c r="DD7" i="8"/>
  <c r="DE7" i="8"/>
  <c r="DF7" i="8"/>
  <c r="DG7" i="8"/>
  <c r="DH7" i="8"/>
  <c r="DI7" i="8"/>
  <c r="DJ7" i="8"/>
  <c r="DK7" i="8"/>
  <c r="DL7" i="8"/>
  <c r="DM7" i="8"/>
  <c r="DN7" i="8"/>
  <c r="DO7" i="8"/>
  <c r="DP7" i="8"/>
  <c r="DQ7" i="8"/>
  <c r="DR7" i="8"/>
  <c r="DS7" i="8"/>
  <c r="DT7" i="8"/>
  <c r="DU7" i="8"/>
  <c r="DV7" i="8"/>
  <c r="DW7" i="8"/>
  <c r="DX7" i="8"/>
  <c r="DY7" i="8"/>
  <c r="DZ7" i="8"/>
  <c r="EA7" i="8"/>
  <c r="EB7" i="8"/>
  <c r="EC7" i="8"/>
  <c r="ED7" i="8"/>
  <c r="EE7" i="8"/>
  <c r="EF7" i="8"/>
  <c r="EG7" i="8"/>
  <c r="EH7" i="8"/>
  <c r="EI7" i="8"/>
  <c r="EJ7" i="8"/>
  <c r="EK7" i="8"/>
  <c r="EL7" i="8"/>
  <c r="EM7" i="8"/>
  <c r="EN7" i="8"/>
  <c r="EO7" i="8"/>
  <c r="EP7" i="8"/>
  <c r="EQ7" i="8"/>
  <c r="ER7" i="8"/>
  <c r="ES7" i="8"/>
  <c r="ET7" i="8"/>
  <c r="EU7" i="8"/>
  <c r="EV7" i="8"/>
  <c r="EW7" i="8"/>
  <c r="EX7" i="8"/>
  <c r="EY7" i="8"/>
  <c r="EZ7" i="8"/>
  <c r="FA7" i="8"/>
  <c r="FB7" i="8"/>
  <c r="FC7" i="8"/>
  <c r="FD7" i="8"/>
  <c r="FE7" i="8"/>
  <c r="FF7" i="8"/>
  <c r="FG7" i="8"/>
  <c r="FH7" i="8"/>
  <c r="FI7" i="8"/>
  <c r="FJ7" i="8"/>
  <c r="FK7" i="8"/>
  <c r="FL7" i="8"/>
  <c r="FM7" i="8"/>
  <c r="FN7" i="8"/>
  <c r="FO7" i="8"/>
  <c r="FP7" i="8"/>
  <c r="FQ7" i="8"/>
  <c r="FR7" i="8"/>
  <c r="FS7" i="8"/>
  <c r="FT7" i="8"/>
  <c r="FU7" i="8"/>
  <c r="FV7" i="8"/>
  <c r="FW7" i="8"/>
  <c r="FX7" i="8"/>
  <c r="FY7" i="8"/>
  <c r="FZ7" i="8"/>
  <c r="GA7" i="8"/>
  <c r="GB7" i="8"/>
  <c r="GC7" i="8"/>
  <c r="GD7" i="8"/>
  <c r="GE7" i="8"/>
  <c r="GF7" i="8"/>
  <c r="GG7" i="8"/>
  <c r="GH7" i="8"/>
  <c r="GI7" i="8"/>
  <c r="GJ7" i="8"/>
  <c r="GK7" i="8"/>
  <c r="GL7" i="8"/>
  <c r="GM7" i="8"/>
  <c r="GN7" i="8"/>
  <c r="GO7" i="8"/>
  <c r="GP7" i="8"/>
  <c r="GQ7" i="8"/>
  <c r="GR7" i="8"/>
  <c r="GS7" i="8"/>
  <c r="GT7" i="8"/>
  <c r="GU7" i="8"/>
  <c r="GV7" i="8"/>
  <c r="GW7" i="8"/>
  <c r="GX7" i="8"/>
  <c r="GY7" i="8"/>
  <c r="GZ7" i="8"/>
  <c r="HA7" i="8"/>
  <c r="HB7" i="8"/>
  <c r="HC7" i="8"/>
  <c r="HD7" i="8"/>
  <c r="HE7" i="8"/>
  <c r="HF7" i="8"/>
  <c r="HG7" i="8"/>
  <c r="HH7" i="8"/>
  <c r="HI7" i="8"/>
  <c r="HJ7" i="8"/>
  <c r="HK7" i="8"/>
  <c r="HL7" i="8"/>
  <c r="HM7" i="8"/>
  <c r="HN7" i="8"/>
  <c r="HO7" i="8"/>
  <c r="HP7" i="8"/>
  <c r="HQ7" i="8"/>
  <c r="HR7" i="8"/>
  <c r="HS7" i="8"/>
  <c r="HT7" i="8"/>
  <c r="HU7" i="8"/>
  <c r="HV7" i="8"/>
  <c r="HW7" i="8"/>
  <c r="HX7" i="8"/>
  <c r="HY7" i="8"/>
  <c r="HZ7" i="8"/>
  <c r="IA7" i="8"/>
  <c r="IB7" i="8"/>
  <c r="IC7" i="8"/>
  <c r="ID7" i="8"/>
  <c r="IE7" i="8"/>
  <c r="IF7" i="8"/>
  <c r="IG7" i="8"/>
  <c r="IH7" i="8"/>
  <c r="II7" i="8"/>
  <c r="IJ7" i="8"/>
  <c r="IK7" i="8"/>
  <c r="IL7" i="8"/>
  <c r="IM7" i="8"/>
  <c r="IN7" i="8"/>
  <c r="IO7" i="8"/>
  <c r="IP7" i="8"/>
  <c r="IQ7" i="8"/>
  <c r="IR7" i="8"/>
  <c r="IS7" i="8"/>
  <c r="IT7" i="8"/>
  <c r="IU7" i="8"/>
  <c r="IV7" i="8"/>
  <c r="IW7" i="8"/>
  <c r="IX7" i="8"/>
  <c r="IY7" i="8"/>
  <c r="IZ7" i="8"/>
  <c r="JA7" i="8"/>
  <c r="JB7" i="8"/>
  <c r="JC7" i="8"/>
  <c r="JD7" i="8"/>
  <c r="JE7" i="8"/>
  <c r="JF7" i="8"/>
  <c r="JG7" i="8"/>
  <c r="JH7" i="8"/>
  <c r="JI7" i="8"/>
  <c r="JJ7" i="8"/>
  <c r="JK7" i="8"/>
  <c r="JL7" i="8"/>
  <c r="JM7" i="8"/>
  <c r="JN7" i="8"/>
  <c r="JO7" i="8"/>
  <c r="JP7" i="8"/>
  <c r="JQ7" i="8"/>
  <c r="JR7" i="8"/>
  <c r="JS7" i="8"/>
  <c r="JT7" i="8"/>
  <c r="JU7" i="8"/>
  <c r="JV7" i="8"/>
  <c r="JW7" i="8"/>
  <c r="JX7" i="8"/>
  <c r="JY7" i="8"/>
  <c r="JZ7" i="8"/>
  <c r="KA7" i="8"/>
  <c r="KB7" i="8"/>
  <c r="KC7" i="8"/>
  <c r="KD7" i="8"/>
  <c r="KE7" i="8"/>
  <c r="KF7" i="8"/>
  <c r="KG7" i="8"/>
  <c r="KH7" i="8"/>
  <c r="KI7" i="8"/>
  <c r="KJ7" i="8"/>
  <c r="KK7" i="8"/>
  <c r="KL7" i="8"/>
  <c r="KM7" i="8"/>
  <c r="KN7" i="8"/>
  <c r="KO7" i="8"/>
  <c r="KP7" i="8"/>
  <c r="KQ7" i="8"/>
  <c r="KR7" i="8"/>
  <c r="KS7" i="8"/>
  <c r="KT7" i="8"/>
  <c r="KU7" i="8"/>
  <c r="KV7" i="8"/>
  <c r="KW7" i="8"/>
  <c r="H6" i="8"/>
  <c r="I6" i="8"/>
  <c r="J6" i="8"/>
  <c r="K6" i="8"/>
  <c r="L6" i="8"/>
  <c r="M6" i="8"/>
  <c r="N6" i="8"/>
  <c r="O6" i="8"/>
  <c r="P6" i="8"/>
  <c r="Q6" i="8"/>
  <c r="R6" i="8"/>
  <c r="S6" i="8"/>
  <c r="T6" i="8"/>
  <c r="U6" i="8"/>
  <c r="V6" i="8"/>
  <c r="W6" i="8"/>
  <c r="X6" i="8"/>
  <c r="Y6" i="8"/>
  <c r="Z6" i="8"/>
  <c r="AA6" i="8"/>
  <c r="AB6" i="8"/>
  <c r="AC6" i="8"/>
  <c r="AD6" i="8"/>
  <c r="AE6" i="8"/>
  <c r="AF6" i="8"/>
  <c r="AG6" i="8"/>
  <c r="AH6" i="8"/>
  <c r="AI6" i="8"/>
  <c r="AJ6" i="8"/>
  <c r="AK6" i="8"/>
  <c r="AL6" i="8"/>
  <c r="AM6" i="8"/>
  <c r="AN6" i="8"/>
  <c r="AO6" i="8"/>
  <c r="AP6" i="8"/>
  <c r="AQ6" i="8"/>
  <c r="AR6" i="8"/>
  <c r="AS6" i="8"/>
  <c r="AT6" i="8"/>
  <c r="AU6" i="8"/>
  <c r="AV6" i="8"/>
  <c r="AW6" i="8"/>
  <c r="AX6" i="8"/>
  <c r="AY6" i="8"/>
  <c r="AZ6" i="8"/>
  <c r="BA6" i="8"/>
  <c r="BB6" i="8"/>
  <c r="BC6" i="8"/>
  <c r="BD6" i="8"/>
  <c r="BE6" i="8"/>
  <c r="BF6" i="8"/>
  <c r="BG6" i="8"/>
  <c r="BH6" i="8"/>
  <c r="BI6" i="8"/>
  <c r="BJ6" i="8"/>
  <c r="BK6" i="8"/>
  <c r="BL6" i="8"/>
  <c r="BM6" i="8"/>
  <c r="BN6" i="8"/>
  <c r="BO6" i="8"/>
  <c r="BP6" i="8"/>
  <c r="BQ6" i="8"/>
  <c r="BR6" i="8"/>
  <c r="BS6" i="8"/>
  <c r="BT6" i="8"/>
  <c r="BU6" i="8"/>
  <c r="BV6" i="8"/>
  <c r="BW6" i="8"/>
  <c r="BX6" i="8"/>
  <c r="BY6" i="8"/>
  <c r="BZ6" i="8"/>
  <c r="CA6" i="8"/>
  <c r="CB6" i="8"/>
  <c r="CC6" i="8"/>
  <c r="CD6" i="8"/>
  <c r="CE6" i="8"/>
  <c r="CF6" i="8"/>
  <c r="CG6" i="8"/>
  <c r="CH6" i="8"/>
  <c r="CI6" i="8"/>
  <c r="CJ6" i="8"/>
  <c r="CK6" i="8"/>
  <c r="CL6" i="8"/>
  <c r="CM6" i="8"/>
  <c r="CN6" i="8"/>
  <c r="CO6" i="8"/>
  <c r="CP6" i="8"/>
  <c r="CQ6" i="8"/>
  <c r="CR6" i="8"/>
  <c r="CS6" i="8"/>
  <c r="CT6" i="8"/>
  <c r="CU6" i="8"/>
  <c r="CV6" i="8"/>
  <c r="CW6" i="8"/>
  <c r="CX6" i="8"/>
  <c r="CY6" i="8"/>
  <c r="CZ6" i="8"/>
  <c r="DA6" i="8"/>
  <c r="DB6" i="8"/>
  <c r="DC6" i="8"/>
  <c r="DD6" i="8"/>
  <c r="DE6" i="8"/>
  <c r="DF6" i="8"/>
  <c r="DG6" i="8"/>
  <c r="DH6" i="8"/>
  <c r="DI6" i="8"/>
  <c r="DJ6" i="8"/>
  <c r="DK6" i="8"/>
  <c r="DL6" i="8"/>
  <c r="DM6" i="8"/>
  <c r="DN6" i="8"/>
  <c r="DO6" i="8"/>
  <c r="DP6" i="8"/>
  <c r="DQ6" i="8"/>
  <c r="DR6" i="8"/>
  <c r="DS6" i="8"/>
  <c r="DT6" i="8"/>
  <c r="DU6" i="8"/>
  <c r="DV6" i="8"/>
  <c r="DW6" i="8"/>
  <c r="DX6" i="8"/>
  <c r="DY6" i="8"/>
  <c r="DZ6" i="8"/>
  <c r="EA6" i="8"/>
  <c r="EB6" i="8"/>
  <c r="EC6" i="8"/>
  <c r="ED6" i="8"/>
  <c r="EE6" i="8"/>
  <c r="EF6" i="8"/>
  <c r="EG6" i="8"/>
  <c r="EH6" i="8"/>
  <c r="EI6" i="8"/>
  <c r="EJ6" i="8"/>
  <c r="EK6" i="8"/>
  <c r="EL6" i="8"/>
  <c r="EM6" i="8"/>
  <c r="EN6" i="8"/>
  <c r="EO6" i="8"/>
  <c r="EP6" i="8"/>
  <c r="EQ6" i="8"/>
  <c r="ER6" i="8"/>
  <c r="ES6" i="8"/>
  <c r="ET6" i="8"/>
  <c r="EU6" i="8"/>
  <c r="EV6" i="8"/>
  <c r="EW6" i="8"/>
  <c r="EX6" i="8"/>
  <c r="EY6" i="8"/>
  <c r="EZ6" i="8"/>
  <c r="FA6" i="8"/>
  <c r="FB6" i="8"/>
  <c r="FC6" i="8"/>
  <c r="FD6" i="8"/>
  <c r="FE6" i="8"/>
  <c r="FF6" i="8"/>
  <c r="FG6" i="8"/>
  <c r="FH6" i="8"/>
  <c r="FI6" i="8"/>
  <c r="FJ6" i="8"/>
  <c r="FK6" i="8"/>
  <c r="FL6" i="8"/>
  <c r="FM6" i="8"/>
  <c r="FN6" i="8"/>
  <c r="FO6" i="8"/>
  <c r="FP6" i="8"/>
  <c r="FQ6" i="8"/>
  <c r="FR6" i="8"/>
  <c r="FS6" i="8"/>
  <c r="FT6" i="8"/>
  <c r="FU6" i="8"/>
  <c r="FV6" i="8"/>
  <c r="FW6" i="8"/>
  <c r="FX6" i="8"/>
  <c r="FY6" i="8"/>
  <c r="FZ6" i="8"/>
  <c r="GA6" i="8"/>
  <c r="GB6" i="8"/>
  <c r="GC6" i="8"/>
  <c r="GD6" i="8"/>
  <c r="GE6" i="8"/>
  <c r="GF6" i="8"/>
  <c r="GG6" i="8"/>
  <c r="GH6" i="8"/>
  <c r="GI6" i="8"/>
  <c r="GJ6" i="8"/>
  <c r="GK6" i="8"/>
  <c r="GL6" i="8"/>
  <c r="GM6" i="8"/>
  <c r="GN6" i="8"/>
  <c r="GO6" i="8"/>
  <c r="GP6" i="8"/>
  <c r="GQ6" i="8"/>
  <c r="GR6" i="8"/>
  <c r="GS6" i="8"/>
  <c r="GT6" i="8"/>
  <c r="GU6" i="8"/>
  <c r="GV6" i="8"/>
  <c r="GW6" i="8"/>
  <c r="GX6" i="8"/>
  <c r="GY6" i="8"/>
  <c r="GZ6" i="8"/>
  <c r="HA6" i="8"/>
  <c r="HB6" i="8"/>
  <c r="HC6" i="8"/>
  <c r="HD6" i="8"/>
  <c r="HE6" i="8"/>
  <c r="HF6" i="8"/>
  <c r="HG6" i="8"/>
  <c r="HH6" i="8"/>
  <c r="HI6" i="8"/>
  <c r="HJ6" i="8"/>
  <c r="HK6" i="8"/>
  <c r="HL6" i="8"/>
  <c r="HM6" i="8"/>
  <c r="HN6" i="8"/>
  <c r="HO6" i="8"/>
  <c r="HP6" i="8"/>
  <c r="HQ6" i="8"/>
  <c r="HR6" i="8"/>
  <c r="HS6" i="8"/>
  <c r="HT6" i="8"/>
  <c r="HU6" i="8"/>
  <c r="HV6" i="8"/>
  <c r="HW6" i="8"/>
  <c r="HX6" i="8"/>
  <c r="HY6" i="8"/>
  <c r="HZ6" i="8"/>
  <c r="IA6" i="8"/>
  <c r="IB6" i="8"/>
  <c r="IC6" i="8"/>
  <c r="ID6" i="8"/>
  <c r="IE6" i="8"/>
  <c r="IF6" i="8"/>
  <c r="IG6" i="8"/>
  <c r="IH6" i="8"/>
  <c r="II6" i="8"/>
  <c r="IJ6" i="8"/>
  <c r="IK6" i="8"/>
  <c r="IL6" i="8"/>
  <c r="IM6" i="8"/>
  <c r="IN6" i="8"/>
  <c r="IO6" i="8"/>
  <c r="IP6" i="8"/>
  <c r="IQ6" i="8"/>
  <c r="IR6" i="8"/>
  <c r="IS6" i="8"/>
  <c r="IT6" i="8"/>
  <c r="IU6" i="8"/>
  <c r="IV6" i="8"/>
  <c r="IW6" i="8"/>
  <c r="IX6" i="8"/>
  <c r="IY6" i="8"/>
  <c r="IZ6" i="8"/>
  <c r="JA6" i="8"/>
  <c r="JB6" i="8"/>
  <c r="JC6" i="8"/>
  <c r="JD6" i="8"/>
  <c r="JE6" i="8"/>
  <c r="JF6" i="8"/>
  <c r="JG6" i="8"/>
  <c r="JH6" i="8"/>
  <c r="JI6" i="8"/>
  <c r="JJ6" i="8"/>
  <c r="JK6" i="8"/>
  <c r="JL6" i="8"/>
  <c r="JM6" i="8"/>
  <c r="JN6" i="8"/>
  <c r="JO6" i="8"/>
  <c r="JP6" i="8"/>
  <c r="JQ6" i="8"/>
  <c r="JR6" i="8"/>
  <c r="JS6" i="8"/>
  <c r="JT6" i="8"/>
  <c r="JU6" i="8"/>
  <c r="JV6" i="8"/>
  <c r="JW6" i="8"/>
  <c r="JX6" i="8"/>
  <c r="JY6" i="8"/>
  <c r="JZ6" i="8"/>
  <c r="KA6" i="8"/>
  <c r="KB6" i="8"/>
  <c r="KC6" i="8"/>
  <c r="KD6" i="8"/>
  <c r="KE6" i="8"/>
  <c r="KF6" i="8"/>
  <c r="KG6" i="8"/>
  <c r="KH6" i="8"/>
  <c r="KI6" i="8"/>
  <c r="KJ6" i="8"/>
  <c r="KK6" i="8"/>
  <c r="KL6" i="8"/>
  <c r="KM6" i="8"/>
  <c r="KN6" i="8"/>
  <c r="KO6" i="8"/>
  <c r="KP6" i="8"/>
  <c r="KQ6" i="8"/>
  <c r="KR6" i="8"/>
  <c r="KS6" i="8"/>
  <c r="KT6" i="8"/>
  <c r="KU6" i="8"/>
  <c r="KV6" i="8"/>
  <c r="KW6" i="8"/>
  <c r="G6" i="8"/>
  <c r="D6" i="5"/>
  <c r="G6" i="5"/>
  <c r="D7" i="5"/>
  <c r="G7" i="5"/>
  <c r="C8" i="5"/>
  <c r="E8" i="5"/>
  <c r="F8" i="5"/>
  <c r="G8" i="5" s="1"/>
  <c r="D18" i="5"/>
  <c r="G18" i="5"/>
  <c r="H18" i="5" s="1"/>
  <c r="D19" i="5"/>
  <c r="F19" i="5"/>
  <c r="G19" i="5" s="1"/>
  <c r="C20" i="5"/>
  <c r="E20" i="5"/>
  <c r="F20" i="5" l="1"/>
  <c r="G20" i="5" s="1"/>
  <c r="D8" i="5"/>
  <c r="C13" i="5" s="1"/>
  <c r="D20" i="5"/>
  <c r="L4" i="9"/>
  <c r="N15" i="11"/>
  <c r="N16" i="11" s="1"/>
  <c r="P15" i="11"/>
  <c r="P16" i="11" s="1"/>
  <c r="O15" i="11"/>
  <c r="O16" i="11"/>
  <c r="S15" i="11"/>
  <c r="S16" i="11" s="1"/>
  <c r="Q15" i="11"/>
  <c r="Q16" i="11" s="1"/>
  <c r="I15" i="11"/>
  <c r="I16" i="11"/>
  <c r="L15" i="11"/>
  <c r="L16" i="11" s="1"/>
  <c r="K15" i="11"/>
  <c r="K16" i="11"/>
  <c r="M15" i="11"/>
  <c r="M16" i="11" s="1"/>
  <c r="R15" i="11"/>
  <c r="R16" i="11" s="1"/>
  <c r="J15" i="11"/>
  <c r="J16" i="11" s="1"/>
  <c r="E9" i="8"/>
  <c r="EM16" i="8" s="1"/>
  <c r="E7" i="8"/>
  <c r="AS14" i="8" s="1"/>
  <c r="BK15" i="8"/>
  <c r="E8" i="8"/>
  <c r="BY15" i="8" s="1"/>
  <c r="EL15" i="8"/>
  <c r="JW16" i="8"/>
  <c r="E6" i="8"/>
  <c r="DL14" i="8"/>
  <c r="EQ14" i="8"/>
  <c r="EX15" i="8"/>
  <c r="BV14" i="8"/>
  <c r="JD16" i="8"/>
  <c r="IN16" i="8"/>
  <c r="IF16" i="8"/>
  <c r="CB16" i="8"/>
  <c r="BT16" i="8"/>
  <c r="H16" i="8"/>
  <c r="DH14" i="8"/>
  <c r="AD16" i="8"/>
  <c r="JY16" i="8"/>
  <c r="HM16" i="8"/>
  <c r="HE16" i="8"/>
  <c r="GO16" i="8"/>
  <c r="DM16" i="8"/>
  <c r="AS16" i="8"/>
  <c r="AC16" i="8"/>
  <c r="IJ16" i="8"/>
  <c r="IB16" i="8"/>
  <c r="ER16" i="8"/>
  <c r="EJ16" i="8"/>
  <c r="BP16" i="8"/>
  <c r="BH16" i="8"/>
  <c r="AR16" i="8"/>
  <c r="BA15" i="8"/>
  <c r="AS15" i="8"/>
  <c r="AC15" i="8"/>
  <c r="KU16" i="8"/>
  <c r="HC16" i="8"/>
  <c r="GM16" i="8"/>
  <c r="EA16" i="8"/>
  <c r="DS16" i="8"/>
  <c r="AQ16" i="8"/>
  <c r="AI16" i="8"/>
  <c r="FJ16" i="8"/>
  <c r="HA16" i="8"/>
  <c r="JE16" i="8"/>
  <c r="BR16" i="8"/>
  <c r="FM16" i="8"/>
  <c r="AT16" i="8"/>
  <c r="FR16" i="8"/>
  <c r="GH16" i="8"/>
  <c r="AR15" i="8"/>
  <c r="KT16" i="8"/>
  <c r="HJ16" i="8"/>
  <c r="GT16" i="8"/>
  <c r="DZ16" i="8"/>
  <c r="DJ16" i="8"/>
  <c r="AX16" i="8"/>
  <c r="AP16" i="8"/>
  <c r="AH16" i="8"/>
  <c r="BW14" i="8"/>
  <c r="JM16" i="8"/>
  <c r="IW16" i="8"/>
  <c r="HQ16" i="8"/>
  <c r="GK16" i="8"/>
  <c r="HF16" i="8"/>
  <c r="FZ16" i="8"/>
  <c r="DN16" i="8"/>
  <c r="M4" i="9" l="1"/>
  <c r="F13" i="9"/>
  <c r="F15" i="9" s="1"/>
  <c r="CM14" i="8"/>
  <c r="EH16" i="8"/>
  <c r="CK16" i="8"/>
  <c r="AA16" i="8"/>
  <c r="HS16" i="8"/>
  <c r="EB16" i="8"/>
  <c r="BA16" i="8"/>
  <c r="KO16" i="8"/>
  <c r="CR16" i="8"/>
  <c r="EX14" i="8"/>
  <c r="HU15" i="8"/>
  <c r="IA14" i="8"/>
  <c r="FD16" i="8"/>
  <c r="IX14" i="8"/>
  <c r="IY14" i="8"/>
  <c r="DU16" i="8"/>
  <c r="P14" i="8"/>
  <c r="FL16" i="8"/>
  <c r="HR16" i="8"/>
  <c r="DI16" i="8"/>
  <c r="DC16" i="8"/>
  <c r="HL16" i="8"/>
  <c r="EC16" i="8"/>
  <c r="X14" i="8"/>
  <c r="FT16" i="8"/>
  <c r="IP15" i="8"/>
  <c r="FR14" i="8"/>
  <c r="Q16" i="8"/>
  <c r="EX16" i="8"/>
  <c r="FU16" i="8"/>
  <c r="EG16" i="8"/>
  <c r="IA16" i="8"/>
  <c r="IZ16" i="8"/>
  <c r="IC16" i="8"/>
  <c r="CZ16" i="8"/>
  <c r="GV16" i="8"/>
  <c r="JR16" i="8"/>
  <c r="BU16" i="8"/>
  <c r="BV16" i="8"/>
  <c r="FF16" i="8"/>
  <c r="IH16" i="8"/>
  <c r="ED16" i="8"/>
  <c r="BE16" i="8"/>
  <c r="ID16" i="8"/>
  <c r="CP16" i="8"/>
  <c r="BO16" i="8"/>
  <c r="EY16" i="8"/>
  <c r="II16" i="8"/>
  <c r="KS16" i="8"/>
  <c r="CF16" i="8"/>
  <c r="FP16" i="8"/>
  <c r="JP16" i="8"/>
  <c r="BQ16" i="8"/>
  <c r="FA16" i="8"/>
  <c r="IK16" i="8"/>
  <c r="CX16" i="8"/>
  <c r="AF16" i="8"/>
  <c r="DH16" i="8"/>
  <c r="GR16" i="8"/>
  <c r="KB16" i="8"/>
  <c r="JH16" i="8"/>
  <c r="BM16" i="8"/>
  <c r="EO16" i="8"/>
  <c r="KK16" i="8"/>
  <c r="CL16" i="8"/>
  <c r="FN16" i="8"/>
  <c r="IX16" i="8"/>
  <c r="BJ16" i="8"/>
  <c r="IT16" i="8"/>
  <c r="EW16" i="8"/>
  <c r="AL16" i="8"/>
  <c r="CE16" i="8"/>
  <c r="FG16" i="8"/>
  <c r="IY16" i="8"/>
  <c r="L16" i="8"/>
  <c r="CV16" i="8"/>
  <c r="GF16" i="8"/>
  <c r="KF16" i="8"/>
  <c r="CG16" i="8"/>
  <c r="FQ16" i="8"/>
  <c r="IS16" i="8"/>
  <c r="GX16" i="8"/>
  <c r="AN16" i="8"/>
  <c r="DP16" i="8"/>
  <c r="GZ16" i="8"/>
  <c r="KJ16" i="8"/>
  <c r="KD16" i="8"/>
  <c r="KV16" i="8"/>
  <c r="HZ16" i="8"/>
  <c r="JU16" i="8"/>
  <c r="EQ16" i="8"/>
  <c r="FH16" i="8"/>
  <c r="ES16" i="8"/>
  <c r="P16" i="8"/>
  <c r="V16" i="8"/>
  <c r="CS16" i="8"/>
  <c r="GS16" i="8"/>
  <c r="J16" i="8"/>
  <c r="CT16" i="8"/>
  <c r="FV16" i="8"/>
  <c r="JF16" i="8"/>
  <c r="AW16" i="8"/>
  <c r="IG16" i="8"/>
  <c r="DF16" i="8"/>
  <c r="I16" i="8"/>
  <c r="CM16" i="8"/>
  <c r="FO16" i="8"/>
  <c r="JG16" i="8"/>
  <c r="T16" i="8"/>
  <c r="DD16" i="8"/>
  <c r="GN16" i="8"/>
  <c r="KN16" i="8"/>
  <c r="CO16" i="8"/>
  <c r="FY16" i="8"/>
  <c r="JA16" i="8"/>
  <c r="HV16" i="8"/>
  <c r="AV16" i="8"/>
  <c r="EF16" i="8"/>
  <c r="HP16" i="8"/>
  <c r="KR16" i="8"/>
  <c r="KL16" i="8"/>
  <c r="IL16" i="8"/>
  <c r="BN16" i="8"/>
  <c r="EL16" i="8"/>
  <c r="EL17" i="8" s="1"/>
  <c r="EL21" i="8" s="1"/>
  <c r="BG16" i="8"/>
  <c r="BX16" i="8"/>
  <c r="BI16" i="8"/>
  <c r="BZ16" i="8"/>
  <c r="GB16" i="8"/>
  <c r="JL16" i="8"/>
  <c r="CH16" i="8"/>
  <c r="FE16" i="8"/>
  <c r="IO16" i="8"/>
  <c r="Z16" i="8"/>
  <c r="DB16" i="8"/>
  <c r="GL16" i="8"/>
  <c r="JV16" i="8"/>
  <c r="HI16" i="8"/>
  <c r="GP16" i="8"/>
  <c r="KH16" i="8"/>
  <c r="S16" i="8"/>
  <c r="CU16" i="8"/>
  <c r="GE16" i="8"/>
  <c r="KM16" i="8"/>
  <c r="AJ16" i="8"/>
  <c r="DT16" i="8"/>
  <c r="HD16" i="8"/>
  <c r="U16" i="8"/>
  <c r="DE16" i="8"/>
  <c r="GG16" i="8"/>
  <c r="JQ16" i="8"/>
  <c r="BD16" i="8"/>
  <c r="EN16" i="8"/>
  <c r="HX16" i="8"/>
  <c r="EB15" i="8"/>
  <c r="HT14" i="8"/>
  <c r="EJ15" i="8"/>
  <c r="DN15" i="8"/>
  <c r="BC15" i="8"/>
  <c r="IL15" i="8"/>
  <c r="I15" i="8"/>
  <c r="JJ15" i="8"/>
  <c r="JJ16" i="8"/>
  <c r="AT14" i="8"/>
  <c r="FN14" i="8"/>
  <c r="ER14" i="8"/>
  <c r="FD14" i="8"/>
  <c r="FV14" i="8"/>
  <c r="KU15" i="8"/>
  <c r="ER15" i="8"/>
  <c r="AK14" i="8"/>
  <c r="AL15" i="8"/>
  <c r="KH15" i="8"/>
  <c r="BZ14" i="8"/>
  <c r="HV14" i="8"/>
  <c r="JX14" i="8"/>
  <c r="EY14" i="8"/>
  <c r="KE14" i="8"/>
  <c r="AB15" i="8"/>
  <c r="BD14" i="8"/>
  <c r="GZ14" i="8"/>
  <c r="L15" i="8"/>
  <c r="DJ14" i="8"/>
  <c r="GT14" i="8"/>
  <c r="KL14" i="8"/>
  <c r="AI14" i="8"/>
  <c r="IR15" i="8"/>
  <c r="FI14" i="8"/>
  <c r="BB15" i="8"/>
  <c r="FZ15" i="8"/>
  <c r="H15" i="8"/>
  <c r="DF14" i="8"/>
  <c r="IL14" i="8"/>
  <c r="JY15" i="8"/>
  <c r="GA15" i="8"/>
  <c r="CD14" i="8"/>
  <c r="AH14" i="8"/>
  <c r="FG14" i="8"/>
  <c r="M14" i="8"/>
  <c r="IR14" i="8"/>
  <c r="K14" i="8"/>
  <c r="KM14" i="8"/>
  <c r="HP14" i="8"/>
  <c r="R14" i="8"/>
  <c r="DZ14" i="8"/>
  <c r="AQ14" i="8"/>
  <c r="BX15" i="8"/>
  <c r="JP15" i="8"/>
  <c r="JA14" i="8"/>
  <c r="BZ15" i="8"/>
  <c r="GX15" i="8"/>
  <c r="O15" i="8"/>
  <c r="AA14" i="8"/>
  <c r="GU14" i="8"/>
  <c r="KU14" i="8"/>
  <c r="KU17" i="8" s="1"/>
  <c r="KU21" i="8" s="1"/>
  <c r="AZ15" i="8"/>
  <c r="CB14" i="8"/>
  <c r="IF14" i="8"/>
  <c r="Z14" i="8"/>
  <c r="EH14" i="8"/>
  <c r="HJ14" i="8"/>
  <c r="GD15" i="8"/>
  <c r="CE14" i="8"/>
  <c r="CF15" i="8"/>
  <c r="KF15" i="8"/>
  <c r="CW15" i="8"/>
  <c r="KG14" i="8"/>
  <c r="CX15" i="8"/>
  <c r="HV15" i="8"/>
  <c r="N14" i="8"/>
  <c r="EL14" i="8"/>
  <c r="KP14" i="8"/>
  <c r="HM14" i="8"/>
  <c r="IM15" i="8"/>
  <c r="EN14" i="8"/>
  <c r="JF14" i="8"/>
  <c r="BB14" i="8"/>
  <c r="FZ14" i="8"/>
  <c r="GE14" i="8"/>
  <c r="BT14" i="8"/>
  <c r="HB14" i="8"/>
  <c r="DN14" i="8"/>
  <c r="KH14" i="8"/>
  <c r="GI15" i="8"/>
  <c r="BO14" i="8"/>
  <c r="HK14" i="8"/>
  <c r="BP15" i="8"/>
  <c r="U15" i="8"/>
  <c r="H14" i="8"/>
  <c r="CR14" i="8"/>
  <c r="BF14" i="8"/>
  <c r="EP14" i="8"/>
  <c r="HZ14" i="8"/>
  <c r="HJ15" i="8"/>
  <c r="HJ17" i="8" s="1"/>
  <c r="HJ21" i="8" s="1"/>
  <c r="EA14" i="8"/>
  <c r="DD15" i="8"/>
  <c r="AB14" i="8"/>
  <c r="EC15" i="8"/>
  <c r="DF15" i="8"/>
  <c r="ID15" i="8"/>
  <c r="AL14" i="8"/>
  <c r="FJ14" i="8"/>
  <c r="IZ15" i="8"/>
  <c r="IS14" i="8"/>
  <c r="IU15" i="8"/>
  <c r="AS17" i="8"/>
  <c r="DC14" i="8"/>
  <c r="JG14" i="8"/>
  <c r="AF14" i="8"/>
  <c r="CL14" i="8"/>
  <c r="JN14" i="8"/>
  <c r="HC14" i="8"/>
  <c r="FX14" i="8"/>
  <c r="FJ15" i="8"/>
  <c r="FJ17" i="8" s="1"/>
  <c r="FJ21" i="8" s="1"/>
  <c r="DO15" i="8"/>
  <c r="EI14" i="8"/>
  <c r="JW14" i="8"/>
  <c r="T15" i="8"/>
  <c r="BQ15" i="8"/>
  <c r="AV14" i="8"/>
  <c r="GJ14" i="8"/>
  <c r="DB14" i="8"/>
  <c r="GL14" i="8"/>
  <c r="JV14" i="8"/>
  <c r="S14" i="8"/>
  <c r="GN15" i="8"/>
  <c r="JH14" i="8"/>
  <c r="BQ14" i="8"/>
  <c r="AT15" i="8"/>
  <c r="FR15" i="8"/>
  <c r="KP15" i="8"/>
  <c r="CX14" i="8"/>
  <c r="ID14" i="8"/>
  <c r="IS15" i="8"/>
  <c r="DW15" i="8"/>
  <c r="FW14" i="8"/>
  <c r="FH15" i="8"/>
  <c r="KV15" i="8"/>
  <c r="HD14" i="8"/>
  <c r="FI15" i="8"/>
  <c r="CW14" i="8"/>
  <c r="BJ15" i="8"/>
  <c r="DV15" i="8"/>
  <c r="GH15" i="8"/>
  <c r="IT15" i="8"/>
  <c r="BJ14" i="8"/>
  <c r="GH14" i="8"/>
  <c r="IT14" i="8"/>
  <c r="CO15" i="8"/>
  <c r="AC14" i="8"/>
  <c r="AC17" i="8" s="1"/>
  <c r="AC21" i="8" s="1"/>
  <c r="BS15" i="8"/>
  <c r="GQ15" i="8"/>
  <c r="JC15" i="8"/>
  <c r="BS14" i="8"/>
  <c r="EE14" i="8"/>
  <c r="GQ14" i="8"/>
  <c r="CJ14" i="8"/>
  <c r="HH14" i="8"/>
  <c r="GF14" i="8"/>
  <c r="FY15" i="8"/>
  <c r="O16" i="8"/>
  <c r="CA16" i="8"/>
  <c r="GY16" i="8"/>
  <c r="JK16" i="8"/>
  <c r="DA15" i="8"/>
  <c r="HY15" i="8"/>
  <c r="AW14" i="8"/>
  <c r="KW14" i="8"/>
  <c r="BB16" i="8"/>
  <c r="AG16" i="8"/>
  <c r="KC16" i="8"/>
  <c r="M15" i="8"/>
  <c r="DS14" i="8"/>
  <c r="IQ14" i="8"/>
  <c r="JB16" i="8"/>
  <c r="BF16" i="8"/>
  <c r="DR16" i="8"/>
  <c r="GD16" i="8"/>
  <c r="IP16" i="8"/>
  <c r="AJ15" i="8"/>
  <c r="DA16" i="8"/>
  <c r="GC16" i="8"/>
  <c r="DV16" i="8"/>
  <c r="Y16" i="8"/>
  <c r="CC16" i="8"/>
  <c r="AY16" i="8"/>
  <c r="DK16" i="8"/>
  <c r="FW16" i="8"/>
  <c r="IQ16" i="8"/>
  <c r="AK15" i="8"/>
  <c r="AB16" i="8"/>
  <c r="CN16" i="8"/>
  <c r="EZ16" i="8"/>
  <c r="HT16" i="8"/>
  <c r="M16" i="8"/>
  <c r="BY16" i="8"/>
  <c r="EK16" i="8"/>
  <c r="GW16" i="8"/>
  <c r="JI16" i="8"/>
  <c r="FB16" i="8"/>
  <c r="AN14" i="8"/>
  <c r="DX14" i="8"/>
  <c r="HY16" i="8"/>
  <c r="BL16" i="8"/>
  <c r="DX16" i="8"/>
  <c r="GJ16" i="8"/>
  <c r="IV16" i="8"/>
  <c r="J14" i="8"/>
  <c r="CT14" i="8"/>
  <c r="FF14" i="8"/>
  <c r="HR14" i="8"/>
  <c r="KD14" i="8"/>
  <c r="JV15" i="8"/>
  <c r="AY14" i="8"/>
  <c r="GM14" i="8"/>
  <c r="CN15" i="8"/>
  <c r="FX15" i="8"/>
  <c r="L14" i="8"/>
  <c r="IJ14" i="8"/>
  <c r="GO15" i="8"/>
  <c r="EC14" i="8"/>
  <c r="JX16" i="8"/>
  <c r="BR15" i="8"/>
  <c r="ED15" i="8"/>
  <c r="GP15" i="8"/>
  <c r="JB15" i="8"/>
  <c r="G15" i="8"/>
  <c r="BR14" i="8"/>
  <c r="ED14" i="8"/>
  <c r="GP14" i="8"/>
  <c r="JB14" i="8"/>
  <c r="CV14" i="8"/>
  <c r="DU15" i="8"/>
  <c r="BI14" i="8"/>
  <c r="KW16" i="8"/>
  <c r="CA15" i="8"/>
  <c r="EM15" i="8"/>
  <c r="GY15" i="8"/>
  <c r="JK15" i="8"/>
  <c r="O14" i="8"/>
  <c r="CA14" i="8"/>
  <c r="EM14" i="8"/>
  <c r="GY14" i="8"/>
  <c r="JK14" i="8"/>
  <c r="CZ14" i="8"/>
  <c r="HX14" i="8"/>
  <c r="KR14" i="8"/>
  <c r="HL14" i="8"/>
  <c r="HE15" i="8"/>
  <c r="FQ14" i="8"/>
  <c r="W16" i="8"/>
  <c r="CI16" i="8"/>
  <c r="EU16" i="8"/>
  <c r="HG16" i="8"/>
  <c r="JS16" i="8"/>
  <c r="AW15" i="8"/>
  <c r="DI15" i="8"/>
  <c r="FU15" i="8"/>
  <c r="IG15" i="8"/>
  <c r="KS15" i="8"/>
  <c r="BE14" i="8"/>
  <c r="DQ14" i="8"/>
  <c r="GC14" i="8"/>
  <c r="IO14" i="8"/>
  <c r="CV15" i="8"/>
  <c r="JX15" i="8"/>
  <c r="FP14" i="8"/>
  <c r="EK15" i="8"/>
  <c r="BY14" i="8"/>
  <c r="GX14" i="8"/>
  <c r="JJ14" i="8"/>
  <c r="EB14" i="8"/>
  <c r="FA15" i="8"/>
  <c r="CO14" i="8"/>
  <c r="W15" i="8"/>
  <c r="CI15" i="8"/>
  <c r="EU15" i="8"/>
  <c r="HG15" i="8"/>
  <c r="JS15" i="8"/>
  <c r="W14" i="8"/>
  <c r="CI14" i="8"/>
  <c r="EU14" i="8"/>
  <c r="HG14" i="8"/>
  <c r="JS14" i="8"/>
  <c r="DP14" i="8"/>
  <c r="IN14" i="8"/>
  <c r="IB15" i="8"/>
  <c r="IZ14" i="8"/>
  <c r="IK15" i="8"/>
  <c r="GW14" i="8"/>
  <c r="AE16" i="8"/>
  <c r="CQ16" i="8"/>
  <c r="FC16" i="8"/>
  <c r="HO16" i="8"/>
  <c r="KA16" i="8"/>
  <c r="BE15" i="8"/>
  <c r="DQ15" i="8"/>
  <c r="GC15" i="8"/>
  <c r="IO15" i="8"/>
  <c r="K15" i="8"/>
  <c r="BM14" i="8"/>
  <c r="DY14" i="8"/>
  <c r="GK14" i="8"/>
  <c r="IW14" i="8"/>
  <c r="EZ15" i="8"/>
  <c r="KN15" i="8"/>
  <c r="GV14" i="8"/>
  <c r="FQ15" i="8"/>
  <c r="DE14" i="8"/>
  <c r="AX14" i="8"/>
  <c r="DL15" i="8"/>
  <c r="AZ14" i="8"/>
  <c r="GO14" i="8"/>
  <c r="CH15" i="8"/>
  <c r="JR15" i="8"/>
  <c r="CH14" i="8"/>
  <c r="HF14" i="8"/>
  <c r="GG15" i="8"/>
  <c r="AE15" i="8"/>
  <c r="HO15" i="8"/>
  <c r="FC14" i="8"/>
  <c r="IV14" i="8"/>
  <c r="JQ15" i="8"/>
  <c r="CY16" i="8"/>
  <c r="KI16" i="8"/>
  <c r="DY15" i="8"/>
  <c r="IW15" i="8"/>
  <c r="I14" i="8"/>
  <c r="EG14" i="8"/>
  <c r="GS14" i="8"/>
  <c r="JE14" i="8"/>
  <c r="FP15" i="8"/>
  <c r="N15" i="8"/>
  <c r="IB14" i="8"/>
  <c r="GW15" i="8"/>
  <c r="IH14" i="8"/>
  <c r="KT14" i="8"/>
  <c r="CU14" i="8"/>
  <c r="HS14" i="8"/>
  <c r="HD15" i="8"/>
  <c r="KN14" i="8"/>
  <c r="JA15" i="8"/>
  <c r="V15" i="8"/>
  <c r="ET15" i="8"/>
  <c r="HF15" i="8"/>
  <c r="V14" i="8"/>
  <c r="ET14" i="8"/>
  <c r="JR14" i="8"/>
  <c r="FH14" i="8"/>
  <c r="DU14" i="8"/>
  <c r="CQ15" i="8"/>
  <c r="FC15" i="8"/>
  <c r="KA15" i="8"/>
  <c r="AE14" i="8"/>
  <c r="CQ14" i="8"/>
  <c r="HO14" i="8"/>
  <c r="KA14" i="8"/>
  <c r="EF14" i="8"/>
  <c r="AJ14" i="8"/>
  <c r="KF14" i="8"/>
  <c r="IC14" i="8"/>
  <c r="AM16" i="8"/>
  <c r="FK16" i="8"/>
  <c r="HW16" i="8"/>
  <c r="BM15" i="8"/>
  <c r="GK15" i="8"/>
  <c r="BU14" i="8"/>
  <c r="ES14" i="8"/>
  <c r="ET16" i="8"/>
  <c r="DY16" i="8"/>
  <c r="DQ16" i="8"/>
  <c r="BG14" i="8"/>
  <c r="FO14" i="8"/>
  <c r="JO14" i="8"/>
  <c r="R16" i="8"/>
  <c r="CD16" i="8"/>
  <c r="EP16" i="8"/>
  <c r="HB16" i="8"/>
  <c r="JN16" i="8"/>
  <c r="BH15" i="8"/>
  <c r="KP16" i="8"/>
  <c r="N16" i="8"/>
  <c r="AO16" i="8"/>
  <c r="HN16" i="8"/>
  <c r="K16" i="8"/>
  <c r="BW16" i="8"/>
  <c r="EI16" i="8"/>
  <c r="GU16" i="8"/>
  <c r="KE16" i="8"/>
  <c r="BI15" i="8"/>
  <c r="AZ16" i="8"/>
  <c r="DL16" i="8"/>
  <c r="FX16" i="8"/>
  <c r="IR16" i="8"/>
  <c r="AK16" i="8"/>
  <c r="CW16" i="8"/>
  <c r="FI16" i="8"/>
  <c r="HU16" i="8"/>
  <c r="KG16" i="8"/>
  <c r="JZ16" i="8"/>
  <c r="BL14" i="8"/>
  <c r="FT14" i="8"/>
  <c r="X16" i="8"/>
  <c r="CJ16" i="8"/>
  <c r="EV16" i="8"/>
  <c r="HH16" i="8"/>
  <c r="JT16" i="8"/>
  <c r="AP14" i="8"/>
  <c r="DR14" i="8"/>
  <c r="GD14" i="8"/>
  <c r="IP14" i="8"/>
  <c r="DR15" i="8"/>
  <c r="BN14" i="8"/>
  <c r="DK14" i="8"/>
  <c r="II14" i="8"/>
  <c r="DT15" i="8"/>
  <c r="HT15" i="8"/>
  <c r="CF14" i="8"/>
  <c r="KG15" i="8"/>
  <c r="HU14" i="8"/>
  <c r="AD15" i="8"/>
  <c r="CP15" i="8"/>
  <c r="FB15" i="8"/>
  <c r="HN15" i="8"/>
  <c r="JZ15" i="8"/>
  <c r="AD14" i="8"/>
  <c r="CP14" i="8"/>
  <c r="FB14" i="8"/>
  <c r="HN14" i="8"/>
  <c r="JZ14" i="8"/>
  <c r="GN14" i="8"/>
  <c r="HM15" i="8"/>
  <c r="FA14" i="8"/>
  <c r="AM15" i="8"/>
  <c r="CY15" i="8"/>
  <c r="FK15" i="8"/>
  <c r="HW15" i="8"/>
  <c r="KI15" i="8"/>
  <c r="AM14" i="8"/>
  <c r="CY14" i="8"/>
  <c r="FK14" i="8"/>
  <c r="HW14" i="8"/>
  <c r="KI14" i="8"/>
  <c r="EV14" i="8"/>
  <c r="JD14" i="8"/>
  <c r="BP14" i="8"/>
  <c r="HK16" i="8"/>
  <c r="KW15" i="8"/>
  <c r="JI14" i="8"/>
  <c r="AU16" i="8"/>
  <c r="DG16" i="8"/>
  <c r="FS16" i="8"/>
  <c r="IE16" i="8"/>
  <c r="KQ16" i="8"/>
  <c r="BU15" i="8"/>
  <c r="EG15" i="8"/>
  <c r="GS15" i="8"/>
  <c r="JE15" i="8"/>
  <c r="Q14" i="8"/>
  <c r="CC14" i="8"/>
  <c r="EO14" i="8"/>
  <c r="HA14" i="8"/>
  <c r="JM14" i="8"/>
  <c r="GF15" i="8"/>
  <c r="T14" i="8"/>
  <c r="JP14" i="8"/>
  <c r="IC15" i="8"/>
  <c r="FY14" i="8"/>
  <c r="GG14" i="8"/>
  <c r="AU15" i="8"/>
  <c r="DG15" i="8"/>
  <c r="FS15" i="8"/>
  <c r="IE15" i="8"/>
  <c r="KQ15" i="8"/>
  <c r="AU14" i="8"/>
  <c r="DG14" i="8"/>
  <c r="FS14" i="8"/>
  <c r="IE14" i="8"/>
  <c r="KQ14" i="8"/>
  <c r="FL14" i="8"/>
  <c r="JL14" i="8"/>
  <c r="CN14" i="8"/>
  <c r="CG15" i="8"/>
  <c r="BA14" i="8"/>
  <c r="BA17" i="8" s="1"/>
  <c r="BA21" i="8" s="1"/>
  <c r="KO14" i="8"/>
  <c r="BC16" i="8"/>
  <c r="DO16" i="8"/>
  <c r="GA16" i="8"/>
  <c r="IM16" i="8"/>
  <c r="Q15" i="8"/>
  <c r="CC15" i="8"/>
  <c r="EO15" i="8"/>
  <c r="HA15" i="8"/>
  <c r="JM15" i="8"/>
  <c r="Y14" i="8"/>
  <c r="CK14" i="8"/>
  <c r="EW14" i="8"/>
  <c r="HI14" i="8"/>
  <c r="JU14" i="8"/>
  <c r="GV15" i="8"/>
  <c r="AR14" i="8"/>
  <c r="AR17" i="8" s="1"/>
  <c r="AR21" i="8" s="1"/>
  <c r="KV14" i="8"/>
  <c r="JI15" i="8"/>
  <c r="HE14" i="8"/>
  <c r="AK17" i="8"/>
  <c r="AK21" i="8" s="1"/>
  <c r="BC14" i="8"/>
  <c r="DO14" i="8"/>
  <c r="GA14" i="8"/>
  <c r="IM14" i="8"/>
  <c r="GB14" i="8"/>
  <c r="JT14" i="8"/>
  <c r="DT14" i="8"/>
  <c r="DM15" i="8"/>
  <c r="CG14" i="8"/>
  <c r="BK16" i="8"/>
  <c r="DW16" i="8"/>
  <c r="GI16" i="8"/>
  <c r="IU16" i="8"/>
  <c r="Y15" i="8"/>
  <c r="CK15" i="8"/>
  <c r="EW15" i="8"/>
  <c r="HI15" i="8"/>
  <c r="JU15" i="8"/>
  <c r="AG14" i="8"/>
  <c r="CS14" i="8"/>
  <c r="FE14" i="8"/>
  <c r="HQ14" i="8"/>
  <c r="KC14" i="8"/>
  <c r="HL15" i="8"/>
  <c r="BX14" i="8"/>
  <c r="JO16" i="8"/>
  <c r="KO15" i="8"/>
  <c r="IK14" i="8"/>
  <c r="FZ17" i="8"/>
  <c r="FZ21" i="8" s="1"/>
  <c r="BK14" i="8"/>
  <c r="DW14" i="8"/>
  <c r="GI14" i="8"/>
  <c r="IU14" i="8"/>
  <c r="J15" i="8"/>
  <c r="GR14" i="8"/>
  <c r="KB14" i="8"/>
  <c r="EZ14" i="8"/>
  <c r="ES15" i="8"/>
  <c r="DM14" i="8"/>
  <c r="DM17" i="8" s="1"/>
  <c r="DM21" i="8" s="1"/>
  <c r="G16" i="8"/>
  <c r="BS16" i="8"/>
  <c r="EE16" i="8"/>
  <c r="GQ16" i="8"/>
  <c r="JC16" i="8"/>
  <c r="AG15" i="8"/>
  <c r="CS15" i="8"/>
  <c r="FE15" i="8"/>
  <c r="HQ15" i="8"/>
  <c r="KC15" i="8"/>
  <c r="AO14" i="8"/>
  <c r="DA14" i="8"/>
  <c r="DA17" i="8" s="1"/>
  <c r="DA21" i="8" s="1"/>
  <c r="FM14" i="8"/>
  <c r="HY14" i="8"/>
  <c r="KK14" i="8"/>
  <c r="IJ15" i="8"/>
  <c r="DD14" i="8"/>
  <c r="U14" i="8"/>
  <c r="JQ14" i="8"/>
  <c r="EX17" i="8"/>
  <c r="EX21" i="8" s="1"/>
  <c r="P15" i="8"/>
  <c r="X15" i="8"/>
  <c r="AF15" i="8"/>
  <c r="AN15" i="8"/>
  <c r="AV15" i="8"/>
  <c r="BD15" i="8"/>
  <c r="BL15" i="8"/>
  <c r="BT15" i="8"/>
  <c r="CB15" i="8"/>
  <c r="CJ15" i="8"/>
  <c r="CR15" i="8"/>
  <c r="CR17" i="8" s="1"/>
  <c r="CR21" i="8" s="1"/>
  <c r="CZ15" i="8"/>
  <c r="DX15" i="8"/>
  <c r="EH15" i="8"/>
  <c r="FD15" i="8"/>
  <c r="FN15" i="8"/>
  <c r="GJ15" i="8"/>
  <c r="GT15" i="8"/>
  <c r="HP15" i="8"/>
  <c r="HZ15" i="8"/>
  <c r="IV15" i="8"/>
  <c r="JF15" i="8"/>
  <c r="KB15" i="8"/>
  <c r="KL15" i="8"/>
  <c r="Z15" i="8"/>
  <c r="AP15" i="8"/>
  <c r="BF15" i="8"/>
  <c r="BV15" i="8"/>
  <c r="CL15" i="8"/>
  <c r="DB15" i="8"/>
  <c r="EI15" i="8"/>
  <c r="FO15" i="8"/>
  <c r="GU15" i="8"/>
  <c r="IA15" i="8"/>
  <c r="JG15" i="8"/>
  <c r="KM15" i="8"/>
  <c r="AA15" i="8"/>
  <c r="AQ15" i="8"/>
  <c r="BG15" i="8"/>
  <c r="BW15" i="8"/>
  <c r="CM15" i="8"/>
  <c r="CM17" i="8" s="1"/>
  <c r="CM21" i="8" s="1"/>
  <c r="DC15" i="8"/>
  <c r="DP15" i="8"/>
  <c r="DZ15" i="8"/>
  <c r="EV15" i="8"/>
  <c r="FF15" i="8"/>
  <c r="GB15" i="8"/>
  <c r="GL15" i="8"/>
  <c r="HH15" i="8"/>
  <c r="HR15" i="8"/>
  <c r="IN15" i="8"/>
  <c r="IX15" i="8"/>
  <c r="JT15" i="8"/>
  <c r="KD15" i="8"/>
  <c r="EA15" i="8"/>
  <c r="FG15" i="8"/>
  <c r="GM15" i="8"/>
  <c r="HS15" i="8"/>
  <c r="IY15" i="8"/>
  <c r="KE15" i="8"/>
  <c r="DH15" i="8"/>
  <c r="EN15" i="8"/>
  <c r="FT15" i="8"/>
  <c r="GZ15" i="8"/>
  <c r="IF15" i="8"/>
  <c r="JL15" i="8"/>
  <c r="KR15" i="8"/>
  <c r="R15" i="8"/>
  <c r="AH15" i="8"/>
  <c r="AX15" i="8"/>
  <c r="BN15" i="8"/>
  <c r="CD15" i="8"/>
  <c r="CT15" i="8"/>
  <c r="DS15" i="8"/>
  <c r="EY15" i="8"/>
  <c r="GE15" i="8"/>
  <c r="HK15" i="8"/>
  <c r="IQ15" i="8"/>
  <c r="JW15" i="8"/>
  <c r="S15" i="8"/>
  <c r="AI15" i="8"/>
  <c r="AY15" i="8"/>
  <c r="BO15" i="8"/>
  <c r="CE15" i="8"/>
  <c r="CU15" i="8"/>
  <c r="DJ15" i="8"/>
  <c r="EF15" i="8"/>
  <c r="EP15" i="8"/>
  <c r="EP17" i="8" s="1"/>
  <c r="EP21" i="8" s="1"/>
  <c r="FL15" i="8"/>
  <c r="FV15" i="8"/>
  <c r="GR15" i="8"/>
  <c r="HB15" i="8"/>
  <c r="HX15" i="8"/>
  <c r="IH15" i="8"/>
  <c r="JD15" i="8"/>
  <c r="JN15" i="8"/>
  <c r="KJ15" i="8"/>
  <c r="DK15" i="8"/>
  <c r="EQ15" i="8"/>
  <c r="EQ17" i="8" s="1"/>
  <c r="EQ21" i="8" s="1"/>
  <c r="FW15" i="8"/>
  <c r="HC15" i="8"/>
  <c r="HC17" i="8" s="1"/>
  <c r="HC21" i="8" s="1"/>
  <c r="II15" i="8"/>
  <c r="JO15" i="8"/>
  <c r="KT15" i="8"/>
  <c r="DV14" i="8"/>
  <c r="BH14" i="8"/>
  <c r="JY14" i="8"/>
  <c r="EE15" i="8"/>
  <c r="G14" i="8"/>
  <c r="JC14" i="8"/>
  <c r="KJ14" i="8"/>
  <c r="EK14" i="8"/>
  <c r="AO15" i="8"/>
  <c r="FM15" i="8"/>
  <c r="KK15" i="8"/>
  <c r="DI14" i="8"/>
  <c r="FU14" i="8"/>
  <c r="IG14" i="8"/>
  <c r="KS14" i="8"/>
  <c r="JH15" i="8"/>
  <c r="EJ14" i="8"/>
  <c r="EJ17" i="8" s="1"/>
  <c r="EJ21" i="8" s="1"/>
  <c r="DE15" i="8"/>
  <c r="AA17" i="8" l="1"/>
  <c r="AA21" i="8" s="1"/>
  <c r="AT17" i="8"/>
  <c r="AT21" i="8" s="1"/>
  <c r="IL17" i="8"/>
  <c r="IL21" i="8" s="1"/>
  <c r="EB17" i="8"/>
  <c r="EB21" i="8" s="1"/>
  <c r="JY17" i="8"/>
  <c r="JY21" i="8" s="1"/>
  <c r="IP17" i="8"/>
  <c r="IP21" i="8" s="1"/>
  <c r="GX17" i="8"/>
  <c r="GX21" i="8" s="1"/>
  <c r="GL17" i="8"/>
  <c r="GL21" i="8" s="1"/>
  <c r="BW17" i="8"/>
  <c r="BW21" i="8" s="1"/>
  <c r="IY17" i="8"/>
  <c r="IY21" i="8" s="1"/>
  <c r="DH17" i="8"/>
  <c r="DH21" i="8" s="1"/>
  <c r="CX17" i="8"/>
  <c r="CX21" i="8" s="1"/>
  <c r="FH17" i="8"/>
  <c r="FH21" i="8" s="1"/>
  <c r="AL17" i="8"/>
  <c r="AL21" i="8" s="1"/>
  <c r="DT17" i="8"/>
  <c r="DT21" i="8" s="1"/>
  <c r="DN17" i="8"/>
  <c r="DN21" i="8" s="1"/>
  <c r="DF17" i="8"/>
  <c r="DF21" i="8" s="1"/>
  <c r="L17" i="8"/>
  <c r="L21" i="8" s="1"/>
  <c r="AH17" i="8"/>
  <c r="AH21" i="8" s="1"/>
  <c r="CE17" i="8"/>
  <c r="CE21" i="8" s="1"/>
  <c r="DZ17" i="8"/>
  <c r="DZ21" i="8" s="1"/>
  <c r="AQ17" i="8"/>
  <c r="AQ21" i="8" s="1"/>
  <c r="IX17" i="8"/>
  <c r="IX21" i="8" s="1"/>
  <c r="FI17" i="8"/>
  <c r="FI21" i="8" s="1"/>
  <c r="N4" i="9"/>
  <c r="F16" i="9"/>
  <c r="F17" i="9" s="1"/>
  <c r="IR17" i="8"/>
  <c r="IR21" i="8" s="1"/>
  <c r="M17" i="8"/>
  <c r="M21" i="8" s="1"/>
  <c r="ID17" i="8"/>
  <c r="ID21" i="8" s="1"/>
  <c r="IK17" i="8"/>
  <c r="IK21" i="8" s="1"/>
  <c r="IB17" i="8"/>
  <c r="IB21" i="8" s="1"/>
  <c r="DV17" i="8"/>
  <c r="DV21" i="8" s="1"/>
  <c r="CB17" i="8"/>
  <c r="CB21" i="8" s="1"/>
  <c r="KG17" i="8"/>
  <c r="KG21" i="8" s="1"/>
  <c r="JK17" i="8"/>
  <c r="JK21" i="8" s="1"/>
  <c r="JN17" i="8"/>
  <c r="JN21" i="8" s="1"/>
  <c r="S17" i="8"/>
  <c r="S21" i="8" s="1"/>
  <c r="GZ17" i="8"/>
  <c r="GZ21" i="8" s="1"/>
  <c r="KL17" i="8"/>
  <c r="KL21" i="8" s="1"/>
  <c r="FN17" i="8"/>
  <c r="FN21" i="8" s="1"/>
  <c r="GY17" i="8"/>
  <c r="GY21" i="8" s="1"/>
  <c r="IG17" i="8"/>
  <c r="IG21" i="8" s="1"/>
  <c r="DJ17" i="8"/>
  <c r="DJ21" i="8" s="1"/>
  <c r="EN17" i="8"/>
  <c r="EN21" i="8" s="1"/>
  <c r="JF17" i="8"/>
  <c r="JF21" i="8" s="1"/>
  <c r="EH17" i="8"/>
  <c r="EH21" i="8" s="1"/>
  <c r="BD17" i="8"/>
  <c r="BD21" i="8" s="1"/>
  <c r="JQ17" i="8"/>
  <c r="JQ21" i="8" s="1"/>
  <c r="AG17" i="8"/>
  <c r="AG21" i="8" s="1"/>
  <c r="HM17" i="8"/>
  <c r="HM21" i="8" s="1"/>
  <c r="DL17" i="8"/>
  <c r="DL21" i="8" s="1"/>
  <c r="I17" i="8"/>
  <c r="I21" i="8" s="1"/>
  <c r="IW17" i="8"/>
  <c r="IW21" i="8" s="1"/>
  <c r="BB17" i="8"/>
  <c r="BB21" i="8" s="1"/>
  <c r="FR17" i="8"/>
  <c r="FR21" i="8" s="1"/>
  <c r="BZ17" i="8"/>
  <c r="BZ21" i="8" s="1"/>
  <c r="KM17" i="8"/>
  <c r="KM21" i="8" s="1"/>
  <c r="JA17" i="8"/>
  <c r="JA21" i="8" s="1"/>
  <c r="KN17" i="8"/>
  <c r="KN21" i="8" s="1"/>
  <c r="HZ17" i="8"/>
  <c r="HZ21" i="8" s="1"/>
  <c r="AF17" i="8"/>
  <c r="AF21" i="8" s="1"/>
  <c r="EO17" i="8"/>
  <c r="EO21" i="8" s="1"/>
  <c r="KP17" i="8"/>
  <c r="KP21" i="8" s="1"/>
  <c r="KA17" i="8"/>
  <c r="KA21" i="8" s="1"/>
  <c r="HV17" i="8"/>
  <c r="HV21" i="8" s="1"/>
  <c r="IA17" i="8"/>
  <c r="IA21" i="8" s="1"/>
  <c r="HI17" i="8"/>
  <c r="HI21" i="8" s="1"/>
  <c r="CH17" i="8"/>
  <c r="CH21" i="8" s="1"/>
  <c r="JS17" i="8"/>
  <c r="JS21" i="8" s="1"/>
  <c r="JV17" i="8"/>
  <c r="JV21" i="8" s="1"/>
  <c r="BR17" i="8"/>
  <c r="BR21" i="8" s="1"/>
  <c r="HB17" i="8"/>
  <c r="HB21" i="8" s="1"/>
  <c r="GE17" i="8"/>
  <c r="GE21" i="8" s="1"/>
  <c r="BV17" i="8"/>
  <c r="BV21" i="8" s="1"/>
  <c r="JX17" i="8"/>
  <c r="JX21" i="8" s="1"/>
  <c r="KH17" i="8"/>
  <c r="KH21" i="8" s="1"/>
  <c r="AV17" i="8"/>
  <c r="AV21" i="8" s="1"/>
  <c r="BO17" i="8"/>
  <c r="BO21" i="8" s="1"/>
  <c r="EY17" i="8"/>
  <c r="EY21" i="8" s="1"/>
  <c r="JG17" i="8"/>
  <c r="JG21" i="8" s="1"/>
  <c r="KF17" i="8"/>
  <c r="KF21" i="8" s="1"/>
  <c r="AS22" i="8"/>
  <c r="AS21" i="8"/>
  <c r="GA17" i="8"/>
  <c r="GA21" i="8" s="1"/>
  <c r="GU17" i="8"/>
  <c r="GU21" i="8" s="1"/>
  <c r="Z17" i="8"/>
  <c r="Z21" i="8" s="1"/>
  <c r="GJ17" i="8"/>
  <c r="GJ21" i="8" s="1"/>
  <c r="P17" i="8"/>
  <c r="P21" i="8" s="1"/>
  <c r="JC17" i="8"/>
  <c r="JC21" i="8" s="1"/>
  <c r="JD17" i="8"/>
  <c r="JD21" i="8" s="1"/>
  <c r="HN17" i="8"/>
  <c r="HN21" i="8" s="1"/>
  <c r="BN17" i="8"/>
  <c r="BN21" i="8" s="1"/>
  <c r="FO17" i="8"/>
  <c r="FO21" i="8" s="1"/>
  <c r="N17" i="8"/>
  <c r="N21" i="8" s="1"/>
  <c r="HF17" i="8"/>
  <c r="HF21" i="8" s="1"/>
  <c r="AI17" i="8"/>
  <c r="IF17" i="8"/>
  <c r="IF21" i="8" s="1"/>
  <c r="HO17" i="8"/>
  <c r="HO21" i="8" s="1"/>
  <c r="JR17" i="8"/>
  <c r="JR21" i="8" s="1"/>
  <c r="K17" i="8"/>
  <c r="K21" i="8" s="1"/>
  <c r="BQ17" i="8"/>
  <c r="BQ21" i="8" s="1"/>
  <c r="IS17" i="8"/>
  <c r="IS21" i="8" s="1"/>
  <c r="BT17" i="8"/>
  <c r="BT21" i="8" s="1"/>
  <c r="ET17" i="8"/>
  <c r="ET21" i="8" s="1"/>
  <c r="ED17" i="8"/>
  <c r="ED21" i="8" s="1"/>
  <c r="JH17" i="8"/>
  <c r="JH21" i="8" s="1"/>
  <c r="FD17" i="8"/>
  <c r="FD21" i="8" s="1"/>
  <c r="KB17" i="8"/>
  <c r="KB21" i="8" s="1"/>
  <c r="FT17" i="8"/>
  <c r="FT21" i="8" s="1"/>
  <c r="AE17" i="8"/>
  <c r="AE21" i="8" s="1"/>
  <c r="CL17" i="8"/>
  <c r="CL21" i="8" s="1"/>
  <c r="ER17" i="8"/>
  <c r="DB17" i="8"/>
  <c r="DB21" i="8" s="1"/>
  <c r="JW17" i="8"/>
  <c r="JW21" i="8" s="1"/>
  <c r="CN17" i="8"/>
  <c r="CN21" i="8" s="1"/>
  <c r="EM17" i="8"/>
  <c r="EM21" i="8" s="1"/>
  <c r="HT17" i="8"/>
  <c r="HT21" i="8" s="1"/>
  <c r="BJ17" i="8"/>
  <c r="BJ21" i="8" s="1"/>
  <c r="KE17" i="8"/>
  <c r="KE21" i="8" s="1"/>
  <c r="IU17" i="8"/>
  <c r="IU21" i="8" s="1"/>
  <c r="CS17" i="8"/>
  <c r="CS21" i="8" s="1"/>
  <c r="IM17" i="8"/>
  <c r="IM21" i="8" s="1"/>
  <c r="EW17" i="8"/>
  <c r="EW21" i="8" s="1"/>
  <c r="AM17" i="8"/>
  <c r="AM21" i="8" s="1"/>
  <c r="JJ17" i="8"/>
  <c r="JJ21" i="8" s="1"/>
  <c r="FX17" i="8"/>
  <c r="FX21" i="8" s="1"/>
  <c r="AB17" i="8"/>
  <c r="AB21" i="8" s="1"/>
  <c r="FS17" i="8"/>
  <c r="FQ17" i="8"/>
  <c r="FQ21" i="8" s="1"/>
  <c r="BF17" i="8"/>
  <c r="HP17" i="8"/>
  <c r="U17" i="8"/>
  <c r="U21" i="8" s="1"/>
  <c r="BX17" i="8"/>
  <c r="BX21" i="8" s="1"/>
  <c r="JP17" i="8"/>
  <c r="JP21" i="8" s="1"/>
  <c r="HW17" i="8"/>
  <c r="HW21" i="8" s="1"/>
  <c r="AD17" i="8"/>
  <c r="CF17" i="8"/>
  <c r="CF21" i="8" s="1"/>
  <c r="GD17" i="8"/>
  <c r="GD21" i="8" s="1"/>
  <c r="CU17" i="8"/>
  <c r="CA17" i="8"/>
  <c r="CA21" i="8" s="1"/>
  <c r="AN17" i="8"/>
  <c r="BH17" i="8"/>
  <c r="BH21" i="8" s="1"/>
  <c r="FV17" i="8"/>
  <c r="FV21" i="8" s="1"/>
  <c r="DC17" i="8"/>
  <c r="GT17" i="8"/>
  <c r="GT21" i="8" s="1"/>
  <c r="X17" i="8"/>
  <c r="X21" i="8" s="1"/>
  <c r="DD17" i="8"/>
  <c r="DD21" i="8" s="1"/>
  <c r="T17" i="8"/>
  <c r="T21" i="8" s="1"/>
  <c r="IO17" i="8"/>
  <c r="IO21" i="8" s="1"/>
  <c r="HL17" i="8"/>
  <c r="O17" i="8"/>
  <c r="O21" i="8" s="1"/>
  <c r="KW17" i="8"/>
  <c r="FW17" i="8"/>
  <c r="FW21" i="8" s="1"/>
  <c r="GO17" i="8"/>
  <c r="EG17" i="8"/>
  <c r="FC17" i="8"/>
  <c r="FC21" i="8" s="1"/>
  <c r="CI17" i="8"/>
  <c r="CI21" i="8" s="1"/>
  <c r="CD17" i="8"/>
  <c r="FG17" i="8"/>
  <c r="FG21" i="8" s="1"/>
  <c r="BK17" i="8"/>
  <c r="JM17" i="8"/>
  <c r="JM21" i="8" s="1"/>
  <c r="HK17" i="8"/>
  <c r="GN17" i="8"/>
  <c r="GN21" i="8" s="1"/>
  <c r="II17" i="8"/>
  <c r="II21" i="8" s="1"/>
  <c r="R17" i="8"/>
  <c r="AJ17" i="8"/>
  <c r="AJ21" i="8" s="1"/>
  <c r="IZ17" i="8"/>
  <c r="IZ21" i="8" s="1"/>
  <c r="W17" i="8"/>
  <c r="KS17" i="8"/>
  <c r="KS21" i="8" s="1"/>
  <c r="EA17" i="8"/>
  <c r="EA21" i="8" s="1"/>
  <c r="EI17" i="8"/>
  <c r="HY17" i="8"/>
  <c r="HY21" i="8" s="1"/>
  <c r="FE17" i="8"/>
  <c r="FE21" i="8" s="1"/>
  <c r="HE17" i="8"/>
  <c r="HA17" i="8"/>
  <c r="HA21" i="8" s="1"/>
  <c r="BP17" i="8"/>
  <c r="JZ17" i="8"/>
  <c r="JZ21" i="8" s="1"/>
  <c r="JO17" i="8"/>
  <c r="JO21" i="8" s="1"/>
  <c r="EF17" i="8"/>
  <c r="EF21" i="8" s="1"/>
  <c r="DU17" i="8"/>
  <c r="DU21" i="8" s="1"/>
  <c r="BY17" i="8"/>
  <c r="BY21" i="8" s="1"/>
  <c r="CZ17" i="8"/>
  <c r="CZ21" i="8" s="1"/>
  <c r="EC17" i="8"/>
  <c r="EC21" i="8" s="1"/>
  <c r="CW17" i="8"/>
  <c r="H17" i="8"/>
  <c r="H21" i="8" s="1"/>
  <c r="DO17" i="8"/>
  <c r="DX17" i="8"/>
  <c r="AO17" i="8"/>
  <c r="AO21" i="8" s="1"/>
  <c r="AH22" i="8"/>
  <c r="AA22" i="8"/>
  <c r="EQ22" i="8"/>
  <c r="CR22" i="8"/>
  <c r="AQ22" i="8"/>
  <c r="FI22" i="8"/>
  <c r="JL17" i="8"/>
  <c r="JL21" i="8" s="1"/>
  <c r="FL17" i="8"/>
  <c r="FL21" i="8" s="1"/>
  <c r="HC22" i="8"/>
  <c r="CV17" i="8"/>
  <c r="CV21" i="8" s="1"/>
  <c r="KJ17" i="8"/>
  <c r="KJ21" i="8" s="1"/>
  <c r="EX22" i="8"/>
  <c r="DM22" i="8"/>
  <c r="DW17" i="8"/>
  <c r="DW21" i="8" s="1"/>
  <c r="AK22" i="8"/>
  <c r="KV17" i="8"/>
  <c r="KV21" i="8" s="1"/>
  <c r="IE17" i="8"/>
  <c r="IE21" i="8" s="1"/>
  <c r="Q17" i="8"/>
  <c r="Q21" i="8" s="1"/>
  <c r="KI17" i="8"/>
  <c r="KI21" i="8" s="1"/>
  <c r="CP17" i="8"/>
  <c r="CP21" i="8" s="1"/>
  <c r="CQ17" i="8"/>
  <c r="CQ21" i="8" s="1"/>
  <c r="HS17" i="8"/>
  <c r="HS21" i="8" s="1"/>
  <c r="GS17" i="8"/>
  <c r="GS21" i="8" s="1"/>
  <c r="IV17" i="8"/>
  <c r="IV21" i="8" s="1"/>
  <c r="DE17" i="8"/>
  <c r="DE21" i="8" s="1"/>
  <c r="BM17" i="8"/>
  <c r="BM21" i="8" s="1"/>
  <c r="DP17" i="8"/>
  <c r="DP21" i="8" s="1"/>
  <c r="EL22" i="8"/>
  <c r="DQ17" i="8"/>
  <c r="DQ21" i="8" s="1"/>
  <c r="HX17" i="8"/>
  <c r="HX21" i="8" s="1"/>
  <c r="GP17" i="8"/>
  <c r="GP21" i="8" s="1"/>
  <c r="AY17" i="8"/>
  <c r="AY21" i="8" s="1"/>
  <c r="IQ17" i="8"/>
  <c r="IQ21" i="8" s="1"/>
  <c r="HH17" i="8"/>
  <c r="HH21" i="8" s="1"/>
  <c r="AC22" i="8"/>
  <c r="HJ22" i="8"/>
  <c r="KC17" i="8"/>
  <c r="KC21" i="8" s="1"/>
  <c r="KO17" i="8"/>
  <c r="KO21" i="8" s="1"/>
  <c r="V17" i="8"/>
  <c r="V21" i="8" s="1"/>
  <c r="CJ17" i="8"/>
  <c r="CJ21" i="8" s="1"/>
  <c r="GR17" i="8"/>
  <c r="GR21" i="8" s="1"/>
  <c r="KK17" i="8"/>
  <c r="KK21" i="8" s="1"/>
  <c r="GG17" i="8"/>
  <c r="GG21" i="8" s="1"/>
  <c r="FU17" i="8"/>
  <c r="FU21" i="8" s="1"/>
  <c r="E14" i="8"/>
  <c r="G17" i="8"/>
  <c r="G21" i="8" s="1"/>
  <c r="KU22" i="8"/>
  <c r="EZ17" i="8"/>
  <c r="EZ21" i="8" s="1"/>
  <c r="HQ17" i="8"/>
  <c r="HQ21" i="8" s="1"/>
  <c r="JT17" i="8"/>
  <c r="JT21" i="8" s="1"/>
  <c r="BA22" i="8"/>
  <c r="DG17" i="8"/>
  <c r="DG21" i="8" s="1"/>
  <c r="JI17" i="8"/>
  <c r="JI21" i="8" s="1"/>
  <c r="FK17" i="8"/>
  <c r="FK21" i="8" s="1"/>
  <c r="FA17" i="8"/>
  <c r="FA21" i="8" s="1"/>
  <c r="DR17" i="8"/>
  <c r="DR21" i="8" s="1"/>
  <c r="BL17" i="8"/>
  <c r="BL21" i="8" s="1"/>
  <c r="IC17" i="8"/>
  <c r="IC21" i="8" s="1"/>
  <c r="KT17" i="8"/>
  <c r="KT21" i="8" s="1"/>
  <c r="AZ17" i="8"/>
  <c r="AZ21" i="8" s="1"/>
  <c r="GV17" i="8"/>
  <c r="GV21" i="8" s="1"/>
  <c r="HG17" i="8"/>
  <c r="HG21" i="8" s="1"/>
  <c r="KD17" i="8"/>
  <c r="KD21" i="8" s="1"/>
  <c r="GQ17" i="8"/>
  <c r="GQ21" i="8" s="1"/>
  <c r="IT17" i="8"/>
  <c r="IT21" i="8" s="1"/>
  <c r="CM22" i="8"/>
  <c r="IL22" i="8"/>
  <c r="DF22" i="8"/>
  <c r="DH22" i="8"/>
  <c r="AR22" i="8"/>
  <c r="BE17" i="8"/>
  <c r="BE21" i="8" s="1"/>
  <c r="DS17" i="8"/>
  <c r="DS21" i="8" s="1"/>
  <c r="DI17" i="8"/>
  <c r="DI21" i="8" s="1"/>
  <c r="FM17" i="8"/>
  <c r="FM21" i="8" s="1"/>
  <c r="GB17" i="8"/>
  <c r="GB21" i="8" s="1"/>
  <c r="ID22" i="8"/>
  <c r="JU17" i="8"/>
  <c r="JU21" i="8" s="1"/>
  <c r="AU17" i="8"/>
  <c r="AU21" i="8" s="1"/>
  <c r="CY17" i="8"/>
  <c r="CY21" i="8" s="1"/>
  <c r="AP17" i="8"/>
  <c r="AP21" i="8" s="1"/>
  <c r="ES17" i="8"/>
  <c r="ES21" i="8" s="1"/>
  <c r="IH17" i="8"/>
  <c r="IH21" i="8" s="1"/>
  <c r="GW17" i="8"/>
  <c r="GW21" i="8" s="1"/>
  <c r="EU17" i="8"/>
  <c r="EU21" i="8" s="1"/>
  <c r="CO17" i="8"/>
  <c r="CO21" i="8" s="1"/>
  <c r="FP17" i="8"/>
  <c r="FP21" i="8" s="1"/>
  <c r="GY22" i="8"/>
  <c r="E15" i="8"/>
  <c r="IJ17" i="8"/>
  <c r="IJ21" i="8" s="1"/>
  <c r="HR17" i="8"/>
  <c r="HR21" i="8" s="1"/>
  <c r="EE17" i="8"/>
  <c r="EE21" i="8" s="1"/>
  <c r="GH17" i="8"/>
  <c r="GH21" i="8" s="1"/>
  <c r="HD17" i="8"/>
  <c r="HD21" i="8" s="1"/>
  <c r="HI22" i="8"/>
  <c r="BU17" i="8"/>
  <c r="BU21" i="8" s="1"/>
  <c r="IB22" i="8"/>
  <c r="AX17" i="8"/>
  <c r="AX21" i="8" s="1"/>
  <c r="BI17" i="8"/>
  <c r="BI21" i="8" s="1"/>
  <c r="FF17" i="8"/>
  <c r="FF21" i="8" s="1"/>
  <c r="BS17" i="8"/>
  <c r="BS21" i="8" s="1"/>
  <c r="JY22" i="8"/>
  <c r="FZ22" i="8"/>
  <c r="FJ22" i="8"/>
  <c r="GL22" i="8"/>
  <c r="EB22" i="8"/>
  <c r="CT17" i="8"/>
  <c r="CT21" i="8" s="1"/>
  <c r="DA22" i="8"/>
  <c r="EJ22" i="8"/>
  <c r="CK17" i="8"/>
  <c r="CK21" i="8" s="1"/>
  <c r="DZ22" i="8"/>
  <c r="KA22" i="8"/>
  <c r="CH22" i="8"/>
  <c r="DK17" i="8"/>
  <c r="DK21" i="8" s="1"/>
  <c r="EP22" i="8"/>
  <c r="AT22" i="8"/>
  <c r="CX22" i="8"/>
  <c r="EO22" i="8"/>
  <c r="GK17" i="8"/>
  <c r="GK21" i="8" s="1"/>
  <c r="JJ22" i="8"/>
  <c r="IO22" i="8"/>
  <c r="J17" i="8"/>
  <c r="J21" i="8" s="1"/>
  <c r="EK17" i="8"/>
  <c r="EK21" i="8" s="1"/>
  <c r="E16" i="8"/>
  <c r="GI17" i="8"/>
  <c r="GI21" i="8" s="1"/>
  <c r="CG17" i="8"/>
  <c r="CG21" i="8" s="1"/>
  <c r="BC17" i="8"/>
  <c r="BC21" i="8" s="1"/>
  <c r="Y17" i="8"/>
  <c r="Y21" i="8" s="1"/>
  <c r="KQ17" i="8"/>
  <c r="KQ21" i="8" s="1"/>
  <c r="AL22" i="8"/>
  <c r="FY17" i="8"/>
  <c r="FY21" i="8" s="1"/>
  <c r="CC17" i="8"/>
  <c r="CC21" i="8" s="1"/>
  <c r="EV17" i="8"/>
  <c r="EV21" i="8" s="1"/>
  <c r="FB17" i="8"/>
  <c r="FB21" i="8" s="1"/>
  <c r="HU17" i="8"/>
  <c r="HU21" i="8" s="1"/>
  <c r="BG17" i="8"/>
  <c r="BG21" i="8" s="1"/>
  <c r="JE17" i="8"/>
  <c r="JE21" i="8" s="1"/>
  <c r="DY17" i="8"/>
  <c r="DY21" i="8" s="1"/>
  <c r="IN17" i="8"/>
  <c r="IN21" i="8" s="1"/>
  <c r="GX22" i="8"/>
  <c r="GC17" i="8"/>
  <c r="GC21" i="8" s="1"/>
  <c r="KR17" i="8"/>
  <c r="KR21" i="8" s="1"/>
  <c r="JB17" i="8"/>
  <c r="JB21" i="8" s="1"/>
  <c r="GM17" i="8"/>
  <c r="GM21" i="8" s="1"/>
  <c r="AW17" i="8"/>
  <c r="AW21" i="8" s="1"/>
  <c r="GF17" i="8"/>
  <c r="GF21" i="8" s="1"/>
  <c r="IK22" i="8" l="1"/>
  <c r="KN22" i="8"/>
  <c r="IP22" i="8"/>
  <c r="IY22" i="8"/>
  <c r="JV22" i="8"/>
  <c r="K22" i="8"/>
  <c r="JQ22" i="8"/>
  <c r="FN22" i="8"/>
  <c r="GZ22" i="8"/>
  <c r="BJ22" i="8"/>
  <c r="M22" i="8"/>
  <c r="L22" i="8"/>
  <c r="JS22" i="8"/>
  <c r="BW22" i="8"/>
  <c r="JP22" i="8"/>
  <c r="AE22" i="8"/>
  <c r="AG22" i="8"/>
  <c r="HZ22" i="8"/>
  <c r="FT22" i="8"/>
  <c r="FQ22" i="8"/>
  <c r="CE22" i="8"/>
  <c r="JF22" i="8"/>
  <c r="DT22" i="8"/>
  <c r="FE22" i="8"/>
  <c r="N22" i="8"/>
  <c r="BY22" i="8"/>
  <c r="FX22" i="8"/>
  <c r="Z22" i="8"/>
  <c r="KF22" i="8"/>
  <c r="BH22" i="8"/>
  <c r="FO22" i="8"/>
  <c r="BB22" i="8"/>
  <c r="AF22" i="8"/>
  <c r="DL22" i="8"/>
  <c r="GU22" i="8"/>
  <c r="FH22" i="8"/>
  <c r="IW22" i="8"/>
  <c r="BQ22" i="8"/>
  <c r="DN22" i="8"/>
  <c r="CI22" i="8"/>
  <c r="AJ22" i="8"/>
  <c r="JN22" i="8"/>
  <c r="CN22" i="8"/>
  <c r="IS22" i="8"/>
  <c r="BD22" i="8"/>
  <c r="AV22" i="8"/>
  <c r="BX22" i="8"/>
  <c r="II22" i="8"/>
  <c r="HB22" i="8"/>
  <c r="BZ22" i="8"/>
  <c r="ED22" i="8"/>
  <c r="IF22" i="8"/>
  <c r="FR22" i="8"/>
  <c r="IR22" i="8"/>
  <c r="KM22" i="8"/>
  <c r="IX22" i="8"/>
  <c r="I22" i="8"/>
  <c r="U22" i="8"/>
  <c r="IA22" i="8"/>
  <c r="BO22" i="8"/>
  <c r="EH22" i="8"/>
  <c r="S22" i="8"/>
  <c r="JK22" i="8"/>
  <c r="EN22" i="8"/>
  <c r="DJ22" i="8"/>
  <c r="HV22" i="8"/>
  <c r="CZ22" i="8"/>
  <c r="DV22" i="8"/>
  <c r="HT22" i="8"/>
  <c r="CB22" i="8"/>
  <c r="O4" i="9"/>
  <c r="F34" i="9"/>
  <c r="H16" i="9"/>
  <c r="I13" i="9"/>
  <c r="HF22" i="8"/>
  <c r="HY22" i="8"/>
  <c r="GA22" i="8"/>
  <c r="HW22" i="8"/>
  <c r="FV22" i="8"/>
  <c r="BN22" i="8"/>
  <c r="DU22" i="8"/>
  <c r="KB22" i="8"/>
  <c r="T22" i="8"/>
  <c r="CA22" i="8"/>
  <c r="EM22" i="8"/>
  <c r="AM22" i="8"/>
  <c r="KH22" i="8"/>
  <c r="BT22" i="8"/>
  <c r="KE22" i="8"/>
  <c r="EY22" i="8"/>
  <c r="GJ22" i="8"/>
  <c r="O22" i="8"/>
  <c r="AB22" i="8"/>
  <c r="BR22" i="8"/>
  <c r="IG22" i="8"/>
  <c r="HA22" i="8"/>
  <c r="CL22" i="8"/>
  <c r="KL22" i="8"/>
  <c r="KP22" i="8"/>
  <c r="JA22" i="8"/>
  <c r="AO22" i="8"/>
  <c r="IZ22" i="8"/>
  <c r="EC22" i="8"/>
  <c r="FC22" i="8"/>
  <c r="HM22" i="8"/>
  <c r="FG22" i="8"/>
  <c r="KG22" i="8"/>
  <c r="DX22" i="8"/>
  <c r="DX21" i="8"/>
  <c r="DD22" i="8"/>
  <c r="DO22" i="8"/>
  <c r="DO21" i="8"/>
  <c r="GO22" i="8"/>
  <c r="GO21" i="8"/>
  <c r="JH22" i="8"/>
  <c r="JX22" i="8"/>
  <c r="BP22" i="8"/>
  <c r="BP21" i="8"/>
  <c r="BK22" i="8"/>
  <c r="BK21" i="8"/>
  <c r="DC22" i="8"/>
  <c r="DC21" i="8"/>
  <c r="FS22" i="8"/>
  <c r="FS21" i="8"/>
  <c r="ER22" i="8"/>
  <c r="ER21" i="8"/>
  <c r="EF22" i="8"/>
  <c r="JM22" i="8"/>
  <c r="JC22" i="8"/>
  <c r="HN22" i="8"/>
  <c r="EA22" i="8"/>
  <c r="EG22" i="8"/>
  <c r="EG21" i="8"/>
  <c r="HP22" i="8"/>
  <c r="HP21" i="8"/>
  <c r="JR22" i="8"/>
  <c r="FD22" i="8"/>
  <c r="BF22" i="8"/>
  <c r="BF21" i="8"/>
  <c r="HO22" i="8"/>
  <c r="JO22" i="8"/>
  <c r="JW22" i="8"/>
  <c r="CS22" i="8"/>
  <c r="G22" i="8"/>
  <c r="G23" i="8"/>
  <c r="H20" i="8" s="1"/>
  <c r="CF22" i="8"/>
  <c r="KS22" i="8"/>
  <c r="P22" i="8"/>
  <c r="BV22" i="8"/>
  <c r="JG22" i="8"/>
  <c r="HE22" i="8"/>
  <c r="HE21" i="8"/>
  <c r="CD22" i="8"/>
  <c r="CD21" i="8"/>
  <c r="HL22" i="8"/>
  <c r="HL21" i="8"/>
  <c r="HK22" i="8"/>
  <c r="HK21" i="8"/>
  <c r="JD22" i="8"/>
  <c r="GE22" i="8"/>
  <c r="AI22" i="8"/>
  <c r="AI21" i="8"/>
  <c r="IU22" i="8"/>
  <c r="JZ22" i="8"/>
  <c r="GD22" i="8"/>
  <c r="IM22" i="8"/>
  <c r="ET22" i="8"/>
  <c r="FW22" i="8"/>
  <c r="DB22" i="8"/>
  <c r="X22" i="8"/>
  <c r="R22" i="8"/>
  <c r="R21" i="8"/>
  <c r="AN22" i="8"/>
  <c r="AN21" i="8"/>
  <c r="EI22" i="8"/>
  <c r="EI21" i="8"/>
  <c r="CU22" i="8"/>
  <c r="CU21" i="8"/>
  <c r="EW22" i="8"/>
  <c r="GN22" i="8"/>
  <c r="CW22" i="8"/>
  <c r="CW21" i="8"/>
  <c r="W22" i="8"/>
  <c r="W21" i="8"/>
  <c r="KW22" i="8"/>
  <c r="KW21" i="8"/>
  <c r="AD22" i="8"/>
  <c r="AD21" i="8"/>
  <c r="GT22" i="8"/>
  <c r="H22" i="8"/>
  <c r="BU22" i="8"/>
  <c r="FM22" i="8"/>
  <c r="JI22" i="8"/>
  <c r="BI22" i="8"/>
  <c r="KT22" i="8"/>
  <c r="AW22" i="8"/>
  <c r="DY22" i="8"/>
  <c r="FB22" i="8"/>
  <c r="BC22" i="8"/>
  <c r="EK22" i="8"/>
  <c r="GK22" i="8"/>
  <c r="BS22" i="8"/>
  <c r="GH22" i="8"/>
  <c r="CO22" i="8"/>
  <c r="CY22" i="8"/>
  <c r="DS22" i="8"/>
  <c r="BL22" i="8"/>
  <c r="GG22" i="8"/>
  <c r="KC22" i="8"/>
  <c r="IQ22" i="8"/>
  <c r="BM22" i="8"/>
  <c r="FU22" i="8"/>
  <c r="KK22" i="8"/>
  <c r="DW22" i="8"/>
  <c r="BG22" i="8"/>
  <c r="CK22" i="8"/>
  <c r="GM22" i="8"/>
  <c r="CG22" i="8"/>
  <c r="EE22" i="8"/>
  <c r="EU22" i="8"/>
  <c r="HG22" i="8"/>
  <c r="DR22" i="8"/>
  <c r="AY22" i="8"/>
  <c r="DE22" i="8"/>
  <c r="JB22" i="8"/>
  <c r="CC22" i="8"/>
  <c r="HR22" i="8"/>
  <c r="GW22" i="8"/>
  <c r="IT22" i="8"/>
  <c r="GV22" i="8"/>
  <c r="FA22" i="8"/>
  <c r="JT22" i="8"/>
  <c r="GP22" i="8"/>
  <c r="IV22" i="8"/>
  <c r="CP22" i="8"/>
  <c r="KJ22" i="8"/>
  <c r="KD22" i="8"/>
  <c r="KO22" i="8"/>
  <c r="JE22" i="8"/>
  <c r="EV22" i="8"/>
  <c r="J22" i="8"/>
  <c r="DK22" i="8"/>
  <c r="KR22" i="8"/>
  <c r="FY22" i="8"/>
  <c r="FF22" i="8"/>
  <c r="IJ22" i="8"/>
  <c r="IH22" i="8"/>
  <c r="AU22" i="8"/>
  <c r="BE22" i="8"/>
  <c r="GQ22" i="8"/>
  <c r="AZ22" i="8"/>
  <c r="FK22" i="8"/>
  <c r="HQ22" i="8"/>
  <c r="E17" i="8"/>
  <c r="HX22" i="8"/>
  <c r="GS22" i="8"/>
  <c r="KI22" i="8"/>
  <c r="DQ22" i="8"/>
  <c r="HS22" i="8"/>
  <c r="FL22" i="8"/>
  <c r="GI22" i="8"/>
  <c r="DI22" i="8"/>
  <c r="GC22" i="8"/>
  <c r="JU22" i="8"/>
  <c r="Q22" i="8"/>
  <c r="CT22" i="8"/>
  <c r="IE22" i="8"/>
  <c r="JL22" i="8"/>
  <c r="KQ22" i="8"/>
  <c r="ES22" i="8"/>
  <c r="EZ22" i="8"/>
  <c r="GR22" i="8"/>
  <c r="V22" i="8"/>
  <c r="KV22" i="8"/>
  <c r="GF22" i="8"/>
  <c r="IN22" i="8"/>
  <c r="HU22" i="8"/>
  <c r="Y22" i="8"/>
  <c r="AX22" i="8"/>
  <c r="HD22" i="8"/>
  <c r="FP22" i="8"/>
  <c r="AP22" i="8"/>
  <c r="GB22" i="8"/>
  <c r="IC22" i="8"/>
  <c r="DG22" i="8"/>
  <c r="CJ22" i="8"/>
  <c r="HH22" i="8"/>
  <c r="DP22" i="8"/>
  <c r="CQ22" i="8"/>
  <c r="CV22" i="8"/>
  <c r="F36" i="9" l="1"/>
  <c r="P4" i="9"/>
  <c r="H17" i="9"/>
  <c r="H18" i="9" s="1"/>
  <c r="I15" i="9"/>
  <c r="I16" i="9"/>
  <c r="J13" i="9"/>
  <c r="H23" i="8"/>
  <c r="Q4" i="9" l="1"/>
  <c r="I17" i="9"/>
  <c r="I18" i="9" s="1"/>
  <c r="J16" i="9"/>
  <c r="J15" i="9"/>
  <c r="K13" i="9"/>
  <c r="I20" i="8"/>
  <c r="I23" i="8" s="1"/>
  <c r="R4" i="9" l="1"/>
  <c r="S4" i="9" s="1"/>
  <c r="J17" i="9"/>
  <c r="J18" i="9" s="1"/>
  <c r="K15" i="9"/>
  <c r="K16" i="9"/>
  <c r="L13" i="9"/>
  <c r="J20" i="8"/>
  <c r="J23" i="8" s="1"/>
  <c r="K17" i="9" l="1"/>
  <c r="K18" i="9" s="1"/>
  <c r="L16" i="9"/>
  <c r="L15" i="9"/>
  <c r="M13" i="9"/>
  <c r="K20" i="8"/>
  <c r="K23" i="8" s="1"/>
  <c r="L17" i="9" l="1"/>
  <c r="L18" i="9" s="1"/>
  <c r="M16" i="9"/>
  <c r="M15" i="9"/>
  <c r="N13" i="9"/>
  <c r="L20" i="8"/>
  <c r="L23" i="8" s="1"/>
  <c r="O13" i="9" l="1"/>
  <c r="O15" i="9" s="1"/>
  <c r="M17" i="9"/>
  <c r="M18" i="9" s="1"/>
  <c r="N16" i="9"/>
  <c r="N15" i="9"/>
  <c r="M20" i="8"/>
  <c r="M23" i="8" s="1"/>
  <c r="O16" i="9" l="1"/>
  <c r="O17" i="9" s="1"/>
  <c r="O18" i="9" s="1"/>
  <c r="P13" i="9"/>
  <c r="N17" i="9"/>
  <c r="N18" i="9" s="1"/>
  <c r="N20" i="8"/>
  <c r="N23" i="8" s="1"/>
  <c r="Q13" i="9" l="1"/>
  <c r="P16" i="9"/>
  <c r="P15" i="9"/>
  <c r="P17" i="9" s="1"/>
  <c r="P18" i="9" s="1"/>
  <c r="O20" i="8"/>
  <c r="O23" i="8" s="1"/>
  <c r="Q16" i="9" l="1"/>
  <c r="Q15" i="9"/>
  <c r="R13" i="9"/>
  <c r="P20" i="8"/>
  <c r="P23" i="8" s="1"/>
  <c r="Q17" i="9" l="1"/>
  <c r="Q18" i="9" s="1"/>
  <c r="R15" i="9"/>
  <c r="R16" i="9"/>
  <c r="R17" i="9" s="1"/>
  <c r="R18" i="9" s="1"/>
  <c r="Q20" i="8"/>
  <c r="Q23" i="8" s="1"/>
  <c r="R20" i="8" l="1"/>
  <c r="R23" i="8" s="1"/>
  <c r="S20" i="8" l="1"/>
  <c r="S23" i="8" s="1"/>
  <c r="T20" i="8" l="1"/>
  <c r="T23" i="8" s="1"/>
  <c r="U20" i="8" l="1"/>
  <c r="U23" i="8" s="1"/>
  <c r="V20" i="8" l="1"/>
  <c r="V23" i="8" s="1"/>
  <c r="W20" i="8" l="1"/>
  <c r="W23" i="8" s="1"/>
  <c r="X20" i="8" l="1"/>
  <c r="X23" i="8" s="1"/>
  <c r="Y20" i="8" l="1"/>
  <c r="Y23" i="8" s="1"/>
  <c r="Z20" i="8" l="1"/>
  <c r="Z23" i="8" s="1"/>
  <c r="AA20" i="8" l="1"/>
  <c r="AA23" i="8" s="1"/>
  <c r="AB20" i="8" l="1"/>
  <c r="AB23" i="8" s="1"/>
  <c r="AC20" i="8" l="1"/>
  <c r="AC23" i="8" s="1"/>
  <c r="AD20" i="8" l="1"/>
  <c r="AD23" i="8" s="1"/>
  <c r="AE20" i="8" l="1"/>
  <c r="AE23" i="8" s="1"/>
  <c r="AF20" i="8" l="1"/>
  <c r="AF23" i="8" s="1"/>
  <c r="AG20" i="8" l="1"/>
  <c r="AG23" i="8" s="1"/>
  <c r="AH20" i="8" l="1"/>
  <c r="AH23" i="8" s="1"/>
  <c r="AI20" i="8" l="1"/>
  <c r="AI23" i="8" s="1"/>
  <c r="AJ20" i="8" l="1"/>
  <c r="AJ23" i="8" s="1"/>
  <c r="AK20" i="8" l="1"/>
  <c r="AK23" i="8" s="1"/>
  <c r="AL20" i="8" l="1"/>
  <c r="AL23" i="8" s="1"/>
  <c r="AM20" i="8" l="1"/>
  <c r="AM23" i="8" s="1"/>
  <c r="AN20" i="8" l="1"/>
  <c r="AN23" i="8" s="1"/>
  <c r="AO20" i="8" l="1"/>
  <c r="AO23" i="8" s="1"/>
  <c r="AP20" i="8" l="1"/>
  <c r="AP23" i="8" s="1"/>
  <c r="AQ20" i="8" l="1"/>
  <c r="AQ23" i="8" s="1"/>
  <c r="AR20" i="8" l="1"/>
  <c r="AR23" i="8" s="1"/>
  <c r="AS20" i="8" l="1"/>
  <c r="AS23" i="8" s="1"/>
  <c r="AT20" i="8" l="1"/>
  <c r="AT23" i="8" s="1"/>
  <c r="AU20" i="8" l="1"/>
  <c r="AU23" i="8" s="1"/>
  <c r="AV20" i="8" l="1"/>
  <c r="AV23" i="8" s="1"/>
  <c r="AW20" i="8" l="1"/>
  <c r="AW23" i="8" s="1"/>
  <c r="AX20" i="8" l="1"/>
  <c r="AX23" i="8" s="1"/>
  <c r="AY20" i="8" l="1"/>
  <c r="AY23" i="8" s="1"/>
  <c r="AZ20" i="8" l="1"/>
  <c r="AZ23" i="8" s="1"/>
  <c r="BA20" i="8" l="1"/>
  <c r="BA23" i="8" s="1"/>
  <c r="BB20" i="8" l="1"/>
  <c r="BB23" i="8" s="1"/>
  <c r="BC20" i="8" l="1"/>
  <c r="BC23" i="8" s="1"/>
  <c r="BD20" i="8" l="1"/>
  <c r="BD23" i="8" s="1"/>
  <c r="BE20" i="8" l="1"/>
  <c r="BE23" i="8" s="1"/>
  <c r="BF20" i="8" l="1"/>
  <c r="BF23" i="8" s="1"/>
  <c r="BG20" i="8" l="1"/>
  <c r="BG23" i="8" s="1"/>
  <c r="BH20" i="8" l="1"/>
  <c r="BH23" i="8" s="1"/>
  <c r="BI20" i="8" l="1"/>
  <c r="BI23" i="8" s="1"/>
  <c r="BJ20" i="8" l="1"/>
  <c r="BJ23" i="8" s="1"/>
  <c r="BK20" i="8" l="1"/>
  <c r="BK23" i="8" s="1"/>
  <c r="BL20" i="8" l="1"/>
  <c r="BL23" i="8" s="1"/>
  <c r="BM20" i="8" l="1"/>
  <c r="BM23" i="8" s="1"/>
  <c r="BN20" i="8" l="1"/>
  <c r="BN23" i="8" s="1"/>
  <c r="BO20" i="8" l="1"/>
  <c r="BO23" i="8" s="1"/>
  <c r="BP20" i="8" l="1"/>
  <c r="BP23" i="8" s="1"/>
  <c r="BQ20" i="8" l="1"/>
  <c r="BQ23" i="8" s="1"/>
  <c r="BR20" i="8" l="1"/>
  <c r="BR23" i="8" s="1"/>
  <c r="BS20" i="8" l="1"/>
  <c r="BS23" i="8" s="1"/>
  <c r="BT20" i="8" l="1"/>
  <c r="BT23" i="8" s="1"/>
  <c r="BU20" i="8" l="1"/>
  <c r="BU23" i="8" s="1"/>
  <c r="BV20" i="8" l="1"/>
  <c r="BV23" i="8" s="1"/>
  <c r="BW20" i="8" l="1"/>
  <c r="BW23" i="8" s="1"/>
  <c r="BX20" i="8" l="1"/>
  <c r="BX23" i="8" s="1"/>
  <c r="BY20" i="8" l="1"/>
  <c r="BY23" i="8" s="1"/>
  <c r="BZ20" i="8" l="1"/>
  <c r="BZ23" i="8" s="1"/>
  <c r="CA20" i="8" l="1"/>
  <c r="CA23" i="8" s="1"/>
  <c r="CB20" i="8" l="1"/>
  <c r="CB23" i="8" s="1"/>
  <c r="CC20" i="8" l="1"/>
  <c r="CC23" i="8" s="1"/>
  <c r="CD20" i="8" l="1"/>
  <c r="CD23" i="8" s="1"/>
  <c r="CE20" i="8" l="1"/>
  <c r="CE23" i="8" s="1"/>
  <c r="CF20" i="8" l="1"/>
  <c r="CF23" i="8" s="1"/>
  <c r="CG20" i="8" l="1"/>
  <c r="CG23" i="8" s="1"/>
  <c r="CH20" i="8" l="1"/>
  <c r="CH23" i="8" s="1"/>
  <c r="CI20" i="8" l="1"/>
  <c r="CI23" i="8" s="1"/>
  <c r="CJ20" i="8" l="1"/>
  <c r="CJ23" i="8" s="1"/>
  <c r="CK20" i="8" l="1"/>
  <c r="CK23" i="8" s="1"/>
  <c r="CL20" i="8" l="1"/>
  <c r="CL23" i="8" s="1"/>
  <c r="CM20" i="8" l="1"/>
  <c r="CM23" i="8" s="1"/>
  <c r="CN20" i="8" l="1"/>
  <c r="CN23" i="8" s="1"/>
  <c r="CO20" i="8" l="1"/>
  <c r="CO23" i="8" s="1"/>
  <c r="CP20" i="8" l="1"/>
  <c r="CP23" i="8" s="1"/>
  <c r="CQ20" i="8" l="1"/>
  <c r="CQ23" i="8" s="1"/>
  <c r="CR20" i="8" l="1"/>
  <c r="CR23" i="8" s="1"/>
  <c r="CS20" i="8" l="1"/>
  <c r="CS23" i="8" s="1"/>
  <c r="CT20" i="8" l="1"/>
  <c r="CT23" i="8" s="1"/>
  <c r="CU20" i="8" l="1"/>
  <c r="CU23" i="8" s="1"/>
  <c r="CV20" i="8" l="1"/>
  <c r="CV23" i="8" s="1"/>
  <c r="CW20" i="8" l="1"/>
  <c r="CW23" i="8" s="1"/>
  <c r="CX20" i="8" l="1"/>
  <c r="CX23" i="8" s="1"/>
  <c r="CY20" i="8" l="1"/>
  <c r="CY23" i="8" s="1"/>
  <c r="CZ20" i="8" l="1"/>
  <c r="CZ23" i="8" s="1"/>
  <c r="DA20" i="8" l="1"/>
  <c r="DA23" i="8" s="1"/>
  <c r="DB20" i="8" l="1"/>
  <c r="DB23" i="8" s="1"/>
  <c r="DC20" i="8" l="1"/>
  <c r="DC23" i="8" s="1"/>
  <c r="DD20" i="8" l="1"/>
  <c r="DD23" i="8" s="1"/>
  <c r="DE20" i="8" l="1"/>
  <c r="DE23" i="8" s="1"/>
  <c r="DF20" i="8" l="1"/>
  <c r="DF23" i="8" s="1"/>
  <c r="DG20" i="8" l="1"/>
  <c r="DG23" i="8" s="1"/>
  <c r="DH20" i="8" l="1"/>
  <c r="DH23" i="8" s="1"/>
  <c r="DI20" i="8" l="1"/>
  <c r="DI23" i="8" s="1"/>
  <c r="DJ20" i="8" l="1"/>
  <c r="DJ23" i="8" s="1"/>
  <c r="DK20" i="8" l="1"/>
  <c r="DK23" i="8" s="1"/>
  <c r="DL20" i="8" l="1"/>
  <c r="DL23" i="8" s="1"/>
  <c r="DM20" i="8" l="1"/>
  <c r="DM23" i="8" s="1"/>
  <c r="DN20" i="8" l="1"/>
  <c r="DN23" i="8" s="1"/>
  <c r="DO20" i="8" l="1"/>
  <c r="DO23" i="8" s="1"/>
  <c r="DP20" i="8" l="1"/>
  <c r="DP23" i="8" s="1"/>
  <c r="DQ20" i="8" l="1"/>
  <c r="DQ23" i="8" s="1"/>
  <c r="DR20" i="8" l="1"/>
  <c r="DR23" i="8" s="1"/>
  <c r="DS20" i="8" l="1"/>
  <c r="DS23" i="8" s="1"/>
  <c r="DT20" i="8" l="1"/>
  <c r="DT23" i="8" s="1"/>
  <c r="DU20" i="8" l="1"/>
  <c r="DU23" i="8" s="1"/>
  <c r="DV20" i="8" l="1"/>
  <c r="DV23" i="8" s="1"/>
  <c r="DW20" i="8" l="1"/>
  <c r="DW23" i="8" s="1"/>
  <c r="DX20" i="8" l="1"/>
  <c r="DX23" i="8" s="1"/>
  <c r="DY20" i="8" l="1"/>
  <c r="DY23" i="8" s="1"/>
  <c r="DZ20" i="8" l="1"/>
  <c r="DZ23" i="8" s="1"/>
  <c r="EA20" i="8" l="1"/>
  <c r="EA23" i="8" s="1"/>
  <c r="EB20" i="8" l="1"/>
  <c r="EB23" i="8" s="1"/>
  <c r="EC20" i="8" l="1"/>
  <c r="EC23" i="8" s="1"/>
  <c r="ED20" i="8" l="1"/>
  <c r="ED23" i="8" s="1"/>
  <c r="EE20" i="8" l="1"/>
  <c r="EE23" i="8" s="1"/>
  <c r="EF20" i="8" l="1"/>
  <c r="EF23" i="8" s="1"/>
  <c r="EG20" i="8" l="1"/>
  <c r="EG23" i="8" s="1"/>
  <c r="EH20" i="8" l="1"/>
  <c r="EH23" i="8" s="1"/>
  <c r="EI20" i="8" l="1"/>
  <c r="EI23" i="8" s="1"/>
  <c r="EJ20" i="8" l="1"/>
  <c r="EJ23" i="8" s="1"/>
  <c r="EK20" i="8" l="1"/>
  <c r="EK23" i="8" s="1"/>
  <c r="EL20" i="8" l="1"/>
  <c r="EL23" i="8" s="1"/>
  <c r="EM20" i="8" l="1"/>
  <c r="EM23" i="8" s="1"/>
  <c r="EN20" i="8" l="1"/>
  <c r="EN23" i="8" s="1"/>
  <c r="EO20" i="8" l="1"/>
  <c r="EO23" i="8" s="1"/>
  <c r="EP20" i="8" l="1"/>
  <c r="EP23" i="8" s="1"/>
  <c r="EQ20" i="8" l="1"/>
  <c r="EQ23" i="8" s="1"/>
  <c r="ER20" i="8" l="1"/>
  <c r="ER23" i="8" s="1"/>
  <c r="ES20" i="8" l="1"/>
  <c r="ES23" i="8" s="1"/>
  <c r="ET20" i="8" l="1"/>
  <c r="ET23" i="8" s="1"/>
  <c r="EU20" i="8" l="1"/>
  <c r="EU23" i="8" s="1"/>
  <c r="EV20" i="8" l="1"/>
  <c r="EV23" i="8" s="1"/>
  <c r="EW20" i="8" l="1"/>
  <c r="EW23" i="8" s="1"/>
  <c r="EX20" i="8" l="1"/>
  <c r="EX23" i="8" s="1"/>
  <c r="EY20" i="8" l="1"/>
  <c r="EY23" i="8" s="1"/>
  <c r="EZ20" i="8" l="1"/>
  <c r="EZ23" i="8" s="1"/>
  <c r="FA20" i="8" l="1"/>
  <c r="FA23" i="8" s="1"/>
  <c r="FB20" i="8" l="1"/>
  <c r="FB23" i="8" s="1"/>
  <c r="FC20" i="8" l="1"/>
  <c r="FC23" i="8" s="1"/>
  <c r="FD20" i="8" l="1"/>
  <c r="FD23" i="8" s="1"/>
  <c r="FE20" i="8" l="1"/>
  <c r="FE23" i="8" s="1"/>
  <c r="FF20" i="8" l="1"/>
  <c r="FF23" i="8" s="1"/>
  <c r="FG20" i="8" l="1"/>
  <c r="FG23" i="8" s="1"/>
  <c r="FH20" i="8" l="1"/>
  <c r="FH23" i="8" s="1"/>
  <c r="FI20" i="8" l="1"/>
  <c r="FI23" i="8" s="1"/>
  <c r="FJ20" i="8" l="1"/>
  <c r="FJ23" i="8" s="1"/>
  <c r="FK20" i="8" l="1"/>
  <c r="FK23" i="8" s="1"/>
  <c r="FL20" i="8" l="1"/>
  <c r="FL23" i="8" s="1"/>
  <c r="FM20" i="8" l="1"/>
  <c r="FM23" i="8" s="1"/>
  <c r="FN20" i="8" l="1"/>
  <c r="FN23" i="8" s="1"/>
  <c r="FO20" i="8" l="1"/>
  <c r="FO23" i="8" s="1"/>
  <c r="FP20" i="8" l="1"/>
  <c r="FP23" i="8" s="1"/>
  <c r="FQ20" i="8" l="1"/>
  <c r="FQ23" i="8" s="1"/>
  <c r="FR20" i="8" l="1"/>
  <c r="FR23" i="8" s="1"/>
  <c r="FS20" i="8" l="1"/>
  <c r="FS23" i="8" s="1"/>
  <c r="FT20" i="8" l="1"/>
  <c r="FT23" i="8" s="1"/>
  <c r="FU20" i="8" l="1"/>
  <c r="FU23" i="8" s="1"/>
  <c r="FV20" i="8" l="1"/>
  <c r="FV23" i="8" s="1"/>
  <c r="FW20" i="8" l="1"/>
  <c r="FW23" i="8" s="1"/>
  <c r="FX20" i="8" l="1"/>
  <c r="FX23" i="8" s="1"/>
  <c r="FY20" i="8" l="1"/>
  <c r="FY23" i="8" s="1"/>
  <c r="FZ20" i="8" l="1"/>
  <c r="FZ23" i="8" s="1"/>
  <c r="GA20" i="8" l="1"/>
  <c r="GA23" i="8" s="1"/>
  <c r="GB20" i="8" l="1"/>
  <c r="GB23" i="8" s="1"/>
  <c r="GC20" i="8" l="1"/>
  <c r="GC23" i="8" s="1"/>
  <c r="GD20" i="8" l="1"/>
  <c r="GD23" i="8" s="1"/>
  <c r="GE20" i="8" l="1"/>
  <c r="GE23" i="8" s="1"/>
  <c r="GF20" i="8" l="1"/>
  <c r="GF23" i="8" s="1"/>
  <c r="GG20" i="8" l="1"/>
  <c r="GG23" i="8" s="1"/>
  <c r="GH20" i="8" l="1"/>
  <c r="GH23" i="8" s="1"/>
  <c r="GI20" i="8" l="1"/>
  <c r="GI23" i="8" s="1"/>
  <c r="GJ20" i="8" l="1"/>
  <c r="GJ23" i="8" s="1"/>
  <c r="GK20" i="8" l="1"/>
  <c r="GK23" i="8" s="1"/>
  <c r="GL20" i="8" l="1"/>
  <c r="GL23" i="8" s="1"/>
  <c r="GM20" i="8" l="1"/>
  <c r="GM23" i="8" s="1"/>
  <c r="GN20" i="8" l="1"/>
  <c r="GN23" i="8" s="1"/>
  <c r="GO20" i="8" l="1"/>
  <c r="GO23" i="8" s="1"/>
  <c r="GP20" i="8" l="1"/>
  <c r="GP23" i="8" s="1"/>
  <c r="GQ20" i="8" l="1"/>
  <c r="GQ23" i="8" s="1"/>
  <c r="GR20" i="8" l="1"/>
  <c r="GR23" i="8" s="1"/>
  <c r="GS20" i="8" l="1"/>
  <c r="GS23" i="8" s="1"/>
  <c r="GT20" i="8" l="1"/>
  <c r="GT23" i="8" s="1"/>
  <c r="GU20" i="8" l="1"/>
  <c r="GU23" i="8" s="1"/>
  <c r="GV20" i="8" l="1"/>
  <c r="GV23" i="8" s="1"/>
  <c r="GW20" i="8" l="1"/>
  <c r="GW23" i="8" s="1"/>
  <c r="GX20" i="8" l="1"/>
  <c r="GX23" i="8" s="1"/>
  <c r="GY20" i="8" l="1"/>
  <c r="GY23" i="8" s="1"/>
  <c r="GZ20" i="8" l="1"/>
  <c r="GZ23" i="8" s="1"/>
  <c r="HA20" i="8" l="1"/>
  <c r="HA23" i="8" s="1"/>
  <c r="HB20" i="8" l="1"/>
  <c r="HB23" i="8" s="1"/>
  <c r="HC20" i="8" l="1"/>
  <c r="HC23" i="8" s="1"/>
  <c r="HD20" i="8" l="1"/>
  <c r="HD23" i="8" s="1"/>
  <c r="HE20" i="8" l="1"/>
  <c r="HE23" i="8" s="1"/>
  <c r="HF20" i="8" l="1"/>
  <c r="HF23" i="8" s="1"/>
  <c r="HG20" i="8" l="1"/>
  <c r="HG23" i="8" s="1"/>
  <c r="HH20" i="8" l="1"/>
  <c r="HH23" i="8" s="1"/>
  <c r="HI20" i="8" l="1"/>
  <c r="HI23" i="8" s="1"/>
  <c r="HJ20" i="8" l="1"/>
  <c r="HJ23" i="8" s="1"/>
  <c r="HK20" i="8" l="1"/>
  <c r="HK23" i="8" s="1"/>
  <c r="HL20" i="8" l="1"/>
  <c r="HL23" i="8" s="1"/>
  <c r="HM20" i="8" l="1"/>
  <c r="HM23" i="8" s="1"/>
  <c r="HN20" i="8" l="1"/>
  <c r="HN23" i="8" s="1"/>
  <c r="HO20" i="8" l="1"/>
  <c r="HO23" i="8" s="1"/>
  <c r="HP20" i="8" l="1"/>
  <c r="HP23" i="8" s="1"/>
  <c r="HQ20" i="8" l="1"/>
  <c r="HQ23" i="8" s="1"/>
  <c r="HR20" i="8" l="1"/>
  <c r="HR23" i="8" s="1"/>
  <c r="HS20" i="8" l="1"/>
  <c r="HS23" i="8" s="1"/>
  <c r="HT20" i="8" l="1"/>
  <c r="HT23" i="8" s="1"/>
  <c r="HU20" i="8" l="1"/>
  <c r="HU23" i="8" s="1"/>
  <c r="HV20" i="8" l="1"/>
  <c r="HV23" i="8" s="1"/>
  <c r="HW20" i="8" l="1"/>
  <c r="HW23" i="8" s="1"/>
  <c r="HX20" i="8" l="1"/>
  <c r="HX23" i="8" s="1"/>
  <c r="HY20" i="8" l="1"/>
  <c r="HY23" i="8" s="1"/>
  <c r="HZ20" i="8" l="1"/>
  <c r="HZ23" i="8" s="1"/>
  <c r="IA20" i="8" l="1"/>
  <c r="IA23" i="8" s="1"/>
  <c r="IB20" i="8" l="1"/>
  <c r="IB23" i="8" s="1"/>
  <c r="IC20" i="8" l="1"/>
  <c r="IC23" i="8" s="1"/>
  <c r="ID20" i="8" l="1"/>
  <c r="ID23" i="8" s="1"/>
  <c r="IE20" i="8" l="1"/>
  <c r="IE23" i="8" s="1"/>
  <c r="IF20" i="8" l="1"/>
  <c r="IF23" i="8" s="1"/>
  <c r="IG20" i="8" l="1"/>
  <c r="IG23" i="8" s="1"/>
  <c r="IH20" i="8" l="1"/>
  <c r="IH23" i="8" s="1"/>
  <c r="II20" i="8" l="1"/>
  <c r="II23" i="8" s="1"/>
  <c r="IJ20" i="8" l="1"/>
  <c r="IJ23" i="8" s="1"/>
  <c r="IK20" i="8" l="1"/>
  <c r="IK23" i="8" s="1"/>
  <c r="IL20" i="8" l="1"/>
  <c r="IL23" i="8" s="1"/>
  <c r="IM20" i="8" l="1"/>
  <c r="IM23" i="8" s="1"/>
  <c r="IN20" i="8" l="1"/>
  <c r="IN23" i="8" s="1"/>
  <c r="IO20" i="8" l="1"/>
  <c r="IO23" i="8" s="1"/>
  <c r="IP20" i="8" l="1"/>
  <c r="IP23" i="8" s="1"/>
  <c r="IQ20" i="8" l="1"/>
  <c r="IQ23" i="8" s="1"/>
  <c r="IR20" i="8" l="1"/>
  <c r="IR23" i="8" s="1"/>
  <c r="IS20" i="8" l="1"/>
  <c r="IS23" i="8" s="1"/>
  <c r="IT20" i="8" l="1"/>
  <c r="IT23" i="8" s="1"/>
  <c r="IU20" i="8" l="1"/>
  <c r="IU23" i="8" s="1"/>
  <c r="IV20" i="8" l="1"/>
  <c r="IV23" i="8" s="1"/>
  <c r="IW20" i="8" l="1"/>
  <c r="IW23" i="8" s="1"/>
  <c r="IX20" i="8" l="1"/>
  <c r="IX23" i="8" s="1"/>
  <c r="IY20" i="8" l="1"/>
  <c r="IY23" i="8" s="1"/>
  <c r="IZ20" i="8" l="1"/>
  <c r="IZ23" i="8" s="1"/>
  <c r="JA20" i="8" l="1"/>
  <c r="JA23" i="8" s="1"/>
  <c r="JB20" i="8" l="1"/>
  <c r="JB23" i="8" s="1"/>
  <c r="JC20" i="8" l="1"/>
  <c r="JC23" i="8" s="1"/>
  <c r="JD20" i="8" l="1"/>
  <c r="JD23" i="8" s="1"/>
  <c r="JE20" i="8" l="1"/>
  <c r="JE23" i="8" s="1"/>
  <c r="JF20" i="8" l="1"/>
  <c r="JF23" i="8" s="1"/>
  <c r="JG20" i="8" l="1"/>
  <c r="JG23" i="8" s="1"/>
  <c r="JH20" i="8" l="1"/>
  <c r="JH23" i="8" s="1"/>
  <c r="JI20" i="8" l="1"/>
  <c r="JI23" i="8" s="1"/>
  <c r="JJ20" i="8" l="1"/>
  <c r="JJ23" i="8" s="1"/>
  <c r="JK20" i="8" l="1"/>
  <c r="JK23" i="8" s="1"/>
  <c r="JL20" i="8" l="1"/>
  <c r="JL23" i="8" s="1"/>
  <c r="JM20" i="8" l="1"/>
  <c r="JM23" i="8" s="1"/>
  <c r="JN20" i="8" l="1"/>
  <c r="JN23" i="8" s="1"/>
  <c r="JO20" i="8" l="1"/>
  <c r="JO23" i="8" s="1"/>
  <c r="JP20" i="8" l="1"/>
  <c r="JP23" i="8" s="1"/>
  <c r="JQ20" i="8" l="1"/>
  <c r="JQ23" i="8" s="1"/>
  <c r="JR20" i="8" l="1"/>
  <c r="JR23" i="8" s="1"/>
  <c r="JS20" i="8" l="1"/>
  <c r="JS23" i="8" s="1"/>
  <c r="JT20" i="8" l="1"/>
  <c r="JT23" i="8" s="1"/>
  <c r="JU20" i="8" l="1"/>
  <c r="JU23" i="8" s="1"/>
  <c r="JV20" i="8" l="1"/>
  <c r="JV23" i="8" s="1"/>
  <c r="JW20" i="8" l="1"/>
  <c r="JW23" i="8" s="1"/>
  <c r="JX20" i="8" l="1"/>
  <c r="JX23" i="8" s="1"/>
  <c r="JY20" i="8" l="1"/>
  <c r="JY23" i="8" s="1"/>
  <c r="JZ20" i="8" l="1"/>
  <c r="JZ23" i="8" s="1"/>
  <c r="KA20" i="8" l="1"/>
  <c r="KA23" i="8" s="1"/>
  <c r="KB20" i="8" l="1"/>
  <c r="KB23" i="8" s="1"/>
  <c r="KC20" i="8" l="1"/>
  <c r="KC23" i="8" s="1"/>
  <c r="KD20" i="8" l="1"/>
  <c r="KD23" i="8" s="1"/>
  <c r="KE20" i="8" l="1"/>
  <c r="KE23" i="8" s="1"/>
  <c r="KF20" i="8" l="1"/>
  <c r="KF23" i="8" s="1"/>
  <c r="KG20" i="8" l="1"/>
  <c r="KG23" i="8" s="1"/>
  <c r="KH20" i="8" l="1"/>
  <c r="KH23" i="8" s="1"/>
  <c r="KI20" i="8" l="1"/>
  <c r="KI23" i="8" s="1"/>
  <c r="KJ20" i="8" l="1"/>
  <c r="KJ23" i="8" s="1"/>
  <c r="KK20" i="8" l="1"/>
  <c r="KK23" i="8" s="1"/>
  <c r="KL20" i="8" l="1"/>
  <c r="KL23" i="8" s="1"/>
  <c r="KM20" i="8" l="1"/>
  <c r="KM23" i="8" s="1"/>
  <c r="KN20" i="8" l="1"/>
  <c r="KN23" i="8" s="1"/>
  <c r="KO20" i="8" l="1"/>
  <c r="KO23" i="8" s="1"/>
  <c r="KP20" i="8" l="1"/>
  <c r="KP23" i="8" s="1"/>
  <c r="KQ20" i="8" l="1"/>
  <c r="KQ23" i="8" s="1"/>
  <c r="KR20" i="8" l="1"/>
  <c r="KR23" i="8" s="1"/>
  <c r="KS20" i="8" l="1"/>
  <c r="KS23" i="8" s="1"/>
  <c r="KT20" i="8" l="1"/>
  <c r="KT23" i="8" s="1"/>
  <c r="KU20" i="8" l="1"/>
  <c r="KU23" i="8" s="1"/>
  <c r="KV20" i="8" l="1"/>
  <c r="KV23" i="8" s="1"/>
  <c r="KW20" i="8" l="1"/>
  <c r="KW23" i="8" s="1"/>
  <c r="E23" i="8" s="1"/>
  <c r="D37" i="12" l="1"/>
  <c r="C9" i="10"/>
  <c r="R34" i="9"/>
  <c r="Q34" i="9"/>
  <c r="O34" i="9"/>
  <c r="P34" i="9"/>
  <c r="N34" i="9"/>
  <c r="M34" i="9"/>
  <c r="L34" i="9"/>
  <c r="K34" i="9"/>
  <c r="J34" i="9"/>
  <c r="I34" i="9"/>
  <c r="H34" i="9"/>
  <c r="C8" i="9" l="1"/>
  <c r="H8" i="9" s="1"/>
  <c r="D38" i="12"/>
  <c r="D40" i="12" s="1"/>
  <c r="R39" i="9"/>
  <c r="S34" i="9"/>
  <c r="S39" i="9" s="1"/>
  <c r="P39" i="9"/>
  <c r="I39" i="9"/>
  <c r="J39" i="9"/>
  <c r="L39" i="9"/>
  <c r="N39" i="9"/>
  <c r="O39" i="9"/>
  <c r="K39" i="9"/>
  <c r="M39" i="9"/>
  <c r="Q39" i="9"/>
  <c r="R36" i="9"/>
  <c r="K36" i="9"/>
  <c r="Q36" i="9"/>
  <c r="I36" i="9"/>
  <c r="M36" i="9"/>
  <c r="H36" i="9"/>
  <c r="L36" i="9"/>
  <c r="N36" i="9"/>
  <c r="P36" i="9"/>
  <c r="O36" i="9"/>
  <c r="J36" i="9"/>
  <c r="D44" i="12" l="1"/>
  <c r="C9" i="9"/>
  <c r="H9" i="9" s="1"/>
  <c r="R41" i="9"/>
  <c r="R42" i="9" s="1"/>
  <c r="R43" i="9" s="1"/>
  <c r="C4" i="10"/>
  <c r="C37" i="9" l="1"/>
  <c r="D46" i="12"/>
  <c r="D48" i="12" s="1"/>
  <c r="N37" i="9" l="1"/>
  <c r="N38" i="9" s="1"/>
  <c r="N47" i="9" s="1"/>
  <c r="N48" i="9" s="1"/>
  <c r="R44" i="9"/>
  <c r="R45" i="9" s="1"/>
  <c r="K37" i="9"/>
  <c r="K38" i="9" s="1"/>
  <c r="K47" i="9" s="1"/>
  <c r="K48" i="9" s="1"/>
  <c r="R37" i="9"/>
  <c r="R38" i="9" s="1"/>
  <c r="R47" i="9" s="1"/>
  <c r="R48" i="9" s="1"/>
  <c r="M37" i="9"/>
  <c r="M38" i="9" s="1"/>
  <c r="M47" i="9" s="1"/>
  <c r="M48" i="9" s="1"/>
  <c r="J37" i="9"/>
  <c r="J38" i="9" s="1"/>
  <c r="J47" i="9" s="1"/>
  <c r="J48" i="9" s="1"/>
  <c r="O37" i="9"/>
  <c r="O38" i="9" s="1"/>
  <c r="O47" i="9" s="1"/>
  <c r="O48" i="9" s="1"/>
  <c r="Q37" i="9"/>
  <c r="Q38" i="9" s="1"/>
  <c r="Q47" i="9" s="1"/>
  <c r="Q48" i="9" s="1"/>
  <c r="F37" i="9"/>
  <c r="F38" i="9" s="1"/>
  <c r="I37" i="9"/>
  <c r="I38" i="9" s="1"/>
  <c r="I47" i="9" s="1"/>
  <c r="I48" i="9" s="1"/>
  <c r="H37" i="9"/>
  <c r="H47" i="9" s="1"/>
  <c r="P37" i="9"/>
  <c r="P38" i="9" s="1"/>
  <c r="P47" i="9" s="1"/>
  <c r="P48" i="9" s="1"/>
  <c r="L37" i="9"/>
  <c r="L38" i="9" s="1"/>
  <c r="L47" i="9" s="1"/>
  <c r="L48" i="9" s="1"/>
  <c r="F50" i="9" l="1"/>
  <c r="F51" i="9"/>
</calcChain>
</file>

<file path=xl/sharedStrings.xml><?xml version="1.0" encoding="utf-8"?>
<sst xmlns="http://schemas.openxmlformats.org/spreadsheetml/2006/main" count="226" uniqueCount="155">
  <si>
    <t>Construction / soft cost period</t>
  </si>
  <si>
    <t>years</t>
  </si>
  <si>
    <t>Selling Expense</t>
  </si>
  <si>
    <t>NOI</t>
  </si>
  <si>
    <t>Net Sale Proceeds</t>
  </si>
  <si>
    <t>IRR</t>
  </si>
  <si>
    <t>Years</t>
  </si>
  <si>
    <t>Debt Service</t>
  </si>
  <si>
    <t>Rent/MO</t>
  </si>
  <si>
    <t>Exhibit 15</t>
  </si>
  <si>
    <t>Based off city of Madison</t>
  </si>
  <si>
    <t>2Br/2Ba</t>
  </si>
  <si>
    <t>4Br/4Ba</t>
  </si>
  <si>
    <t># of Units</t>
  </si>
  <si>
    <t>Bedrooms</t>
  </si>
  <si>
    <t>Sq ft</t>
  </si>
  <si>
    <t>Rent/MO/Room</t>
  </si>
  <si>
    <t>Total</t>
  </si>
  <si>
    <t xml:space="preserve">Parking </t>
  </si>
  <si>
    <t xml:space="preserve">Rent/Year </t>
  </si>
  <si>
    <t xml:space="preserve">Available parking space per bedroom </t>
  </si>
  <si>
    <t>Given:</t>
  </si>
  <si>
    <t>Our calculation:</t>
  </si>
  <si>
    <t>Rent/MO/Room/Unit</t>
  </si>
  <si>
    <t>Rent/MO/Unit</t>
  </si>
  <si>
    <t>Construction Loan</t>
  </si>
  <si>
    <t>months</t>
  </si>
  <si>
    <t>Building Square footage</t>
  </si>
  <si>
    <t>Demolition</t>
  </si>
  <si>
    <t>Hard Construction Costs</t>
  </si>
  <si>
    <t>Soft Construction Costs</t>
  </si>
  <si>
    <t>Land Acquisition Cost</t>
  </si>
  <si>
    <t>Debt Payment</t>
  </si>
  <si>
    <t>Parking Income</t>
  </si>
  <si>
    <t>Vacancy Loss</t>
  </si>
  <si>
    <t>Credit Loss</t>
  </si>
  <si>
    <t>Effective Gross Income</t>
  </si>
  <si>
    <t>Potential Gross Income</t>
  </si>
  <si>
    <t>Land Acquisition</t>
  </si>
  <si>
    <t>CapEx</t>
  </si>
  <si>
    <t>Rental Income</t>
  </si>
  <si>
    <t>Projection period</t>
  </si>
  <si>
    <t>Project Flags</t>
  </si>
  <si>
    <t>Hard Construction Drawdown</t>
  </si>
  <si>
    <t>Drawdown</t>
  </si>
  <si>
    <t>Real Estate Tax</t>
  </si>
  <si>
    <t>Common Area Gas</t>
  </si>
  <si>
    <t>Common Area Cleaning</t>
  </si>
  <si>
    <t>Security System</t>
  </si>
  <si>
    <t>Landscaping Maintenance</t>
  </si>
  <si>
    <t>Check</t>
  </si>
  <si>
    <t>Landscaping Irrigation</t>
  </si>
  <si>
    <t>Exterminating</t>
  </si>
  <si>
    <t>Snow Removal</t>
  </si>
  <si>
    <t>Garbage Service</t>
  </si>
  <si>
    <t>HVAC Service Contract</t>
  </si>
  <si>
    <t>General Maintenance</t>
  </si>
  <si>
    <t>Unit Turnover Cleaning</t>
  </si>
  <si>
    <t>Insurance</t>
  </si>
  <si>
    <t>Management Fee</t>
  </si>
  <si>
    <t>Interest Expense</t>
  </si>
  <si>
    <t>Interest Accrued</t>
  </si>
  <si>
    <t>Common Area Electric</t>
  </si>
  <si>
    <t>Beginning Balance</t>
  </si>
  <si>
    <t>Ending Loan Balance</t>
  </si>
  <si>
    <t>Construction Loan Payoff</t>
  </si>
  <si>
    <t>Exit Cap</t>
  </si>
  <si>
    <t>Discount Rate</t>
  </si>
  <si>
    <t>Net Operating Income</t>
  </si>
  <si>
    <t>Risk Free Rate</t>
  </si>
  <si>
    <t>Permenant Debt Financing</t>
  </si>
  <si>
    <t>Value of Construction Loan</t>
  </si>
  <si>
    <t>Adjusting for growth</t>
  </si>
  <si>
    <t>Operating Expenses excl Depr</t>
  </si>
  <si>
    <t>Assuming fiscal year operates from 9/1 - 8/31</t>
  </si>
  <si>
    <t>Adjusting for NOI at Completion</t>
  </si>
  <si>
    <t>Yield on Cost</t>
  </si>
  <si>
    <t>Total Development Cost - Actual</t>
  </si>
  <si>
    <t>Total Development Cost - Possible</t>
  </si>
  <si>
    <t xml:space="preserve">Therefore, Project is feasible </t>
  </si>
  <si>
    <t>Before Tax Cash Flow</t>
  </si>
  <si>
    <t xml:space="preserve">Merits </t>
  </si>
  <si>
    <t>Disadvantages</t>
  </si>
  <si>
    <t>Current Year</t>
  </si>
  <si>
    <t>Operations Begin</t>
  </si>
  <si>
    <t>Current Mortgage Rates</t>
  </si>
  <si>
    <t>Unlevered BTCF</t>
  </si>
  <si>
    <t>Housing</t>
  </si>
  <si>
    <t xml:space="preserve">Key case assumptions used </t>
  </si>
  <si>
    <t>Justification</t>
  </si>
  <si>
    <t>Based on school year</t>
  </si>
  <si>
    <t>Given for the comparable, Juniper Vista</t>
  </si>
  <si>
    <t>Given for Madison</t>
  </si>
  <si>
    <t>Cost per Square Foot</t>
  </si>
  <si>
    <t>1.7 years per slide Jan 2013  to Aug 2014</t>
  </si>
  <si>
    <t>Holding Period Ends as of Aug 2025</t>
  </si>
  <si>
    <t>Expenses</t>
  </si>
  <si>
    <t>Capital Expenditure</t>
  </si>
  <si>
    <t>Mortgage</t>
  </si>
  <si>
    <t>Completed Asset Value</t>
  </si>
  <si>
    <t>Value of Construction Loan at Completion</t>
  </si>
  <si>
    <t>Given from the case</t>
  </si>
  <si>
    <t>Loan-To-Value</t>
  </si>
  <si>
    <t>Principal</t>
  </si>
  <si>
    <t>Long-Run Rent Growth, NOI</t>
  </si>
  <si>
    <t>Amortization Period</t>
  </si>
  <si>
    <t>sqft</t>
  </si>
  <si>
    <t>USD</t>
  </si>
  <si>
    <t>%</t>
  </si>
  <si>
    <t>Calculated based of projected EGI</t>
  </si>
  <si>
    <t>Inputs</t>
  </si>
  <si>
    <t>DCR</t>
  </si>
  <si>
    <t>Minimum DCR</t>
  </si>
  <si>
    <t>DCR Check</t>
  </si>
  <si>
    <t>Selling Price at year 15</t>
  </si>
  <si>
    <t>Calculated as 3x value of comparable properties</t>
  </si>
  <si>
    <t>Selling expenses</t>
  </si>
  <si>
    <t>Loan Payoff</t>
  </si>
  <si>
    <t>Permenant Loan</t>
  </si>
  <si>
    <t>Total Cash Flow</t>
  </si>
  <si>
    <t>Assuming brokerage cost of 2 to 3% cost. Using 0% will inflate the IRR and BTER</t>
  </si>
  <si>
    <t>Current Income Statement</t>
  </si>
  <si>
    <t>CapEx/NOI</t>
  </si>
  <si>
    <t>Remaining Mortgage Balance</t>
  </si>
  <si>
    <t>NOI at Completion (net of CapEx)</t>
  </si>
  <si>
    <t>Present Value (discounted monthly)</t>
  </si>
  <si>
    <t>Net Present Value</t>
  </si>
  <si>
    <t>Benefits:</t>
  </si>
  <si>
    <t xml:space="preserve">Costs &amp; Risks: </t>
  </si>
  <si>
    <t>Pro Forma</t>
  </si>
  <si>
    <t>There are several risks the analysis doesn’t fully address. It assumes the project will generate income immediately, which ignores possible construction delays or problems finding tenants. The loan terms they use are fixed, but in reality, interest rates can change. Also, buying several properties for land might cost more or be harder than expected. Plus, their rent and parking income estimates come from ads, which may not reflect actual deals. Overall, while this analysis is a good first step, it is too simple to rely on alone. A more detailed study that looks at market demand, risks, and different financial scenarios is needed to make a smarter investment decision.</t>
  </si>
  <si>
    <t xml:space="preserve">Slater and Lenard’s feasibility analysis gives a quick look at whether their development project might work financially. They used simple calculations based on expected rents, expenses, and loan terms to figure out how much they could spend on buying land. Their numbers suggest the project could be profitable because the estimated land cost is less than what they can afford. This kind of quick estimate is helpful to get a rough idea early on. However, many of their assumptions - like the building being fully rented right away and land prices staying average - are very optimistic and don’t consider real-world challenges. </t>
  </si>
  <si>
    <r>
      <t>Demand/Supply Imbalance:</t>
    </r>
    <r>
      <rPr>
        <sz val="11"/>
        <color rgb="FF000000"/>
        <rFont val="Book Antiqua"/>
        <family val="1"/>
      </rPr>
      <t xml:space="preserve"> Madison is home to the University of Wisconsin-Madison (a major Big Ten school). Large universities often have a chronic shortage of on-campus housing, forcing students into the local market.</t>
    </r>
  </si>
  <si>
    <r>
      <t>Seasonality:</t>
    </r>
    <r>
      <rPr>
        <sz val="11"/>
        <color rgb="FF000000"/>
        <rFont val="Book Antiqua"/>
        <family val="1"/>
      </rPr>
      <t xml:space="preserve"> The major risk in student housing is the 12-month lease cycle. If you miss the "lease-up" window in August/September, you may face high vacancy for an entire year.</t>
    </r>
  </si>
  <si>
    <r>
      <t>The "Luxury" Niche:</t>
    </r>
    <r>
      <rPr>
        <sz val="11"/>
        <color rgb="FF000000"/>
        <rFont val="Book Antiqua"/>
        <family val="1"/>
      </rPr>
      <t xml:space="preserve"> As seen in Slater’s Florida success, there is a growing demographic of students (and parents) willing to pay premiums for "luxury" amenities (ensuite bathrooms, gyms, pools) that older stock housing lacks.</t>
    </r>
  </si>
  <si>
    <r>
      <t>Turnover Costs:</t>
    </r>
    <r>
      <rPr>
        <sz val="11"/>
        <color rgb="FF000000"/>
        <rFont val="Book Antiqua"/>
        <family val="1"/>
      </rPr>
      <t xml:space="preserve"> Student housing requires heavy "turn" costs (cleaning, painting, repairs) every August due to the intense wear and tear compared to conventional multifamily.</t>
    </r>
  </si>
  <si>
    <r>
      <t>Stability:</t>
    </r>
    <r>
      <rPr>
        <sz val="11"/>
        <color rgb="FF000000"/>
        <rFont val="Book Antiqua"/>
        <family val="1"/>
      </rPr>
      <t xml:space="preserve"> Student housing is often considered recession-resistant. Enrollments often go </t>
    </r>
    <r>
      <rPr>
        <i/>
        <sz val="11"/>
        <color rgb="FF000000"/>
        <rFont val="Book Antiqua"/>
        <family val="1"/>
      </rPr>
      <t>up</t>
    </r>
    <r>
      <rPr>
        <sz val="11"/>
        <color rgb="FF000000"/>
        <rFont val="Book Antiqua"/>
        <family val="1"/>
      </rPr>
      <t xml:space="preserve"> during economic downturns, securing the tenant base.</t>
    </r>
  </si>
  <si>
    <r>
      <t>Specific Market Risk:</t>
    </r>
    <r>
      <rPr>
        <sz val="11"/>
        <color rgb="FF000000"/>
        <rFont val="Book Antiqua"/>
        <family val="1"/>
      </rPr>
      <t xml:space="preserve"> Madison has specific zoning restrictions and a colder climate (impacting construction windows) compared to Florida.</t>
    </r>
  </si>
  <si>
    <r>
      <rPr>
        <b/>
        <sz val="11"/>
        <color theme="1"/>
        <rFont val="Book Antiqua"/>
        <family val="1"/>
      </rPr>
      <t xml:space="preserve">Economic Surge: </t>
    </r>
    <r>
      <rPr>
        <sz val="11"/>
        <color theme="1"/>
        <rFont val="Book Antiqua"/>
        <family val="1"/>
      </rPr>
      <t>The city which held a strong presence in government and education affiliations, have noticed a strong representation of high-tech firms. Strong educated work force, with an unemployment rate of only 3.5% in the area. This city is ranked in top 10 for job growth.</t>
    </r>
  </si>
  <si>
    <r>
      <t>Concentration Risk:</t>
    </r>
    <r>
      <rPr>
        <sz val="11"/>
        <color rgb="FF000000"/>
        <rFont val="Book Antiqua"/>
        <family val="1"/>
      </rPr>
      <t xml:space="preserve"> The asset is entirely dependent on the success and enrollment policies of a single institution (UW Madison). However, this is not an immediate risk with the given housing crisis at the university relying on the UW-Madison Private Housing Connections program.  </t>
    </r>
  </si>
  <si>
    <r>
      <rPr>
        <b/>
        <sz val="11"/>
        <color theme="1"/>
        <rFont val="Book Antiqua"/>
        <family val="1"/>
      </rPr>
      <t xml:space="preserve">Simple &amp; Clear Measure of Profitability: </t>
    </r>
    <r>
      <rPr>
        <sz val="11"/>
        <color theme="1"/>
        <rFont val="Book Antiqua"/>
        <family val="1"/>
      </rPr>
      <t>It shows how much cash flow the project will generate compared to all the money spent building it, helping decide if the project is worth doing</t>
    </r>
  </si>
  <si>
    <r>
      <rPr>
        <b/>
        <sz val="11"/>
        <color theme="1"/>
        <rFont val="Book Antiqua"/>
        <family val="1"/>
      </rPr>
      <t>Ignores Time Value of Money:</t>
    </r>
    <r>
      <rPr>
        <sz val="11"/>
        <color theme="1"/>
        <rFont val="Book Antiqua"/>
        <family val="1"/>
      </rPr>
      <t xml:space="preserve"> The approach does not discount future cash flows or account for the timing of costs and income, which can overstate the project’s profitability</t>
    </r>
  </si>
  <si>
    <r>
      <t xml:space="preserve">Focuses on Finished Project Performance: </t>
    </r>
    <r>
      <rPr>
        <sz val="11"/>
        <color theme="1"/>
        <rFont val="Book Antiqua"/>
        <family val="1"/>
      </rPr>
      <t>By looking at cash flow after construction, it avoids confusing numbers from the building phase and shows what the property will really earn once it’s running.</t>
    </r>
  </si>
  <si>
    <r>
      <t xml:space="preserve">Assumes Immediate Stabilization: </t>
    </r>
    <r>
      <rPr>
        <sz val="11"/>
        <color theme="1"/>
        <rFont val="Book Antiqua"/>
        <family val="1"/>
      </rPr>
      <t>It assumes the property reaches full occupancy and market rents at completion, ignoring lease-up risks such as vacancies, rent concessions, and market fluctuations.</t>
    </r>
  </si>
  <si>
    <r>
      <t xml:space="preserve">Standardizes Comparing Projects: </t>
    </r>
    <r>
      <rPr>
        <sz val="11"/>
        <color theme="1"/>
        <rFont val="Book Antiqua"/>
        <family val="1"/>
      </rPr>
      <t>Because it gives a simple percentage return, it helps quickly compare different projects to see which ones might make more money.</t>
    </r>
  </si>
  <si>
    <r>
      <t xml:space="preserve">Excludes Leverage and Financing Effects: </t>
    </r>
    <r>
      <rPr>
        <sz val="11"/>
        <color theme="1"/>
        <rFont val="Book Antiqua"/>
        <family val="1"/>
      </rPr>
      <t>Because it is an unlevered metric, it does not consider how debt impacts returns to equity investors, which can distort actual investment performance.</t>
    </r>
  </si>
  <si>
    <t xml:space="preserve">Calculated in </t>
  </si>
  <si>
    <t>Construction Loan Sheet</t>
  </si>
  <si>
    <t>Given in case</t>
  </si>
  <si>
    <t>Student Housing Project</t>
  </si>
  <si>
    <t>Referenced</t>
  </si>
  <si>
    <t>Formatting Key:</t>
  </si>
  <si>
    <t xml:space="preserve">Formulas </t>
  </si>
  <si>
    <t>Completed as a collaborative team effort by:</t>
  </si>
  <si>
    <t>HongAn, Shaira, &amp; Adarsh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</si>
</sst>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0_);[Red]\(&quot;$&quot;#,##0\)"/>
    <numFmt numFmtId="8" formatCode="&quot;$&quot;#,##0.00_);[Red]\(&quot;$&quot;#,##0.00\)"/>
    <numFmt numFmtId="41" formatCode="_(* #,##0_);_(* \(#,##0\);_(* &quot;-&quot;_);_(@_)"/>
    <numFmt numFmtId="43" formatCode="_(* #,##0.00_);_(* \(#,##0.00\);_(* &quot;-&quot;??_);_(@_)"/>
    <numFmt numFmtId="164" formatCode="_(* #,##0_);_(* \(#,##0\);_(* &quot;-&quot;??_);_(@_)"/>
    <numFmt numFmtId="165" formatCode="[$-409]mmmm\-yy;@"/>
    <numFmt numFmtId="166" formatCode="0.000%"/>
    <numFmt numFmtId="167" formatCode="_(&quot;$&quot;* #,##0.0_);_(&quot;$&quot;* \(#,##0.0\);_(&quot;$&quot;* &quot;-&quot;??_);_(@_)"/>
    <numFmt numFmtId="168" formatCode="_(* #,##0.0_);_(* \(#,##0.0\);_(* &quot;-&quot;?_);_(@_)"/>
    <numFmt numFmtId="169" formatCode="#,##0_);\(#,##0\);\-"/>
    <numFmt numFmtId="170" formatCode="#.00&quot;x&quot;"/>
    <numFmt numFmtId="171" formatCode="&quot;$&quot;#,##0"/>
    <numFmt numFmtId="172" formatCode="0.00%;\(0.00%\);\-\%"/>
  </numFmts>
  <fonts count="32"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b/>
      <sz val="11"/>
      <color theme="1"/>
      <name val="Aptos Narrow"/>
      <scheme val="minor"/>
    </font>
    <font>
      <b/>
      <sz val="11"/>
      <color theme="0"/>
      <name val="Book Antiqua"/>
      <family val="1"/>
    </font>
    <font>
      <sz val="12"/>
      <color theme="1"/>
      <name val="Book Antiqua"/>
      <family val="1"/>
    </font>
    <font>
      <sz val="11"/>
      <color theme="1"/>
      <name val="Book Antiqua"/>
      <family val="1"/>
    </font>
    <font>
      <b/>
      <sz val="11"/>
      <color theme="1"/>
      <name val="Book Antiqua"/>
      <family val="1"/>
    </font>
    <font>
      <b/>
      <sz val="12"/>
      <color theme="1"/>
      <name val="Book Antiqua"/>
      <family val="1"/>
    </font>
    <font>
      <sz val="11"/>
      <color rgb="FF000000"/>
      <name val="Book Antiqua"/>
      <family val="1"/>
    </font>
    <font>
      <i/>
      <sz val="10"/>
      <color rgb="FF000000"/>
      <name val="Book Antiqua"/>
      <family val="1"/>
    </font>
    <font>
      <sz val="11"/>
      <color rgb="FF0033CC"/>
      <name val="Book Antiqua"/>
      <family val="1"/>
    </font>
    <font>
      <b/>
      <sz val="11"/>
      <color rgb="FF000000"/>
      <name val="Book Antiqua"/>
      <family val="1"/>
    </font>
    <font>
      <i/>
      <sz val="11"/>
      <color theme="1"/>
      <name val="Book Antiqua"/>
      <family val="1"/>
    </font>
    <font>
      <i/>
      <sz val="11"/>
      <color rgb="FF000000"/>
      <name val="Book Antiqua"/>
      <family val="1"/>
    </font>
    <font>
      <b/>
      <sz val="11"/>
      <color theme="0" tint="-4.9989318521683403E-2"/>
      <name val="Book Antiqua"/>
      <family val="1"/>
    </font>
    <font>
      <sz val="10"/>
      <color theme="1"/>
      <name val="Book Antiqua"/>
      <family val="1"/>
    </font>
    <font>
      <b/>
      <sz val="10"/>
      <color theme="1"/>
      <name val="Book Antiqua"/>
      <family val="1"/>
    </font>
    <font>
      <sz val="10"/>
      <color rgb="FF000000"/>
      <name val="Book Antiqua"/>
      <family val="1"/>
    </font>
    <font>
      <b/>
      <sz val="10"/>
      <color theme="0"/>
      <name val="Book Antiqua"/>
      <family val="1"/>
    </font>
    <font>
      <b/>
      <sz val="10"/>
      <color rgb="FF00B050"/>
      <name val="Book Antiqua"/>
      <family val="1"/>
    </font>
    <font>
      <i/>
      <sz val="10"/>
      <color theme="0" tint="-0.249977111117893"/>
      <name val="Book Antiqua"/>
      <family val="1"/>
    </font>
    <font>
      <b/>
      <i/>
      <sz val="10"/>
      <color theme="0" tint="-0.249977111117893"/>
      <name val="Book Antiqua"/>
      <family val="1"/>
    </font>
    <font>
      <sz val="10"/>
      <color rgb="FF0033CC"/>
      <name val="Book Antiqua"/>
      <family val="1"/>
    </font>
    <font>
      <sz val="10"/>
      <name val="Book Antiqua"/>
      <family val="1"/>
    </font>
    <font>
      <i/>
      <sz val="10"/>
      <color theme="1"/>
      <name val="Book Antiqua"/>
      <family val="1"/>
    </font>
    <font>
      <b/>
      <u/>
      <sz val="10"/>
      <color theme="1"/>
      <name val="Book Antiqua"/>
      <family val="1"/>
    </font>
    <font>
      <u/>
      <sz val="11"/>
      <color theme="10"/>
      <name val="Aptos Narrow"/>
      <family val="2"/>
      <scheme val="minor"/>
    </font>
    <font>
      <u/>
      <sz val="11"/>
      <color theme="10"/>
      <name val="Book Antiqua"/>
      <family val="1"/>
    </font>
    <font>
      <b/>
      <sz val="14"/>
      <color theme="1"/>
      <name val="Book Antiqua"/>
      <family val="1"/>
    </font>
    <font>
      <i/>
      <sz val="12"/>
      <color theme="1"/>
      <name val="Book Antiqua"/>
      <family val="1"/>
    </font>
  </fonts>
  <fills count="11">
    <fill>
      <patternFill patternType="none"/>
    </fill>
    <fill>
      <patternFill patternType="gray125"/>
    </fill>
    <fill>
      <patternFill patternType="solid">
        <fgColor theme="4" tint="-0.249977111117893"/>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9" tint="-0.499984740745262"/>
        <bgColor indexed="64"/>
      </patternFill>
    </fill>
    <fill>
      <patternFill patternType="solid">
        <fgColor theme="9" tint="0.79998168889431442"/>
        <bgColor indexed="64"/>
      </patternFill>
    </fill>
    <fill>
      <patternFill patternType="solid">
        <fgColor theme="5" tint="-0.499984740745262"/>
        <bgColor indexed="64"/>
      </patternFill>
    </fill>
    <fill>
      <patternFill patternType="solid">
        <fgColor rgb="FFFFFFCC"/>
      </patternFill>
    </fill>
    <fill>
      <patternFill patternType="darkDown">
        <fgColor rgb="FF000000"/>
        <bgColor rgb="FFE7E6E6"/>
      </patternFill>
    </fill>
    <fill>
      <patternFill patternType="solid">
        <fgColor theme="3" tint="0.89999084444715716"/>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rgb="FFB2B2B2"/>
      </left>
      <right style="thin">
        <color rgb="FFB2B2B2"/>
      </right>
      <top style="thin">
        <color rgb="FFB2B2B2"/>
      </top>
      <bottom style="thin">
        <color rgb="FFB2B2B2"/>
      </bottom>
      <diagonal/>
    </border>
    <border>
      <left/>
      <right/>
      <top/>
      <bottom style="double">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B2B2B2"/>
      </left>
      <right style="thin">
        <color rgb="FFB2B2B2"/>
      </right>
      <top/>
      <bottom style="thin">
        <color rgb="FFB2B2B2"/>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8" borderId="7" applyNumberFormat="0" applyFont="0" applyAlignment="0" applyProtection="0"/>
    <xf numFmtId="0" fontId="28" fillId="0" borderId="0" applyNumberFormat="0" applyFill="0" applyBorder="0" applyAlignment="0" applyProtection="0"/>
  </cellStyleXfs>
  <cellXfs count="166">
    <xf numFmtId="0" fontId="0" fillId="0" borderId="0" xfId="0"/>
    <xf numFmtId="168" fontId="0" fillId="0" borderId="0" xfId="0" applyNumberFormat="1"/>
    <xf numFmtId="0" fontId="0" fillId="0" borderId="0" xfId="0" applyAlignment="1">
      <alignment horizontal="left" indent="1"/>
    </xf>
    <xf numFmtId="0" fontId="2" fillId="2" borderId="0" xfId="0" applyFont="1" applyFill="1"/>
    <xf numFmtId="165" fontId="2" fillId="2" borderId="0" xfId="0" applyNumberFormat="1" applyFont="1" applyFill="1"/>
    <xf numFmtId="43" fontId="0" fillId="0" borderId="0" xfId="1" applyFont="1"/>
    <xf numFmtId="164" fontId="0" fillId="0" borderId="0" xfId="1" applyNumberFormat="1" applyFont="1"/>
    <xf numFmtId="164" fontId="3" fillId="3" borderId="4" xfId="0" applyNumberFormat="1" applyFont="1" applyFill="1" applyBorder="1"/>
    <xf numFmtId="37" fontId="0" fillId="0" borderId="0" xfId="0" applyNumberFormat="1"/>
    <xf numFmtId="1" fontId="2" fillId="2" borderId="0" xfId="1" applyNumberFormat="1" applyFont="1" applyFill="1"/>
    <xf numFmtId="10" fontId="0" fillId="0" borderId="1" xfId="0" applyNumberFormat="1" applyBorder="1"/>
    <xf numFmtId="0" fontId="0" fillId="0" borderId="0" xfId="0" applyAlignment="1">
      <alignment wrapText="1"/>
    </xf>
    <xf numFmtId="164" fontId="0" fillId="3" borderId="4" xfId="0" applyNumberFormat="1" applyFill="1" applyBorder="1"/>
    <xf numFmtId="164" fontId="4" fillId="3" borderId="4" xfId="0" applyNumberFormat="1" applyFont="1" applyFill="1" applyBorder="1"/>
    <xf numFmtId="37" fontId="0" fillId="0" borderId="6" xfId="1" applyNumberFormat="1" applyFont="1" applyBorder="1"/>
    <xf numFmtId="0" fontId="5" fillId="2" borderId="0" xfId="0" applyFont="1" applyFill="1"/>
    <xf numFmtId="0" fontId="6" fillId="0" borderId="0" xfId="0" applyFont="1"/>
    <xf numFmtId="0" fontId="7" fillId="0" borderId="0" xfId="0" applyFont="1"/>
    <xf numFmtId="0" fontId="8" fillId="0" borderId="8" xfId="0" applyFont="1" applyBorder="1"/>
    <xf numFmtId="0" fontId="8" fillId="0" borderId="0" xfId="0" applyFont="1"/>
    <xf numFmtId="0" fontId="9" fillId="0" borderId="0" xfId="0" applyFont="1"/>
    <xf numFmtId="0" fontId="10" fillId="0" borderId="0" xfId="0" applyFont="1"/>
    <xf numFmtId="0" fontId="11" fillId="0" borderId="0" xfId="0" applyFont="1" applyAlignment="1">
      <alignment horizontal="center"/>
    </xf>
    <xf numFmtId="3" fontId="12" fillId="8" borderId="7" xfId="3" applyNumberFormat="1" applyFont="1"/>
    <xf numFmtId="37" fontId="12" fillId="8" borderId="7" xfId="3" applyNumberFormat="1" applyFont="1"/>
    <xf numFmtId="0" fontId="6" fillId="0" borderId="0" xfId="0" applyFont="1" applyAlignment="1">
      <alignment horizontal="left"/>
    </xf>
    <xf numFmtId="0" fontId="13" fillId="0" borderId="8" xfId="0" applyFont="1" applyBorder="1"/>
    <xf numFmtId="0" fontId="13" fillId="0" borderId="0" xfId="0" applyFont="1"/>
    <xf numFmtId="10" fontId="12" fillId="8" borderId="7" xfId="3" applyNumberFormat="1" applyFont="1"/>
    <xf numFmtId="9" fontId="12" fillId="8" borderId="7" xfId="3" applyNumberFormat="1" applyFont="1"/>
    <xf numFmtId="37" fontId="7" fillId="0" borderId="0" xfId="0" applyNumberFormat="1" applyFont="1"/>
    <xf numFmtId="164" fontId="8" fillId="0" borderId="4" xfId="0" applyNumberFormat="1" applyFont="1" applyBorder="1"/>
    <xf numFmtId="9" fontId="7" fillId="0" borderId="0" xfId="2" applyFont="1"/>
    <xf numFmtId="164" fontId="8" fillId="0" borderId="0" xfId="0" applyNumberFormat="1" applyFont="1"/>
    <xf numFmtId="166" fontId="8" fillId="0" borderId="0" xfId="0" applyNumberFormat="1" applyFont="1"/>
    <xf numFmtId="164" fontId="7" fillId="0" borderId="0" xfId="1" applyNumberFormat="1" applyFont="1"/>
    <xf numFmtId="170" fontId="7" fillId="0" borderId="0" xfId="0" applyNumberFormat="1" applyFont="1"/>
    <xf numFmtId="0" fontId="14" fillId="0" borderId="0" xfId="0" applyFont="1" applyAlignment="1">
      <alignment horizontal="center"/>
    </xf>
    <xf numFmtId="0" fontId="7" fillId="0" borderId="0" xfId="0" applyFont="1" applyAlignment="1">
      <alignment horizontal="left" indent="1"/>
    </xf>
    <xf numFmtId="37" fontId="7" fillId="0" borderId="6" xfId="1" applyNumberFormat="1" applyFont="1" applyBorder="1"/>
    <xf numFmtId="10" fontId="7" fillId="0" borderId="1" xfId="0" applyNumberFormat="1" applyFont="1" applyBorder="1"/>
    <xf numFmtId="164" fontId="8" fillId="3" borderId="4" xfId="0" applyNumberFormat="1" applyFont="1" applyFill="1" applyBorder="1"/>
    <xf numFmtId="164" fontId="14" fillId="3" borderId="4" xfId="0" applyNumberFormat="1" applyFont="1" applyFill="1" applyBorder="1" applyAlignment="1">
      <alignment horizontal="center"/>
    </xf>
    <xf numFmtId="0" fontId="5" fillId="0" borderId="0" xfId="0" applyFont="1" applyAlignment="1">
      <alignment horizontal="center" wrapText="1"/>
    </xf>
    <xf numFmtId="0" fontId="13" fillId="0" borderId="0" xfId="0" applyFont="1" applyAlignment="1">
      <alignment vertical="top" wrapText="1"/>
    </xf>
    <xf numFmtId="0" fontId="7" fillId="0" borderId="0" xfId="0" applyFont="1" applyAlignment="1">
      <alignment vertical="top" wrapText="1"/>
    </xf>
    <xf numFmtId="0" fontId="8" fillId="0" borderId="3" xfId="0" applyFont="1" applyBorder="1"/>
    <xf numFmtId="3" fontId="7" fillId="0" borderId="0" xfId="0" applyNumberFormat="1" applyFont="1"/>
    <xf numFmtId="3" fontId="7" fillId="0" borderId="3" xfId="0" applyNumberFormat="1" applyFont="1" applyBorder="1"/>
    <xf numFmtId="0" fontId="8" fillId="3" borderId="4" xfId="0" applyFont="1" applyFill="1" applyBorder="1" applyAlignment="1">
      <alignment horizontal="left" indent="1"/>
    </xf>
    <xf numFmtId="0" fontId="7" fillId="0" borderId="0" xfId="0" applyFont="1" applyAlignment="1">
      <alignment wrapText="1"/>
    </xf>
    <xf numFmtId="165" fontId="5" fillId="2" borderId="0" xfId="0" applyNumberFormat="1" applyFont="1" applyFill="1"/>
    <xf numFmtId="10" fontId="7" fillId="0" borderId="0" xfId="2" applyNumberFormat="1" applyFont="1"/>
    <xf numFmtId="0" fontId="7" fillId="0" borderId="0" xfId="0" applyFont="1" applyAlignment="1">
      <alignment horizontal="left"/>
    </xf>
    <xf numFmtId="3" fontId="8" fillId="0" borderId="0" xfId="0" applyNumberFormat="1" applyFont="1"/>
    <xf numFmtId="0" fontId="16" fillId="5" borderId="0" xfId="0" applyFont="1" applyFill="1" applyAlignment="1">
      <alignment horizontal="centerContinuous"/>
    </xf>
    <xf numFmtId="0" fontId="16" fillId="7" borderId="0" xfId="0" applyFont="1" applyFill="1" applyAlignment="1">
      <alignment horizontal="centerContinuous"/>
    </xf>
    <xf numFmtId="9" fontId="7" fillId="0" borderId="0" xfId="0" applyNumberFormat="1" applyFont="1"/>
    <xf numFmtId="164" fontId="8" fillId="3" borderId="4" xfId="1" applyNumberFormat="1" applyFont="1" applyFill="1" applyBorder="1" applyAlignment="1">
      <alignment horizontal="left" indent="1"/>
    </xf>
    <xf numFmtId="0" fontId="5" fillId="0" borderId="0" xfId="0" applyFont="1"/>
    <xf numFmtId="172" fontId="19" fillId="9" borderId="0" xfId="0" applyNumberFormat="1" applyFont="1" applyFill="1"/>
    <xf numFmtId="0" fontId="17" fillId="0" borderId="0" xfId="0" applyFont="1"/>
    <xf numFmtId="10" fontId="17" fillId="0" borderId="0" xfId="0" applyNumberFormat="1" applyFont="1"/>
    <xf numFmtId="43" fontId="17" fillId="0" borderId="0" xfId="1" applyFont="1"/>
    <xf numFmtId="0" fontId="20" fillId="2" borderId="0" xfId="0" applyFont="1" applyFill="1"/>
    <xf numFmtId="1" fontId="20" fillId="2" borderId="0" xfId="1" applyNumberFormat="1" applyFont="1" applyFill="1"/>
    <xf numFmtId="0" fontId="20" fillId="0" borderId="0" xfId="0" applyFont="1"/>
    <xf numFmtId="1" fontId="20" fillId="0" borderId="0" xfId="1" applyNumberFormat="1" applyFont="1" applyFill="1"/>
    <xf numFmtId="37" fontId="17" fillId="0" borderId="0" xfId="1" applyNumberFormat="1" applyFont="1"/>
    <xf numFmtId="10" fontId="21" fillId="0" borderId="1" xfId="0" applyNumberFormat="1" applyFont="1" applyBorder="1" applyAlignment="1">
      <alignment horizontal="center"/>
    </xf>
    <xf numFmtId="10" fontId="21" fillId="0" borderId="0" xfId="0" applyNumberFormat="1" applyFont="1" applyAlignment="1">
      <alignment horizontal="center"/>
    </xf>
    <xf numFmtId="39" fontId="17" fillId="0" borderId="0" xfId="1" applyNumberFormat="1" applyFont="1"/>
    <xf numFmtId="0" fontId="21" fillId="0" borderId="0" xfId="0" applyFont="1" applyAlignment="1">
      <alignment horizontal="center"/>
    </xf>
    <xf numFmtId="37" fontId="21" fillId="0" borderId="1" xfId="0" applyNumberFormat="1" applyFont="1" applyBorder="1" applyAlignment="1">
      <alignment horizontal="center"/>
    </xf>
    <xf numFmtId="37" fontId="21" fillId="0" borderId="0" xfId="0" applyNumberFormat="1" applyFont="1" applyAlignment="1">
      <alignment horizontal="center"/>
    </xf>
    <xf numFmtId="37" fontId="17" fillId="0" borderId="0" xfId="0" applyNumberFormat="1" applyFont="1"/>
    <xf numFmtId="0" fontId="17" fillId="0" borderId="0" xfId="0" applyFont="1" applyAlignment="1">
      <alignment horizontal="left" indent="1"/>
    </xf>
    <xf numFmtId="164" fontId="22" fillId="0" borderId="0" xfId="1" applyNumberFormat="1" applyFont="1"/>
    <xf numFmtId="164" fontId="17" fillId="0" borderId="0" xfId="0" applyNumberFormat="1" applyFont="1"/>
    <xf numFmtId="0" fontId="18" fillId="3" borderId="4" xfId="0" applyFont="1" applyFill="1" applyBorder="1"/>
    <xf numFmtId="9" fontId="21" fillId="3" borderId="4" xfId="0" applyNumberFormat="1" applyFont="1" applyFill="1" applyBorder="1" applyAlignment="1">
      <alignment horizontal="center"/>
    </xf>
    <xf numFmtId="164" fontId="23" fillId="3" borderId="4" xfId="0" applyNumberFormat="1" applyFont="1" applyFill="1" applyBorder="1"/>
    <xf numFmtId="164" fontId="18" fillId="3" borderId="4" xfId="0" applyNumberFormat="1" applyFont="1" applyFill="1" applyBorder="1"/>
    <xf numFmtId="164" fontId="22" fillId="0" borderId="0" xfId="0" applyNumberFormat="1" applyFont="1"/>
    <xf numFmtId="9" fontId="21" fillId="0" borderId="1" xfId="0" applyNumberFormat="1" applyFont="1" applyBorder="1" applyAlignment="1">
      <alignment horizontal="center"/>
    </xf>
    <xf numFmtId="9" fontId="21" fillId="0" borderId="0" xfId="0" applyNumberFormat="1" applyFont="1" applyAlignment="1">
      <alignment horizontal="center"/>
    </xf>
    <xf numFmtId="164" fontId="22" fillId="0" borderId="3" xfId="0" applyNumberFormat="1" applyFont="1" applyBorder="1"/>
    <xf numFmtId="164" fontId="17" fillId="0" borderId="3" xfId="0" applyNumberFormat="1" applyFont="1" applyBorder="1"/>
    <xf numFmtId="43" fontId="17" fillId="0" borderId="0" xfId="0" applyNumberFormat="1" applyFont="1"/>
    <xf numFmtId="0" fontId="18" fillId="0" borderId="0" xfId="0" applyFont="1"/>
    <xf numFmtId="9" fontId="21" fillId="0" borderId="3" xfId="0" applyNumberFormat="1" applyFont="1" applyBorder="1" applyAlignment="1">
      <alignment horizontal="center"/>
    </xf>
    <xf numFmtId="164" fontId="23" fillId="0" borderId="0" xfId="0" applyNumberFormat="1" applyFont="1"/>
    <xf numFmtId="164" fontId="18" fillId="0" borderId="0" xfId="0" applyNumberFormat="1" applyFont="1"/>
    <xf numFmtId="9" fontId="21" fillId="0" borderId="9" xfId="0" applyNumberFormat="1" applyFont="1" applyBorder="1" applyAlignment="1">
      <alignment horizontal="center"/>
    </xf>
    <xf numFmtId="37" fontId="21" fillId="0" borderId="5" xfId="0" applyNumberFormat="1" applyFont="1" applyBorder="1" applyAlignment="1">
      <alignment horizontal="center"/>
    </xf>
    <xf numFmtId="43" fontId="22" fillId="0" borderId="0" xfId="0" applyNumberFormat="1" applyFont="1"/>
    <xf numFmtId="0" fontId="18" fillId="3" borderId="4" xfId="0" applyFont="1" applyFill="1" applyBorder="1" applyAlignment="1">
      <alignment horizontal="left"/>
    </xf>
    <xf numFmtId="0" fontId="21" fillId="3" borderId="4" xfId="0" applyFont="1" applyFill="1" applyBorder="1" applyAlignment="1">
      <alignment horizontal="center"/>
    </xf>
    <xf numFmtId="43" fontId="23" fillId="3" borderId="4" xfId="0" applyNumberFormat="1" applyFont="1" applyFill="1" applyBorder="1"/>
    <xf numFmtId="43" fontId="18" fillId="3" borderId="4" xfId="0" applyNumberFormat="1" applyFont="1" applyFill="1" applyBorder="1"/>
    <xf numFmtId="0" fontId="17" fillId="0" borderId="0" xfId="0" applyFont="1" applyAlignment="1">
      <alignment horizontal="left"/>
    </xf>
    <xf numFmtId="10" fontId="17" fillId="0" borderId="0" xfId="2" applyNumberFormat="1" applyFont="1"/>
    <xf numFmtId="10" fontId="22" fillId="0" borderId="0" xfId="2" applyNumberFormat="1" applyFont="1"/>
    <xf numFmtId="8" fontId="17" fillId="0" borderId="0" xfId="0" applyNumberFormat="1" applyFont="1"/>
    <xf numFmtId="164" fontId="17" fillId="0" borderId="6" xfId="0" applyNumberFormat="1" applyFont="1" applyBorder="1"/>
    <xf numFmtId="0" fontId="17" fillId="0" borderId="0" xfId="0" applyFont="1" applyAlignment="1">
      <alignment horizontal="center"/>
    </xf>
    <xf numFmtId="0" fontId="18" fillId="3" borderId="2" xfId="0" applyFont="1" applyFill="1" applyBorder="1" applyAlignment="1">
      <alignment horizontal="left"/>
    </xf>
    <xf numFmtId="0" fontId="21" fillId="3" borderId="2" xfId="0" applyFont="1" applyFill="1" applyBorder="1" applyAlignment="1">
      <alignment horizontal="center"/>
    </xf>
    <xf numFmtId="164" fontId="18" fillId="3" borderId="2" xfId="0" applyNumberFormat="1" applyFont="1" applyFill="1" applyBorder="1"/>
    <xf numFmtId="43" fontId="18" fillId="3" borderId="2" xfId="0" applyNumberFormat="1" applyFont="1" applyFill="1" applyBorder="1"/>
    <xf numFmtId="164" fontId="17" fillId="0" borderId="0" xfId="1" applyNumberFormat="1" applyFont="1"/>
    <xf numFmtId="6" fontId="17" fillId="0" borderId="0" xfId="0" applyNumberFormat="1" applyFont="1"/>
    <xf numFmtId="0" fontId="18" fillId="3" borderId="0" xfId="0" applyFont="1" applyFill="1" applyAlignment="1">
      <alignment horizontal="left" indent="1"/>
    </xf>
    <xf numFmtId="0" fontId="18" fillId="3" borderId="0" xfId="0" applyFont="1" applyFill="1"/>
    <xf numFmtId="6" fontId="18" fillId="3" borderId="0" xfId="0" applyNumberFormat="1" applyFont="1" applyFill="1"/>
    <xf numFmtId="0" fontId="19" fillId="0" borderId="0" xfId="0" applyFont="1"/>
    <xf numFmtId="10" fontId="18" fillId="0" borderId="0" xfId="2" applyNumberFormat="1" applyFont="1" applyFill="1"/>
    <xf numFmtId="2" fontId="17" fillId="0" borderId="0" xfId="0" applyNumberFormat="1" applyFont="1" applyAlignment="1">
      <alignment horizontal="left"/>
    </xf>
    <xf numFmtId="171" fontId="24" fillId="0" borderId="0" xfId="0" applyNumberFormat="1" applyFont="1"/>
    <xf numFmtId="10" fontId="24" fillId="0" borderId="0" xfId="0" applyNumberFormat="1" applyFont="1"/>
    <xf numFmtId="165" fontId="20" fillId="2" borderId="0" xfId="0" applyNumberFormat="1" applyFont="1" applyFill="1"/>
    <xf numFmtId="169" fontId="25" fillId="0" borderId="0" xfId="0" applyNumberFormat="1" applyFont="1" applyAlignment="1">
      <alignment horizontal="center"/>
    </xf>
    <xf numFmtId="167" fontId="17" fillId="0" borderId="0" xfId="0" applyNumberFormat="1" applyFont="1"/>
    <xf numFmtId="167" fontId="11" fillId="0" borderId="0" xfId="0" applyNumberFormat="1" applyFont="1" applyAlignment="1">
      <alignment horizontal="center"/>
    </xf>
    <xf numFmtId="167" fontId="17" fillId="0" borderId="0" xfId="0" applyNumberFormat="1" applyFont="1" applyAlignment="1">
      <alignment horizontal="center"/>
    </xf>
    <xf numFmtId="41" fontId="25" fillId="0" borderId="0" xfId="0" applyNumberFormat="1" applyFont="1"/>
    <xf numFmtId="169" fontId="21" fillId="0" borderId="0" xfId="0" applyNumberFormat="1" applyFont="1" applyAlignment="1">
      <alignment horizontal="center"/>
    </xf>
    <xf numFmtId="14" fontId="17" fillId="0" borderId="1" xfId="0" applyNumberFormat="1" applyFont="1" applyBorder="1" applyAlignment="1">
      <alignment horizontal="center"/>
    </xf>
    <xf numFmtId="37" fontId="17" fillId="0" borderId="0" xfId="0" applyNumberFormat="1" applyFont="1" applyAlignment="1">
      <alignment horizontal="center"/>
    </xf>
    <xf numFmtId="164" fontId="17" fillId="0" borderId="0" xfId="1" applyNumberFormat="1" applyFont="1" applyAlignment="1">
      <alignment horizontal="right"/>
    </xf>
    <xf numFmtId="0" fontId="26" fillId="0" borderId="0" xfId="0" applyFont="1" applyAlignment="1">
      <alignment horizontal="center"/>
    </xf>
    <xf numFmtId="0" fontId="18" fillId="3" borderId="4" xfId="0" applyFont="1" applyFill="1" applyBorder="1" applyAlignment="1">
      <alignment horizontal="left" indent="1"/>
    </xf>
    <xf numFmtId="0" fontId="17" fillId="3" borderId="4" xfId="0" applyFont="1" applyFill="1" applyBorder="1"/>
    <xf numFmtId="0" fontId="26" fillId="3" borderId="4" xfId="0" applyFont="1" applyFill="1" applyBorder="1" applyAlignment="1">
      <alignment horizontal="center"/>
    </xf>
    <xf numFmtId="37" fontId="18" fillId="3" borderId="4" xfId="0" applyNumberFormat="1" applyFont="1" applyFill="1" applyBorder="1" applyAlignment="1">
      <alignment horizontal="center"/>
    </xf>
    <xf numFmtId="0" fontId="27" fillId="0" borderId="0" xfId="0" applyFont="1" applyAlignment="1">
      <alignment horizontal="left" indent="1"/>
    </xf>
    <xf numFmtId="0" fontId="29" fillId="0" borderId="0" xfId="4" applyFont="1"/>
    <xf numFmtId="3" fontId="21" fillId="0" borderId="1" xfId="0" applyNumberFormat="1" applyFont="1" applyBorder="1" applyAlignment="1">
      <alignment horizontal="center"/>
    </xf>
    <xf numFmtId="3" fontId="21" fillId="0" borderId="5" xfId="0" applyNumberFormat="1" applyFont="1" applyBorder="1" applyAlignment="1">
      <alignment horizontal="center"/>
    </xf>
    <xf numFmtId="10" fontId="21" fillId="0" borderId="1" xfId="2" applyNumberFormat="1" applyFont="1" applyBorder="1" applyAlignment="1">
      <alignment horizontal="center"/>
    </xf>
    <xf numFmtId="0" fontId="14" fillId="0" borderId="0" xfId="0" applyFont="1"/>
    <xf numFmtId="0" fontId="31" fillId="0" borderId="0" xfId="0" applyFont="1" applyAlignment="1">
      <alignment horizontal="left"/>
    </xf>
    <xf numFmtId="0" fontId="14" fillId="0" borderId="10" xfId="0" applyFont="1" applyBorder="1" applyAlignment="1">
      <alignment horizontal="left" vertical="top" wrapText="1"/>
    </xf>
    <xf numFmtId="0" fontId="14" fillId="0" borderId="11" xfId="0" applyFont="1" applyBorder="1" applyAlignment="1">
      <alignment horizontal="left" vertical="top" wrapText="1"/>
    </xf>
    <xf numFmtId="0" fontId="14" fillId="0" borderId="12" xfId="0" applyFont="1" applyBorder="1" applyAlignment="1">
      <alignment horizontal="left" vertical="top" wrapText="1"/>
    </xf>
    <xf numFmtId="0" fontId="14" fillId="0" borderId="13" xfId="0" applyFont="1" applyBorder="1" applyAlignment="1">
      <alignment horizontal="left" vertical="top" wrapText="1"/>
    </xf>
    <xf numFmtId="0" fontId="14" fillId="0" borderId="0" xfId="0" applyFont="1" applyAlignment="1">
      <alignment horizontal="left" vertical="top" wrapText="1"/>
    </xf>
    <xf numFmtId="0" fontId="14" fillId="0" borderId="14" xfId="0" applyFont="1" applyBorder="1" applyAlignment="1">
      <alignment horizontal="left" vertical="top" wrapText="1"/>
    </xf>
    <xf numFmtId="0" fontId="14" fillId="0" borderId="13" xfId="0" applyFont="1" applyBorder="1" applyAlignment="1">
      <alignment horizontal="left" wrapText="1"/>
    </xf>
    <xf numFmtId="0" fontId="14" fillId="0" borderId="0" xfId="0" applyFont="1" applyAlignment="1">
      <alignment horizontal="left" wrapText="1"/>
    </xf>
    <xf numFmtId="0" fontId="14" fillId="0" borderId="14" xfId="0" applyFont="1" applyBorder="1" applyAlignment="1">
      <alignment horizontal="left" wrapText="1"/>
    </xf>
    <xf numFmtId="0" fontId="14" fillId="0" borderId="15" xfId="0" applyFont="1" applyBorder="1" applyAlignment="1">
      <alignment horizontal="left" wrapText="1"/>
    </xf>
    <xf numFmtId="0" fontId="14" fillId="0" borderId="16" xfId="0" applyFont="1" applyBorder="1" applyAlignment="1">
      <alignment horizontal="left" wrapText="1"/>
    </xf>
    <xf numFmtId="0" fontId="14" fillId="0" borderId="17" xfId="0" applyFont="1" applyBorder="1" applyAlignment="1">
      <alignment horizontal="left" wrapText="1"/>
    </xf>
    <xf numFmtId="0" fontId="7" fillId="6" borderId="0" xfId="0" applyFont="1" applyFill="1" applyAlignment="1">
      <alignment horizontal="left" vertical="center" wrapText="1"/>
    </xf>
    <xf numFmtId="0" fontId="7" fillId="4" borderId="0" xfId="0" applyFont="1" applyFill="1" applyAlignment="1">
      <alignment horizontal="left" vertical="center" wrapText="1"/>
    </xf>
    <xf numFmtId="0" fontId="8" fillId="6" borderId="0" xfId="0" applyFont="1" applyFill="1" applyAlignment="1">
      <alignment horizontal="left" vertical="center" wrapText="1"/>
    </xf>
    <xf numFmtId="0" fontId="8" fillId="4" borderId="0" xfId="0" applyFont="1" applyFill="1" applyAlignment="1">
      <alignment horizontal="left" vertical="center" wrapText="1"/>
    </xf>
    <xf numFmtId="0" fontId="0" fillId="0" borderId="0" xfId="0" applyAlignment="1">
      <alignment horizontal="center" wrapText="1"/>
    </xf>
    <xf numFmtId="0" fontId="7" fillId="10" borderId="0" xfId="0" applyFont="1" applyFill="1" applyAlignment="1">
      <alignment horizontal="left"/>
    </xf>
    <xf numFmtId="0" fontId="7" fillId="0" borderId="0" xfId="0" applyFont="1" applyAlignment="1">
      <alignment horizontal="left"/>
    </xf>
    <xf numFmtId="37" fontId="12" fillId="8" borderId="18" xfId="3" applyNumberFormat="1" applyFont="1" applyBorder="1" applyAlignment="1">
      <alignment horizontal="left"/>
    </xf>
    <xf numFmtId="37" fontId="21" fillId="0" borderId="0" xfId="0" applyNumberFormat="1" applyFont="1" applyAlignment="1">
      <alignment horizontal="left"/>
    </xf>
    <xf numFmtId="0" fontId="7" fillId="10" borderId="0" xfId="0" applyFont="1" applyFill="1" applyAlignment="1">
      <alignment horizontal="left"/>
    </xf>
    <xf numFmtId="0" fontId="7" fillId="10" borderId="0" xfId="0" applyFont="1" applyFill="1" applyAlignment="1"/>
    <xf numFmtId="0" fontId="30" fillId="10" borderId="0" xfId="0" applyFont="1" applyFill="1" applyAlignment="1"/>
  </cellXfs>
  <cellStyles count="5">
    <cellStyle name="Comma" xfId="1" builtinId="3"/>
    <cellStyle name="Hyperlink" xfId="4" builtinId="8"/>
    <cellStyle name="Normal" xfId="0" builtinId="0"/>
    <cellStyle name="Note" xfId="3" builtinId="10"/>
    <cellStyle name="Percent" xfId="2" builtinId="5"/>
  </cellStyles>
  <dxfs count="6">
    <dxf>
      <font>
        <b val="0"/>
        <i/>
        <color rgb="FF92D050"/>
      </font>
    </dxf>
    <dxf>
      <font>
        <b val="0"/>
        <i/>
        <color rgb="FFFF0000"/>
      </font>
    </dxf>
    <dxf>
      <font>
        <b/>
        <i val="0"/>
        <strike val="0"/>
        <condense val="0"/>
        <extend val="0"/>
        <outline val="0"/>
        <shadow val="0"/>
        <u val="none"/>
        <vertAlign val="baseline"/>
        <sz val="11"/>
        <color rgb="FF000000"/>
        <name val="Book Antiqua"/>
        <family val="1"/>
        <scheme val="none"/>
      </font>
      <alignment horizontal="general" vertical="top" textRotation="0" wrapText="1" indent="0" justifyLastLine="0" shrinkToFit="0" readingOrder="0"/>
    </dxf>
    <dxf>
      <font>
        <b/>
        <i val="0"/>
        <strike val="0"/>
        <condense val="0"/>
        <extend val="0"/>
        <outline val="0"/>
        <shadow val="0"/>
        <u val="none"/>
        <vertAlign val="baseline"/>
        <sz val="11"/>
        <color rgb="FF000000"/>
        <name val="Book Antiqua"/>
        <family val="1"/>
        <scheme val="none"/>
      </font>
      <alignment horizontal="general" vertical="top" textRotation="0" wrapText="1" indent="0" justifyLastLine="0" shrinkToFit="0" readingOrder="0"/>
    </dxf>
    <dxf>
      <font>
        <b/>
        <i val="0"/>
        <strike val="0"/>
        <condense val="0"/>
        <extend val="0"/>
        <outline val="0"/>
        <shadow val="0"/>
        <u val="none"/>
        <vertAlign val="baseline"/>
        <sz val="11"/>
        <color rgb="FF000000"/>
        <name val="Book Antiqua"/>
        <family val="1"/>
        <scheme val="none"/>
      </font>
      <alignment horizontal="general" vertical="top" textRotation="0" wrapText="1" indent="0" justifyLastLine="0" shrinkToFit="0" readingOrder="0"/>
    </dxf>
    <dxf>
      <font>
        <b/>
        <i val="0"/>
        <strike val="0"/>
        <condense val="0"/>
        <extend val="0"/>
        <outline val="0"/>
        <shadow val="0"/>
        <u val="none"/>
        <vertAlign val="baseline"/>
        <sz val="11"/>
        <color theme="0"/>
        <name val="Book Antiqua"/>
        <family val="1"/>
        <scheme val="none"/>
      </font>
      <alignment horizontal="center" vertical="bottom" textRotation="0" wrapText="1" indent="0" justifyLastLine="0" shrinkToFit="0" readingOrder="0"/>
    </dxf>
  </dxfs>
  <tableStyles count="0" defaultTableStyle="TableStyleMedium2" defaultPivotStyle="PivotStyleLight16"/>
  <colors>
    <mruColors>
      <color rgb="FF0033CC"/>
      <color rgb="FFFFF7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1</xdr:col>
      <xdr:colOff>38100</xdr:colOff>
      <xdr:row>48</xdr:row>
      <xdr:rowOff>187442</xdr:rowOff>
    </xdr:from>
    <xdr:to>
      <xdr:col>6</xdr:col>
      <xdr:colOff>10079</xdr:colOff>
      <xdr:row>50</xdr:row>
      <xdr:rowOff>12700</xdr:rowOff>
    </xdr:to>
    <xdr:sp macro="" textlink="">
      <xdr:nvSpPr>
        <xdr:cNvPr id="2" name="Rectangle 1">
          <a:extLst>
            <a:ext uri="{FF2B5EF4-FFF2-40B4-BE49-F238E27FC236}">
              <a16:creationId xmlns:a16="http://schemas.microsoft.com/office/drawing/2014/main" id="{EF8435C9-8E6B-5963-6D49-CBDCDB950CEB}"/>
            </a:ext>
          </a:extLst>
        </xdr:cNvPr>
        <xdr:cNvSpPr/>
      </xdr:nvSpPr>
      <xdr:spPr>
        <a:xfrm>
          <a:off x="292100" y="6499342"/>
          <a:ext cx="5483779" cy="206258"/>
        </a:xfrm>
        <a:prstGeom prst="rect">
          <a:avLst/>
        </a:prstGeom>
        <a:noFill/>
        <a:ln w="12700">
          <a:solidFill>
            <a:prstClr val="black"/>
          </a:solidFill>
        </a:ln>
        <a:effectLst>
          <a:outerShdw blurRad="50800" dist="38100" dir="2700000" algn="tl" rotWithShape="0">
            <a:prstClr val="black">
              <a:alpha val="40000"/>
            </a:prstClr>
          </a:outerShdw>
        </a:effectLst>
        <a:extLst>
          <a:ext uri="{53640926-AAD7-44D8-BBD7-CCE9431645EC}">
            <a14:shadowObscured xmlns:a14="http://schemas.microsoft.com/office/drawing/2010/main" val="1"/>
          </a:ext>
        </a:extLst>
      </xdr:spPr>
      <xdr:txBody>
        <a:bodyPr vertOverflow="clip" horzOverflow="clip" wrap="square"/>
        <a:lstStyle/>
        <a:p>
          <a:endParaRPr lang="en-US" sz="1100"/>
        </a:p>
      </xdr:txBody>
    </xdr:sp>
    <xdr:clientData/>
  </xdr:twoCellAnchor>
  <xdr:twoCellAnchor>
    <xdr:from>
      <xdr:col>6</xdr:col>
      <xdr:colOff>257734</xdr:colOff>
      <xdr:row>48</xdr:row>
      <xdr:rowOff>156883</xdr:rowOff>
    </xdr:from>
    <xdr:to>
      <xdr:col>9</xdr:col>
      <xdr:colOff>537882</xdr:colOff>
      <xdr:row>51</xdr:row>
      <xdr:rowOff>100853</xdr:rowOff>
    </xdr:to>
    <xdr:sp macro="" textlink="">
      <xdr:nvSpPr>
        <xdr:cNvPr id="46" name="TextBox 7">
          <a:extLst>
            <a:ext uri="{FF2B5EF4-FFF2-40B4-BE49-F238E27FC236}">
              <a16:creationId xmlns:a16="http://schemas.microsoft.com/office/drawing/2014/main" id="{805A7D66-084B-5A1F-024B-29C6C004F866}"/>
            </a:ext>
          </a:extLst>
        </xdr:cNvPr>
        <xdr:cNvSpPr txBox="1"/>
      </xdr:nvSpPr>
      <xdr:spPr>
        <a:xfrm>
          <a:off x="5378822" y="6465795"/>
          <a:ext cx="3238501" cy="51547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With</a:t>
          </a:r>
          <a:r>
            <a:rPr lang="en-US" sz="1100" b="0" baseline="0">
              <a:solidFill>
                <a:schemeClr val="dk1"/>
              </a:solidFill>
              <a:effectLst/>
              <a:latin typeface="+mn-lt"/>
              <a:ea typeface="+mn-ea"/>
              <a:cs typeface="+mn-cs"/>
            </a:rPr>
            <a:t> a positive NPV of $970,349 and an IRR of 15.66%, the project would be feasible and we should invest.</a:t>
          </a:r>
          <a:endParaRPr lang="en-US">
            <a:effectLst/>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1A9866-3630-4256-970A-370B87BD26F3}" name="Table2" displayName="Table2" ref="B2:C6" totalsRowShown="0" headerRowDxfId="5" dataDxfId="4">
  <tableColumns count="2">
    <tableColumn id="1" xr3:uid="{5B5A4F22-08EA-41B4-92E9-35CE0D0DD1A2}" name="Benefits:" dataDxfId="3"/>
    <tableColumn id="2" xr3:uid="{25EBFB66-D434-4A62-A191-3C10E9236934}" name="Costs &amp; Risks: "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41763-B286-4319-A813-58E9CE1C8010}">
  <sheetPr>
    <tabColor theme="4"/>
  </sheetPr>
  <dimension ref="B1:F12"/>
  <sheetViews>
    <sheetView showGridLines="0" topLeftCell="B1" zoomScale="125" workbookViewId="0">
      <selection activeCell="D4" sqref="D4"/>
    </sheetView>
  </sheetViews>
  <sheetFormatPr baseColWidth="10" defaultColWidth="0" defaultRowHeight="15" zeroHeight="1" x14ac:dyDescent="0.2"/>
  <cols>
    <col min="1" max="1" width="10.83203125" style="53" hidden="1"/>
    <col min="2" max="2" width="32.1640625" style="53" customWidth="1"/>
    <col min="3" max="3" width="7.33203125" style="53" customWidth="1"/>
    <col min="4" max="4" width="10.83203125" style="53" customWidth="1"/>
    <col min="5" max="5" width="24.33203125" style="53" customWidth="1"/>
    <col min="6" max="6" width="10.83203125" style="53" customWidth="1"/>
    <col min="7" max="16384" width="10.83203125" style="53" hidden="1"/>
  </cols>
  <sheetData>
    <row r="1" spans="2:6" x14ac:dyDescent="0.2">
      <c r="B1" s="163"/>
      <c r="C1" s="163"/>
      <c r="D1" s="163"/>
      <c r="E1" s="163"/>
      <c r="F1" s="163"/>
    </row>
    <row r="2" spans="2:6" ht="19" x14ac:dyDescent="0.25">
      <c r="B2" s="165" t="s">
        <v>149</v>
      </c>
      <c r="C2" s="165"/>
      <c r="D2" s="165"/>
      <c r="E2" s="163"/>
      <c r="F2" s="163"/>
    </row>
    <row r="3" spans="2:6" x14ac:dyDescent="0.2">
      <c r="B3" s="164" t="s">
        <v>153</v>
      </c>
      <c r="C3" s="164"/>
      <c r="D3" s="159" t="s">
        <v>154</v>
      </c>
      <c r="E3" s="159"/>
      <c r="F3" s="159"/>
    </row>
    <row r="4" spans="2:6" x14ac:dyDescent="0.2"/>
    <row r="5" spans="2:6" x14ac:dyDescent="0.2">
      <c r="B5" s="160" t="s">
        <v>151</v>
      </c>
      <c r="C5" s="160"/>
      <c r="D5" s="160"/>
    </row>
    <row r="6" spans="2:6" x14ac:dyDescent="0.2">
      <c r="B6" s="161" t="s">
        <v>110</v>
      </c>
    </row>
    <row r="7" spans="2:6" x14ac:dyDescent="0.2">
      <c r="B7" s="162" t="s">
        <v>150</v>
      </c>
    </row>
    <row r="8" spans="2:6" x14ac:dyDescent="0.2">
      <c r="B8" s="53" t="s">
        <v>152</v>
      </c>
    </row>
    <row r="9" spans="2:6" x14ac:dyDescent="0.2"/>
    <row r="10" spans="2:6" x14ac:dyDescent="0.2"/>
    <row r="11" spans="2:6" x14ac:dyDescent="0.2"/>
    <row r="12" spans="2:6" x14ac:dyDescent="0.2"/>
  </sheetData>
  <mergeCells count="2">
    <mergeCell ref="B5:D5"/>
    <mergeCell ref="D3:F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FF2D7-E822-8B47-AFB7-4BC87519FB9A}">
  <dimension ref="B2:M70"/>
  <sheetViews>
    <sheetView showGridLines="0" topLeftCell="A16" zoomScale="117" workbookViewId="0">
      <selection activeCell="E52" sqref="E52"/>
    </sheetView>
  </sheetViews>
  <sheetFormatPr baseColWidth="10" defaultRowHeight="15" x14ac:dyDescent="0.2"/>
  <cols>
    <col min="1" max="1" width="3.6640625" style="17" customWidth="1"/>
    <col min="2" max="2" width="72.1640625" style="17" customWidth="1"/>
    <col min="3" max="3" width="9.6640625" style="17" customWidth="1"/>
    <col min="4" max="4" width="16.83203125" style="17" bestFit="1" customWidth="1"/>
    <col min="5" max="5" width="11.83203125" style="17" customWidth="1"/>
    <col min="6" max="16384" width="10.83203125" style="17"/>
  </cols>
  <sheetData>
    <row r="2" spans="2:13" x14ac:dyDescent="0.2">
      <c r="B2" s="15" t="s">
        <v>88</v>
      </c>
      <c r="C2" s="15"/>
      <c r="D2" s="15"/>
      <c r="E2" s="15"/>
      <c r="F2" s="15"/>
      <c r="G2" s="15"/>
      <c r="H2" s="15"/>
      <c r="I2" s="15"/>
      <c r="J2" s="15"/>
      <c r="K2" s="15"/>
      <c r="L2" s="15"/>
      <c r="M2" s="15"/>
    </row>
    <row r="3" spans="2:13" x14ac:dyDescent="0.2">
      <c r="B3" s="59"/>
      <c r="C3" s="59"/>
      <c r="D3" s="59"/>
      <c r="E3" s="59"/>
      <c r="F3" s="59"/>
      <c r="G3" s="59"/>
      <c r="H3" s="59"/>
      <c r="I3" s="59"/>
      <c r="J3" s="59"/>
      <c r="K3" s="59"/>
      <c r="L3" s="59"/>
      <c r="M3" s="59"/>
    </row>
    <row r="4" spans="2:13" ht="16" thickBot="1" x14ac:dyDescent="0.25">
      <c r="B4" s="26" t="s">
        <v>121</v>
      </c>
      <c r="C4" s="26"/>
      <c r="D4" s="26"/>
      <c r="E4" s="59"/>
      <c r="F4" s="59"/>
      <c r="G4" s="59"/>
      <c r="H4" s="59"/>
      <c r="I4" s="59"/>
      <c r="J4" s="59"/>
      <c r="K4" s="59"/>
      <c r="L4" s="59"/>
      <c r="M4" s="59"/>
    </row>
    <row r="5" spans="2:13" ht="16" thickTop="1" x14ac:dyDescent="0.2">
      <c r="B5" s="17" t="s">
        <v>40</v>
      </c>
      <c r="C5" s="22" t="s">
        <v>107</v>
      </c>
      <c r="D5" s="24">
        <v>428400</v>
      </c>
      <c r="E5" s="59"/>
      <c r="F5" s="59"/>
      <c r="G5" s="59"/>
      <c r="H5" s="59"/>
      <c r="I5" s="59"/>
      <c r="J5" s="59"/>
      <c r="K5" s="59"/>
      <c r="L5" s="59"/>
      <c r="M5" s="59"/>
    </row>
    <row r="6" spans="2:13" x14ac:dyDescent="0.2">
      <c r="B6" s="17" t="s">
        <v>33</v>
      </c>
      <c r="C6" s="22"/>
      <c r="D6" s="24">
        <v>17550</v>
      </c>
      <c r="E6" s="59"/>
      <c r="F6" s="59"/>
      <c r="G6" s="59"/>
      <c r="H6" s="59"/>
      <c r="I6" s="59"/>
      <c r="J6" s="59"/>
      <c r="K6" s="59"/>
      <c r="L6" s="59"/>
      <c r="M6" s="59"/>
    </row>
    <row r="7" spans="2:13" x14ac:dyDescent="0.2">
      <c r="B7" s="17" t="s">
        <v>37</v>
      </c>
      <c r="C7" s="22"/>
      <c r="D7" s="39">
        <f>SUM(D5:D6)</f>
        <v>445950</v>
      </c>
      <c r="E7" s="59"/>
      <c r="F7" s="59"/>
      <c r="G7" s="59"/>
      <c r="H7" s="59"/>
      <c r="I7" s="59"/>
      <c r="J7" s="59"/>
      <c r="K7" s="59"/>
      <c r="L7" s="59"/>
      <c r="M7" s="59"/>
    </row>
    <row r="8" spans="2:13" x14ac:dyDescent="0.2">
      <c r="B8" s="17" t="s">
        <v>34</v>
      </c>
      <c r="C8" s="40">
        <v>0.02</v>
      </c>
      <c r="D8" s="30">
        <f>$C$8*-D7</f>
        <v>-8919</v>
      </c>
      <c r="E8" s="59"/>
      <c r="F8" s="59"/>
      <c r="G8" s="59"/>
      <c r="H8" s="59"/>
      <c r="I8" s="59"/>
      <c r="J8" s="59"/>
      <c r="K8" s="59"/>
      <c r="L8" s="59"/>
      <c r="M8" s="59"/>
    </row>
    <row r="9" spans="2:13" x14ac:dyDescent="0.2">
      <c r="B9" s="17" t="s">
        <v>35</v>
      </c>
      <c r="C9" s="40">
        <v>0.01</v>
      </c>
      <c r="D9" s="30">
        <f>$C$9*-D7</f>
        <v>-4459.5</v>
      </c>
      <c r="E9" s="59"/>
      <c r="F9" s="59"/>
      <c r="G9" s="59"/>
      <c r="H9" s="59"/>
      <c r="I9" s="59"/>
      <c r="J9" s="59"/>
      <c r="K9" s="59"/>
      <c r="L9" s="59"/>
      <c r="M9" s="59"/>
    </row>
    <row r="10" spans="2:13" x14ac:dyDescent="0.2">
      <c r="B10" s="17" t="s">
        <v>36</v>
      </c>
      <c r="C10" s="22"/>
      <c r="D10" s="30">
        <f>SUM(D7:D9)</f>
        <v>432571.5</v>
      </c>
      <c r="E10" s="59"/>
      <c r="F10" s="59"/>
      <c r="G10" s="59"/>
      <c r="H10" s="59"/>
      <c r="I10" s="59"/>
      <c r="J10" s="59"/>
      <c r="K10" s="59"/>
      <c r="L10" s="59"/>
      <c r="M10" s="59"/>
    </row>
    <row r="11" spans="2:13" x14ac:dyDescent="0.2">
      <c r="B11" s="17" t="s">
        <v>73</v>
      </c>
      <c r="C11" s="22"/>
      <c r="D11" s="30">
        <v>-161387.96</v>
      </c>
      <c r="E11" s="59"/>
      <c r="F11" s="59"/>
      <c r="G11" s="59"/>
      <c r="H11" s="59"/>
      <c r="I11" s="59"/>
      <c r="J11" s="59"/>
      <c r="K11" s="59"/>
      <c r="L11" s="59"/>
      <c r="M11" s="59"/>
    </row>
    <row r="12" spans="2:13" x14ac:dyDescent="0.2">
      <c r="B12" s="41" t="s">
        <v>68</v>
      </c>
      <c r="C12" s="42" t="s">
        <v>107</v>
      </c>
      <c r="D12" s="41">
        <f>D10+D11</f>
        <v>271183.54000000004</v>
      </c>
      <c r="E12" s="59"/>
      <c r="F12" s="59"/>
      <c r="G12" s="59"/>
      <c r="H12" s="59"/>
      <c r="I12" s="59"/>
      <c r="J12" s="59"/>
      <c r="K12" s="59"/>
      <c r="L12" s="59"/>
      <c r="M12" s="59"/>
    </row>
    <row r="13" spans="2:13" x14ac:dyDescent="0.2">
      <c r="B13" s="59"/>
      <c r="C13" s="59"/>
      <c r="D13" s="59"/>
      <c r="E13" s="59"/>
      <c r="F13" s="59"/>
      <c r="G13" s="59"/>
      <c r="H13" s="59"/>
      <c r="I13" s="59"/>
      <c r="J13" s="59"/>
      <c r="K13" s="59"/>
      <c r="L13" s="59"/>
      <c r="M13" s="59"/>
    </row>
    <row r="14" spans="2:13" x14ac:dyDescent="0.2">
      <c r="B14" s="59"/>
      <c r="C14" s="59"/>
      <c r="D14" s="59"/>
      <c r="E14" s="59"/>
      <c r="F14" s="59"/>
      <c r="G14" s="59"/>
      <c r="H14" s="59"/>
      <c r="I14" s="59"/>
      <c r="J14" s="59"/>
      <c r="K14" s="59"/>
      <c r="L14" s="59"/>
      <c r="M14" s="59"/>
    </row>
    <row r="15" spans="2:13" ht="17" thickBot="1" x14ac:dyDescent="0.25">
      <c r="B15" s="18" t="s">
        <v>25</v>
      </c>
      <c r="C15" s="19"/>
      <c r="D15" s="19" t="s">
        <v>110</v>
      </c>
      <c r="E15" s="20" t="s">
        <v>89</v>
      </c>
    </row>
    <row r="16" spans="2:13" ht="16" thickTop="1" x14ac:dyDescent="0.2">
      <c r="B16" s="21" t="s">
        <v>27</v>
      </c>
      <c r="C16" s="22" t="s">
        <v>106</v>
      </c>
      <c r="D16" s="23">
        <v>22950</v>
      </c>
      <c r="E16" s="140" t="s">
        <v>92</v>
      </c>
    </row>
    <row r="17" spans="2:7" x14ac:dyDescent="0.2">
      <c r="B17" s="21" t="s">
        <v>93</v>
      </c>
      <c r="C17" s="22" t="s">
        <v>107</v>
      </c>
      <c r="D17" s="24">
        <v>109</v>
      </c>
      <c r="E17" s="140" t="s">
        <v>91</v>
      </c>
    </row>
    <row r="18" spans="2:7" x14ac:dyDescent="0.2">
      <c r="B18" s="21" t="s">
        <v>29</v>
      </c>
      <c r="C18" s="22" t="s">
        <v>107</v>
      </c>
      <c r="D18" s="31">
        <f>D16*D17</f>
        <v>2501550</v>
      </c>
      <c r="E18" s="140"/>
    </row>
    <row r="19" spans="2:7" x14ac:dyDescent="0.2">
      <c r="B19" s="21" t="s">
        <v>28</v>
      </c>
      <c r="C19" s="22" t="s">
        <v>107</v>
      </c>
      <c r="D19" s="24">
        <v>75000</v>
      </c>
      <c r="E19" s="140"/>
    </row>
    <row r="20" spans="2:7" x14ac:dyDescent="0.2">
      <c r="B20" s="21" t="s">
        <v>30</v>
      </c>
      <c r="C20" s="22" t="s">
        <v>107</v>
      </c>
      <c r="D20" s="24">
        <f>3.25%*D18</f>
        <v>81300.375</v>
      </c>
      <c r="E20" s="140"/>
    </row>
    <row r="21" spans="2:7" ht="16" x14ac:dyDescent="0.2">
      <c r="B21" s="16" t="s">
        <v>0</v>
      </c>
      <c r="C21" s="22" t="s">
        <v>26</v>
      </c>
      <c r="D21" s="24">
        <v>20</v>
      </c>
      <c r="E21" s="141" t="s">
        <v>94</v>
      </c>
      <c r="F21" s="25"/>
      <c r="G21" s="25"/>
    </row>
    <row r="22" spans="2:7" x14ac:dyDescent="0.2">
      <c r="E22" s="140"/>
    </row>
    <row r="23" spans="2:7" ht="16" thickBot="1" x14ac:dyDescent="0.25">
      <c r="B23" s="26" t="s">
        <v>87</v>
      </c>
      <c r="C23" s="27"/>
      <c r="E23" s="140"/>
    </row>
    <row r="24" spans="2:7" ht="16" thickTop="1" x14ac:dyDescent="0.2">
      <c r="B24" s="17" t="s">
        <v>74</v>
      </c>
      <c r="E24" s="140" t="s">
        <v>90</v>
      </c>
    </row>
    <row r="25" spans="2:7" ht="14" customHeight="1" x14ac:dyDescent="0.2">
      <c r="B25" s="17" t="s">
        <v>66</v>
      </c>
      <c r="C25" s="22" t="s">
        <v>108</v>
      </c>
      <c r="D25" s="28">
        <v>6.5000000000000002E-2</v>
      </c>
      <c r="E25" s="140" t="s">
        <v>101</v>
      </c>
    </row>
    <row r="26" spans="2:7" ht="14" customHeight="1" x14ac:dyDescent="0.2">
      <c r="B26" s="17" t="s">
        <v>104</v>
      </c>
      <c r="C26" s="22" t="s">
        <v>108</v>
      </c>
      <c r="D26" s="29">
        <v>0.03</v>
      </c>
      <c r="E26" s="140" t="s">
        <v>101</v>
      </c>
    </row>
    <row r="27" spans="2:7" x14ac:dyDescent="0.2">
      <c r="B27" s="17" t="s">
        <v>122</v>
      </c>
      <c r="C27" s="22" t="s">
        <v>108</v>
      </c>
      <c r="D27" s="29">
        <v>0.2</v>
      </c>
      <c r="E27" s="140" t="s">
        <v>101</v>
      </c>
    </row>
    <row r="28" spans="2:7" x14ac:dyDescent="0.2">
      <c r="B28" s="17" t="s">
        <v>67</v>
      </c>
      <c r="C28" s="22" t="s">
        <v>108</v>
      </c>
      <c r="D28" s="28">
        <v>8.2000000000000003E-2</v>
      </c>
      <c r="E28" s="140" t="s">
        <v>101</v>
      </c>
    </row>
    <row r="29" spans="2:7" x14ac:dyDescent="0.2">
      <c r="B29" s="17" t="s">
        <v>69</v>
      </c>
      <c r="C29" s="22" t="s">
        <v>108</v>
      </c>
      <c r="D29" s="29">
        <v>0.03</v>
      </c>
      <c r="E29" s="140" t="s">
        <v>101</v>
      </c>
    </row>
    <row r="30" spans="2:7" x14ac:dyDescent="0.2">
      <c r="B30" s="17" t="s">
        <v>34</v>
      </c>
      <c r="C30" s="22" t="s">
        <v>108</v>
      </c>
      <c r="D30" s="29">
        <v>0.02</v>
      </c>
      <c r="E30" s="140" t="s">
        <v>101</v>
      </c>
    </row>
    <row r="31" spans="2:7" x14ac:dyDescent="0.2">
      <c r="B31" s="17" t="s">
        <v>35</v>
      </c>
      <c r="C31" s="22" t="s">
        <v>108</v>
      </c>
      <c r="D31" s="29">
        <v>0.01</v>
      </c>
      <c r="E31" s="140" t="s">
        <v>101</v>
      </c>
    </row>
    <row r="32" spans="2:7" x14ac:dyDescent="0.2">
      <c r="B32" s="17" t="s">
        <v>96</v>
      </c>
      <c r="C32" s="22" t="s">
        <v>108</v>
      </c>
      <c r="D32" s="29">
        <f>-D11/D10</f>
        <v>0.37308967419259009</v>
      </c>
      <c r="E32" s="140" t="s">
        <v>109</v>
      </c>
    </row>
    <row r="33" spans="2:6" x14ac:dyDescent="0.2">
      <c r="B33" s="17" t="s">
        <v>2</v>
      </c>
      <c r="C33" s="22" t="s">
        <v>108</v>
      </c>
      <c r="D33" s="29">
        <v>0.02</v>
      </c>
      <c r="E33" s="140" t="s">
        <v>120</v>
      </c>
    </row>
    <row r="34" spans="2:6" x14ac:dyDescent="0.2">
      <c r="E34" s="140"/>
    </row>
    <row r="35" spans="2:6" ht="16" thickBot="1" x14ac:dyDescent="0.25">
      <c r="B35" s="26" t="s">
        <v>98</v>
      </c>
      <c r="C35" s="27"/>
      <c r="E35" s="140"/>
    </row>
    <row r="36" spans="2:6" ht="16" thickTop="1" x14ac:dyDescent="0.2">
      <c r="B36" s="17" t="s">
        <v>31</v>
      </c>
      <c r="C36" s="22" t="s">
        <v>107</v>
      </c>
      <c r="D36" s="24">
        <f>366223*3</f>
        <v>1098669</v>
      </c>
      <c r="E36" s="140" t="s">
        <v>115</v>
      </c>
    </row>
    <row r="37" spans="2:6" x14ac:dyDescent="0.2">
      <c r="B37" s="17" t="s">
        <v>100</v>
      </c>
      <c r="C37" s="22" t="s">
        <v>107</v>
      </c>
      <c r="D37" s="30">
        <f>'Construction Loan'!E23</f>
        <v>2664495.0009374996</v>
      </c>
      <c r="E37" s="140" t="s">
        <v>146</v>
      </c>
      <c r="F37" s="136" t="s">
        <v>147</v>
      </c>
    </row>
    <row r="38" spans="2:6" x14ac:dyDescent="0.2">
      <c r="B38" s="17" t="s">
        <v>99</v>
      </c>
      <c r="C38" s="22" t="s">
        <v>107</v>
      </c>
      <c r="D38" s="31">
        <f>SUM(D36:D37)</f>
        <v>3763164.0009374996</v>
      </c>
      <c r="E38" s="140"/>
    </row>
    <row r="39" spans="2:6" x14ac:dyDescent="0.2">
      <c r="B39" s="17" t="s">
        <v>102</v>
      </c>
      <c r="C39" s="22" t="s">
        <v>108</v>
      </c>
      <c r="D39" s="32">
        <v>0.75</v>
      </c>
      <c r="E39" s="140" t="s">
        <v>148</v>
      </c>
    </row>
    <row r="40" spans="2:6" x14ac:dyDescent="0.2">
      <c r="B40" s="19" t="s">
        <v>103</v>
      </c>
      <c r="C40" s="22" t="s">
        <v>107</v>
      </c>
      <c r="D40" s="33">
        <f>D39*D38</f>
        <v>2822373.0007031248</v>
      </c>
    </row>
    <row r="41" spans="2:6" x14ac:dyDescent="0.2">
      <c r="B41" s="17" t="s">
        <v>85</v>
      </c>
      <c r="C41" s="22" t="s">
        <v>108</v>
      </c>
      <c r="D41" s="34">
        <v>4.6249999999999999E-2</v>
      </c>
    </row>
    <row r="42" spans="2:6" x14ac:dyDescent="0.2">
      <c r="B42" s="17" t="s">
        <v>105</v>
      </c>
      <c r="C42" s="22" t="s">
        <v>1</v>
      </c>
      <c r="D42" s="19">
        <v>25</v>
      </c>
    </row>
    <row r="44" spans="2:6" x14ac:dyDescent="0.2">
      <c r="B44" s="17" t="s">
        <v>32</v>
      </c>
      <c r="C44" s="22" t="s">
        <v>107</v>
      </c>
      <c r="D44" s="35">
        <f>PMT(D41/12,D42*12,-D40)*12</f>
        <v>190663.01699067338</v>
      </c>
    </row>
    <row r="45" spans="2:6" x14ac:dyDescent="0.2">
      <c r="B45" s="17" t="s">
        <v>3</v>
      </c>
      <c r="C45" s="22" t="s">
        <v>107</v>
      </c>
      <c r="D45" s="35">
        <f>'NOI at Completion'!G14</f>
        <v>271183.54000000004</v>
      </c>
    </row>
    <row r="46" spans="2:6" x14ac:dyDescent="0.2">
      <c r="B46" s="17" t="s">
        <v>111</v>
      </c>
      <c r="D46" s="36">
        <f>D45/D44</f>
        <v>1.4223185192399712</v>
      </c>
    </row>
    <row r="47" spans="2:6" x14ac:dyDescent="0.2">
      <c r="B47" s="17" t="s">
        <v>112</v>
      </c>
      <c r="D47" s="36">
        <v>1.25</v>
      </c>
    </row>
    <row r="48" spans="2:6" x14ac:dyDescent="0.2">
      <c r="B48" s="17" t="s">
        <v>113</v>
      </c>
      <c r="D48" s="37" t="str">
        <f>IF(D46&gt;=D47,"Valid", "Covenant Breached")</f>
        <v>Valid</v>
      </c>
    </row>
    <row r="52" spans="2:6" x14ac:dyDescent="0.2">
      <c r="F52" s="38"/>
    </row>
    <row r="53" spans="2:6" x14ac:dyDescent="0.2">
      <c r="F53" s="38"/>
    </row>
    <row r="61" spans="2:6" ht="16" x14ac:dyDescent="0.2">
      <c r="B61" s="20"/>
      <c r="C61" s="16"/>
    </row>
    <row r="62" spans="2:6" ht="16" x14ac:dyDescent="0.2">
      <c r="B62" s="16"/>
      <c r="C62" s="16"/>
    </row>
    <row r="63" spans="2:6" ht="16" x14ac:dyDescent="0.2">
      <c r="B63" s="16"/>
      <c r="C63" s="16"/>
    </row>
    <row r="64" spans="2:6" ht="16" x14ac:dyDescent="0.2">
      <c r="B64" s="16"/>
      <c r="C64" s="16"/>
    </row>
    <row r="65" spans="2:3" ht="16" x14ac:dyDescent="0.2">
      <c r="B65" s="16"/>
      <c r="C65" s="16"/>
    </row>
    <row r="66" spans="2:3" ht="16" x14ac:dyDescent="0.2">
      <c r="B66" s="20"/>
      <c r="C66" s="16"/>
    </row>
    <row r="67" spans="2:3" ht="16" x14ac:dyDescent="0.2">
      <c r="B67" s="16"/>
      <c r="C67" s="16"/>
    </row>
    <row r="68" spans="2:3" ht="16" x14ac:dyDescent="0.2">
      <c r="B68" s="16"/>
      <c r="C68" s="16"/>
    </row>
    <row r="69" spans="2:3" ht="16" x14ac:dyDescent="0.2">
      <c r="B69" s="16"/>
      <c r="C69" s="16"/>
    </row>
    <row r="70" spans="2:3" ht="16" x14ac:dyDescent="0.2">
      <c r="B70" s="20"/>
      <c r="C70" s="16"/>
    </row>
  </sheetData>
  <conditionalFormatting sqref="D48">
    <cfRule type="containsText" dxfId="1" priority="1" operator="containsText" text="Covenant">
      <formula>NOT(ISERROR(SEARCH("Covenant",D48)))</formula>
    </cfRule>
    <cfRule type="containsText" dxfId="0" priority="2" operator="containsText" text="Valid">
      <formula>NOT(ISERROR(SEARCH("Valid",D48)))</formula>
    </cfRule>
  </conditionalFormatting>
  <hyperlinks>
    <hyperlink ref="F37" location="'Construction Loan'!A1" display="Construction Loan Sheet" xr:uid="{806347F4-1011-FB40-9347-71F62AA4100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D78B9-7DBF-46DA-AAA0-B87EA29DC207}">
  <dimension ref="B2:C6"/>
  <sheetViews>
    <sheetView showGridLines="0" workbookViewId="0">
      <selection activeCell="B24" sqref="B24"/>
    </sheetView>
  </sheetViews>
  <sheetFormatPr baseColWidth="10" defaultRowHeight="15" x14ac:dyDescent="0.2"/>
  <cols>
    <col min="1" max="1" width="3.33203125" customWidth="1"/>
    <col min="2" max="3" width="65.1640625" style="11" customWidth="1"/>
  </cols>
  <sheetData>
    <row r="2" spans="2:3" ht="16" x14ac:dyDescent="0.2">
      <c r="B2" s="43" t="s">
        <v>127</v>
      </c>
      <c r="C2" s="43" t="s">
        <v>128</v>
      </c>
    </row>
    <row r="3" spans="2:3" ht="64" x14ac:dyDescent="0.2">
      <c r="B3" s="44" t="s">
        <v>132</v>
      </c>
      <c r="C3" s="44" t="s">
        <v>133</v>
      </c>
    </row>
    <row r="4" spans="2:3" ht="64" x14ac:dyDescent="0.2">
      <c r="B4" s="44" t="s">
        <v>134</v>
      </c>
      <c r="C4" s="44" t="s">
        <v>135</v>
      </c>
    </row>
    <row r="5" spans="2:3" ht="48" x14ac:dyDescent="0.2">
      <c r="B5" s="44" t="s">
        <v>136</v>
      </c>
      <c r="C5" s="44" t="s">
        <v>137</v>
      </c>
    </row>
    <row r="6" spans="2:3" ht="64" x14ac:dyDescent="0.2">
      <c r="B6" s="45" t="s">
        <v>138</v>
      </c>
      <c r="C6" s="44" t="s">
        <v>139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F31-27DF-E742-B0B9-876E320D34D6}">
  <dimension ref="A1:I50"/>
  <sheetViews>
    <sheetView showGridLines="0" zoomScale="116" workbookViewId="0">
      <selection activeCell="F43" sqref="F43"/>
    </sheetView>
  </sheetViews>
  <sheetFormatPr baseColWidth="10" defaultColWidth="11.5" defaultRowHeight="15" x14ac:dyDescent="0.2"/>
  <cols>
    <col min="1" max="1" width="3.33203125" style="17" customWidth="1"/>
    <col min="2" max="2" width="29.33203125" style="17" bestFit="1" customWidth="1"/>
    <col min="3" max="3" width="20.1640625" style="17" bestFit="1" customWidth="1"/>
    <col min="4" max="4" width="11.5" style="17"/>
    <col min="5" max="6" width="11.6640625" style="17" bestFit="1" customWidth="1"/>
    <col min="7" max="7" width="12.5" style="17" bestFit="1" customWidth="1"/>
    <col min="8" max="8" width="16.33203125" style="17" bestFit="1" customWidth="1"/>
    <col min="9" max="16384" width="11.5" style="17"/>
  </cols>
  <sheetData>
    <row r="1" spans="1:8" x14ac:dyDescent="0.2">
      <c r="A1" s="50"/>
    </row>
    <row r="3" spans="1:8" hidden="1" x14ac:dyDescent="0.2">
      <c r="B3" s="15" t="s">
        <v>21</v>
      </c>
      <c r="C3" s="15"/>
      <c r="D3" s="15"/>
      <c r="E3" s="15"/>
      <c r="F3" s="15"/>
      <c r="G3" s="15"/>
      <c r="H3" s="15"/>
    </row>
    <row r="4" spans="1:8" hidden="1" x14ac:dyDescent="0.2">
      <c r="B4" s="19" t="s">
        <v>9</v>
      </c>
      <c r="C4" s="19" t="s">
        <v>10</v>
      </c>
      <c r="D4" s="19"/>
      <c r="E4" s="19"/>
      <c r="F4" s="19"/>
      <c r="G4" s="19"/>
      <c r="H4" s="19"/>
    </row>
    <row r="5" spans="1:8" hidden="1" x14ac:dyDescent="0.2">
      <c r="B5" s="46"/>
      <c r="C5" s="46" t="s">
        <v>13</v>
      </c>
      <c r="D5" s="46" t="s">
        <v>14</v>
      </c>
      <c r="E5" s="46" t="s">
        <v>15</v>
      </c>
      <c r="F5" s="46" t="s">
        <v>24</v>
      </c>
      <c r="G5" s="46" t="s">
        <v>19</v>
      </c>
      <c r="H5" s="46" t="s">
        <v>23</v>
      </c>
    </row>
    <row r="6" spans="1:8" hidden="1" x14ac:dyDescent="0.2">
      <c r="B6" s="17" t="s">
        <v>11</v>
      </c>
      <c r="C6" s="47">
        <v>9</v>
      </c>
      <c r="D6" s="47">
        <f>C6*2</f>
        <v>18</v>
      </c>
      <c r="E6" s="47">
        <v>1150</v>
      </c>
      <c r="F6" s="47">
        <v>1800</v>
      </c>
      <c r="G6" s="47">
        <f>F6*12</f>
        <v>21600</v>
      </c>
      <c r="H6" s="47">
        <v>900</v>
      </c>
    </row>
    <row r="7" spans="1:8" hidden="1" x14ac:dyDescent="0.2">
      <c r="B7" s="17" t="s">
        <v>12</v>
      </c>
      <c r="C7" s="48">
        <v>6</v>
      </c>
      <c r="D7" s="48">
        <f>C7*4</f>
        <v>24</v>
      </c>
      <c r="E7" s="48">
        <v>1600</v>
      </c>
      <c r="F7" s="48">
        <v>3250</v>
      </c>
      <c r="G7" s="48">
        <f>F7*12</f>
        <v>39000</v>
      </c>
      <c r="H7" s="48">
        <v>812.5</v>
      </c>
    </row>
    <row r="8" spans="1:8" hidden="1" x14ac:dyDescent="0.2">
      <c r="B8" s="49" t="s">
        <v>17</v>
      </c>
      <c r="C8" s="49">
        <f>SUM(C6:C7)</f>
        <v>15</v>
      </c>
      <c r="D8" s="49">
        <f>SUM(D6:D7)</f>
        <v>42</v>
      </c>
      <c r="E8" s="49">
        <f>SUMPRODUCT(C6:C7,E6:E7)</f>
        <v>19950</v>
      </c>
      <c r="F8" s="49">
        <f>SUMPRODUCT(F6:F7,C6:C7)</f>
        <v>35700</v>
      </c>
      <c r="G8" s="49">
        <f>F8*12</f>
        <v>428400</v>
      </c>
      <c r="H8" s="49">
        <v>850</v>
      </c>
    </row>
    <row r="9" spans="1:8" hidden="1" x14ac:dyDescent="0.2">
      <c r="C9" s="47"/>
      <c r="D9" s="47"/>
      <c r="E9" s="47"/>
      <c r="F9" s="47"/>
      <c r="G9" s="47"/>
      <c r="H9" s="47"/>
    </row>
    <row r="10" spans="1:8" hidden="1" x14ac:dyDescent="0.2">
      <c r="B10" s="17" t="s">
        <v>18</v>
      </c>
      <c r="C10" s="47">
        <v>15</v>
      </c>
      <c r="D10" s="47"/>
      <c r="E10" s="47"/>
      <c r="F10" s="47">
        <v>97.5</v>
      </c>
      <c r="G10" s="47">
        <v>1170</v>
      </c>
      <c r="H10" s="47"/>
    </row>
    <row r="11" spans="1:8" hidden="1" x14ac:dyDescent="0.2">
      <c r="B11" s="49" t="s">
        <v>17</v>
      </c>
      <c r="C11" s="49">
        <v>15</v>
      </c>
      <c r="D11" s="49"/>
      <c r="E11" s="49"/>
      <c r="F11" s="49">
        <v>1462.5</v>
      </c>
      <c r="G11" s="49">
        <v>17550</v>
      </c>
      <c r="H11" s="49"/>
    </row>
    <row r="12" spans="1:8" hidden="1" x14ac:dyDescent="0.2"/>
    <row r="13" spans="1:8" x14ac:dyDescent="0.2">
      <c r="B13" s="17" t="s">
        <v>20</v>
      </c>
      <c r="C13" s="17">
        <f>C11/D8</f>
        <v>0.35714285714285715</v>
      </c>
    </row>
    <row r="15" spans="1:8" x14ac:dyDescent="0.2">
      <c r="B15" s="15" t="s">
        <v>22</v>
      </c>
      <c r="C15" s="15"/>
      <c r="D15" s="15"/>
      <c r="E15" s="15"/>
      <c r="F15" s="15"/>
      <c r="G15" s="15"/>
      <c r="H15" s="15"/>
    </row>
    <row r="16" spans="1:8" x14ac:dyDescent="0.2">
      <c r="B16" s="19" t="s">
        <v>9</v>
      </c>
      <c r="C16" s="19" t="s">
        <v>10</v>
      </c>
      <c r="D16" s="19"/>
      <c r="E16" s="19"/>
      <c r="F16" s="19"/>
      <c r="G16" s="19"/>
      <c r="H16" s="19"/>
    </row>
    <row r="17" spans="2:9" x14ac:dyDescent="0.2">
      <c r="B17" s="46"/>
      <c r="C17" s="46" t="s">
        <v>13</v>
      </c>
      <c r="D17" s="46" t="s">
        <v>14</v>
      </c>
      <c r="E17" s="46" t="s">
        <v>15</v>
      </c>
      <c r="F17" s="46" t="s">
        <v>8</v>
      </c>
      <c r="G17" s="46" t="s">
        <v>19</v>
      </c>
      <c r="H17" s="46" t="s">
        <v>16</v>
      </c>
    </row>
    <row r="18" spans="2:9" x14ac:dyDescent="0.2">
      <c r="B18" s="17" t="s">
        <v>11</v>
      </c>
      <c r="C18" s="47">
        <v>9</v>
      </c>
      <c r="D18" s="47">
        <f>C18*2</f>
        <v>18</v>
      </c>
      <c r="E18" s="47">
        <v>1150</v>
      </c>
      <c r="F18" s="47">
        <f>F6*C18</f>
        <v>16200</v>
      </c>
      <c r="G18" s="47">
        <f>F18*12</f>
        <v>194400</v>
      </c>
      <c r="H18" s="47">
        <f>G18/(12*C18)</f>
        <v>1800</v>
      </c>
    </row>
    <row r="19" spans="2:9" x14ac:dyDescent="0.2">
      <c r="B19" s="17" t="s">
        <v>12</v>
      </c>
      <c r="C19" s="48">
        <v>6</v>
      </c>
      <c r="D19" s="48">
        <f>C19*4</f>
        <v>24</v>
      </c>
      <c r="E19" s="48">
        <v>1600</v>
      </c>
      <c r="F19" s="48">
        <f>F7*C19</f>
        <v>19500</v>
      </c>
      <c r="G19" s="48">
        <f>F19*12</f>
        <v>234000</v>
      </c>
      <c r="H19" s="48">
        <v>812.5</v>
      </c>
    </row>
    <row r="20" spans="2:9" x14ac:dyDescent="0.2">
      <c r="B20" s="49" t="s">
        <v>17</v>
      </c>
      <c r="C20" s="49">
        <f>SUM(C18:C19)</f>
        <v>15</v>
      </c>
      <c r="D20" s="49">
        <f>SUM(D18:D19)</f>
        <v>42</v>
      </c>
      <c r="E20" s="58">
        <f>SUMPRODUCT(C18:C19,E18:E19)</f>
        <v>19950</v>
      </c>
      <c r="F20" s="58">
        <f>SUM(F18:F19)</f>
        <v>35700</v>
      </c>
      <c r="G20" s="58">
        <f>F20*12</f>
        <v>428400</v>
      </c>
      <c r="H20" s="58">
        <v>850</v>
      </c>
    </row>
    <row r="21" spans="2:9" x14ac:dyDescent="0.2">
      <c r="C21" s="47"/>
      <c r="D21" s="47"/>
      <c r="E21" s="47"/>
      <c r="F21" s="47"/>
      <c r="G21" s="47"/>
      <c r="H21" s="47"/>
    </row>
    <row r="22" spans="2:9" x14ac:dyDescent="0.2">
      <c r="B22" s="17" t="s">
        <v>18</v>
      </c>
      <c r="C22" s="47">
        <v>15</v>
      </c>
      <c r="D22" s="47"/>
      <c r="E22" s="47"/>
      <c r="F22" s="35">
        <v>97.5</v>
      </c>
      <c r="G22" s="35">
        <v>1170</v>
      </c>
      <c r="H22" s="47"/>
    </row>
    <row r="23" spans="2:9" x14ac:dyDescent="0.2">
      <c r="B23" s="49" t="s">
        <v>17</v>
      </c>
      <c r="C23" s="49">
        <v>15</v>
      </c>
      <c r="D23" s="49"/>
      <c r="E23" s="49"/>
      <c r="F23" s="58">
        <v>1462.5</v>
      </c>
      <c r="G23" s="58">
        <v>17550</v>
      </c>
      <c r="H23" s="49"/>
    </row>
    <row r="25" spans="2:9" ht="16" thickBot="1" x14ac:dyDescent="0.25"/>
    <row r="26" spans="2:9" ht="15" customHeight="1" x14ac:dyDescent="0.2">
      <c r="B26" s="142" t="s">
        <v>131</v>
      </c>
      <c r="C26" s="143"/>
      <c r="D26" s="143"/>
      <c r="E26" s="143"/>
      <c r="F26" s="143"/>
      <c r="G26" s="143"/>
      <c r="H26" s="144"/>
      <c r="I26" s="50"/>
    </row>
    <row r="27" spans="2:9" x14ac:dyDescent="0.2">
      <c r="B27" s="145"/>
      <c r="C27" s="146"/>
      <c r="D27" s="146"/>
      <c r="E27" s="146"/>
      <c r="F27" s="146"/>
      <c r="G27" s="146"/>
      <c r="H27" s="147"/>
      <c r="I27" s="50"/>
    </row>
    <row r="28" spans="2:9" x14ac:dyDescent="0.2">
      <c r="B28" s="145"/>
      <c r="C28" s="146"/>
      <c r="D28" s="146"/>
      <c r="E28" s="146"/>
      <c r="F28" s="146"/>
      <c r="G28" s="146"/>
      <c r="H28" s="147"/>
      <c r="I28" s="50"/>
    </row>
    <row r="29" spans="2:9" x14ac:dyDescent="0.2">
      <c r="B29" s="145"/>
      <c r="C29" s="146"/>
      <c r="D29" s="146"/>
      <c r="E29" s="146"/>
      <c r="F29" s="146"/>
      <c r="G29" s="146"/>
      <c r="H29" s="147"/>
      <c r="I29" s="50"/>
    </row>
    <row r="30" spans="2:9" x14ac:dyDescent="0.2">
      <c r="B30" s="145"/>
      <c r="C30" s="146"/>
      <c r="D30" s="146"/>
      <c r="E30" s="146"/>
      <c r="F30" s="146"/>
      <c r="G30" s="146"/>
      <c r="H30" s="147"/>
      <c r="I30" s="50"/>
    </row>
    <row r="31" spans="2:9" ht="15" customHeight="1" x14ac:dyDescent="0.2">
      <c r="B31" s="148" t="s">
        <v>130</v>
      </c>
      <c r="C31" s="149"/>
      <c r="D31" s="149"/>
      <c r="E31" s="149"/>
      <c r="F31" s="149"/>
      <c r="G31" s="149"/>
      <c r="H31" s="150"/>
      <c r="I31" s="50"/>
    </row>
    <row r="32" spans="2:9" x14ac:dyDescent="0.2">
      <c r="B32" s="148"/>
      <c r="C32" s="149"/>
      <c r="D32" s="149"/>
      <c r="E32" s="149"/>
      <c r="F32" s="149"/>
      <c r="G32" s="149"/>
      <c r="H32" s="150"/>
      <c r="I32" s="50"/>
    </row>
    <row r="33" spans="2:9" x14ac:dyDescent="0.2">
      <c r="B33" s="148"/>
      <c r="C33" s="149"/>
      <c r="D33" s="149"/>
      <c r="E33" s="149"/>
      <c r="F33" s="149"/>
      <c r="G33" s="149"/>
      <c r="H33" s="150"/>
      <c r="I33" s="50"/>
    </row>
    <row r="34" spans="2:9" x14ac:dyDescent="0.2">
      <c r="B34" s="148"/>
      <c r="C34" s="149"/>
      <c r="D34" s="149"/>
      <c r="E34" s="149"/>
      <c r="F34" s="149"/>
      <c r="G34" s="149"/>
      <c r="H34" s="150"/>
      <c r="I34" s="50"/>
    </row>
    <row r="35" spans="2:9" ht="16" thickBot="1" x14ac:dyDescent="0.25">
      <c r="B35" s="151"/>
      <c r="C35" s="152"/>
      <c r="D35" s="152"/>
      <c r="E35" s="152"/>
      <c r="F35" s="152"/>
      <c r="G35" s="152"/>
      <c r="H35" s="153"/>
      <c r="I35" s="50"/>
    </row>
    <row r="36" spans="2:9" x14ac:dyDescent="0.2">
      <c r="B36" s="50"/>
      <c r="C36" s="50"/>
      <c r="D36" s="50"/>
      <c r="E36" s="50"/>
      <c r="F36" s="50"/>
      <c r="G36" s="50"/>
      <c r="H36" s="50"/>
      <c r="I36" s="50"/>
    </row>
    <row r="37" spans="2:9" x14ac:dyDescent="0.2">
      <c r="B37" s="50"/>
      <c r="C37" s="50"/>
      <c r="D37" s="50"/>
      <c r="E37" s="50"/>
      <c r="F37" s="50"/>
      <c r="G37" s="50"/>
      <c r="H37" s="50"/>
      <c r="I37" s="50"/>
    </row>
    <row r="38" spans="2:9" x14ac:dyDescent="0.2">
      <c r="B38" s="50"/>
      <c r="C38" s="50"/>
      <c r="D38" s="50"/>
      <c r="E38" s="50"/>
      <c r="F38" s="50"/>
      <c r="G38" s="50"/>
      <c r="H38" s="50"/>
      <c r="I38" s="50"/>
    </row>
    <row r="39" spans="2:9" x14ac:dyDescent="0.2">
      <c r="B39" s="50"/>
      <c r="C39" s="50"/>
      <c r="D39" s="50"/>
      <c r="E39" s="50"/>
      <c r="F39" s="50"/>
      <c r="G39" s="50"/>
      <c r="H39" s="50"/>
      <c r="I39" s="50"/>
    </row>
    <row r="40" spans="2:9" x14ac:dyDescent="0.2">
      <c r="B40" s="50"/>
      <c r="C40" s="50"/>
      <c r="D40" s="50"/>
      <c r="E40" s="50"/>
      <c r="F40" s="50"/>
      <c r="G40" s="50"/>
      <c r="H40" s="50"/>
      <c r="I40" s="50"/>
    </row>
    <row r="41" spans="2:9" x14ac:dyDescent="0.2">
      <c r="B41" s="50"/>
      <c r="C41" s="50"/>
      <c r="D41" s="50"/>
      <c r="E41" s="50"/>
      <c r="F41" s="50"/>
      <c r="G41" s="50"/>
      <c r="H41" s="50"/>
      <c r="I41" s="50"/>
    </row>
    <row r="42" spans="2:9" x14ac:dyDescent="0.2">
      <c r="B42" s="50"/>
      <c r="C42" s="50"/>
      <c r="D42" s="50"/>
      <c r="E42" s="50"/>
      <c r="F42" s="50"/>
      <c r="G42" s="50"/>
      <c r="H42" s="50"/>
      <c r="I42" s="50"/>
    </row>
    <row r="43" spans="2:9" x14ac:dyDescent="0.2">
      <c r="B43" s="50"/>
      <c r="C43" s="50"/>
      <c r="D43" s="50"/>
      <c r="E43" s="50"/>
      <c r="F43" s="50"/>
      <c r="G43" s="50"/>
      <c r="H43" s="50"/>
      <c r="I43" s="50"/>
    </row>
    <row r="44" spans="2:9" x14ac:dyDescent="0.2">
      <c r="B44" s="50"/>
      <c r="C44" s="50"/>
      <c r="D44" s="50"/>
      <c r="E44" s="50"/>
      <c r="F44" s="50"/>
      <c r="G44" s="50"/>
      <c r="H44" s="50"/>
      <c r="I44" s="50"/>
    </row>
    <row r="45" spans="2:9" x14ac:dyDescent="0.2">
      <c r="B45" s="50"/>
      <c r="C45" s="50"/>
      <c r="D45" s="50"/>
      <c r="E45" s="50"/>
      <c r="F45" s="50"/>
      <c r="G45" s="50"/>
      <c r="H45" s="50"/>
      <c r="I45" s="50"/>
    </row>
    <row r="46" spans="2:9" x14ac:dyDescent="0.2">
      <c r="B46" s="50"/>
      <c r="C46" s="50"/>
      <c r="D46" s="50"/>
      <c r="E46" s="50"/>
      <c r="F46" s="50"/>
      <c r="G46" s="50"/>
      <c r="H46" s="50"/>
      <c r="I46" s="50"/>
    </row>
    <row r="47" spans="2:9" x14ac:dyDescent="0.2">
      <c r="B47" s="50"/>
      <c r="C47" s="50"/>
      <c r="D47" s="50"/>
      <c r="E47" s="50"/>
      <c r="F47" s="50"/>
      <c r="G47" s="50"/>
      <c r="H47" s="50"/>
      <c r="I47" s="50"/>
    </row>
    <row r="48" spans="2:9" x14ac:dyDescent="0.2">
      <c r="B48" s="50"/>
      <c r="C48" s="50"/>
      <c r="D48" s="50"/>
      <c r="E48" s="50"/>
      <c r="F48" s="50"/>
      <c r="G48" s="50"/>
      <c r="H48" s="50"/>
      <c r="I48" s="50"/>
    </row>
    <row r="49" spans="2:9" x14ac:dyDescent="0.2">
      <c r="B49" s="50"/>
      <c r="C49" s="50"/>
      <c r="D49" s="50"/>
      <c r="E49" s="50"/>
      <c r="F49" s="50"/>
      <c r="G49" s="50"/>
      <c r="H49" s="50"/>
      <c r="I49" s="50"/>
    </row>
    <row r="50" spans="2:9" x14ac:dyDescent="0.2">
      <c r="B50" s="50"/>
      <c r="C50" s="50"/>
      <c r="D50" s="50"/>
      <c r="E50" s="50"/>
      <c r="F50" s="50"/>
      <c r="G50" s="50"/>
      <c r="H50" s="50"/>
      <c r="I50" s="50"/>
    </row>
  </sheetData>
  <mergeCells count="2">
    <mergeCell ref="B26:H30"/>
    <mergeCell ref="B31:H3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449D6-E619-314B-A94E-43583F654223}">
  <dimension ref="B2:KW27"/>
  <sheetViews>
    <sheetView showGridLines="0" zoomScale="150" workbookViewId="0">
      <selection activeCell="F26" sqref="F26"/>
    </sheetView>
  </sheetViews>
  <sheetFormatPr baseColWidth="10" defaultColWidth="8.83203125" defaultRowHeight="15" x14ac:dyDescent="0.2"/>
  <cols>
    <col min="1" max="1" width="3.33203125" style="17" customWidth="1"/>
    <col min="2" max="2" width="33.6640625" style="17" customWidth="1"/>
    <col min="3" max="3" width="15.33203125" style="17" bestFit="1" customWidth="1"/>
    <col min="4" max="6" width="8.83203125" style="17"/>
    <col min="7" max="11" width="14.83203125" style="17" customWidth="1"/>
    <col min="12" max="16384" width="8.83203125" style="17"/>
  </cols>
  <sheetData>
    <row r="2" spans="2:309" x14ac:dyDescent="0.2">
      <c r="B2" s="15" t="s">
        <v>70</v>
      </c>
      <c r="C2" s="15"/>
      <c r="D2" s="15"/>
      <c r="E2" s="15"/>
      <c r="F2" s="15"/>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c r="CD2" s="51"/>
      <c r="CE2" s="51"/>
      <c r="CF2" s="51"/>
      <c r="CG2" s="51"/>
      <c r="CH2" s="51"/>
      <c r="CI2" s="51"/>
      <c r="CJ2" s="51"/>
      <c r="CK2" s="51"/>
      <c r="CL2" s="51"/>
      <c r="CM2" s="51"/>
      <c r="CN2" s="51"/>
      <c r="CO2" s="51"/>
      <c r="CP2" s="51"/>
      <c r="CQ2" s="51"/>
      <c r="CR2" s="51"/>
      <c r="CS2" s="51"/>
      <c r="CT2" s="51"/>
      <c r="CU2" s="51"/>
      <c r="CV2" s="51"/>
      <c r="CW2" s="51"/>
      <c r="CX2" s="51"/>
      <c r="CY2" s="51"/>
      <c r="CZ2" s="51"/>
      <c r="DA2" s="51"/>
      <c r="DB2" s="51"/>
      <c r="DC2" s="51"/>
      <c r="DD2" s="51"/>
      <c r="DE2" s="51"/>
      <c r="DF2" s="51"/>
      <c r="DG2" s="51"/>
      <c r="DH2" s="51"/>
      <c r="DI2" s="51"/>
      <c r="DJ2" s="51"/>
      <c r="DK2" s="51"/>
      <c r="DL2" s="51"/>
      <c r="DM2" s="51"/>
      <c r="DN2" s="51"/>
      <c r="DO2" s="51"/>
      <c r="DP2" s="51"/>
      <c r="DQ2" s="51"/>
      <c r="DR2" s="51"/>
      <c r="DS2" s="51"/>
      <c r="DT2" s="51"/>
      <c r="DU2" s="51"/>
      <c r="DV2" s="51"/>
      <c r="DW2" s="51"/>
      <c r="DX2" s="51"/>
      <c r="DY2" s="51"/>
      <c r="DZ2" s="51"/>
      <c r="EA2" s="51"/>
      <c r="EB2" s="51"/>
      <c r="EC2" s="51"/>
      <c r="ED2" s="51"/>
      <c r="EE2" s="51"/>
      <c r="EF2" s="51"/>
      <c r="EG2" s="51"/>
      <c r="EH2" s="51"/>
      <c r="EI2" s="51"/>
      <c r="EJ2" s="51"/>
      <c r="EK2" s="51"/>
      <c r="EL2" s="51"/>
      <c r="EM2" s="51"/>
      <c r="EN2" s="51"/>
      <c r="EO2" s="51"/>
      <c r="EP2" s="51"/>
      <c r="EQ2" s="51"/>
      <c r="ER2" s="51"/>
      <c r="ES2" s="51"/>
      <c r="ET2" s="51"/>
      <c r="EU2" s="51"/>
      <c r="EV2" s="51"/>
      <c r="EW2" s="51"/>
      <c r="EX2" s="51"/>
      <c r="EY2" s="51"/>
      <c r="EZ2" s="51"/>
      <c r="FA2" s="51"/>
      <c r="FB2" s="51"/>
      <c r="FC2" s="51"/>
      <c r="FD2" s="51"/>
      <c r="FE2" s="51"/>
      <c r="FF2" s="51"/>
      <c r="FG2" s="51"/>
      <c r="FH2" s="51"/>
      <c r="FI2" s="51"/>
      <c r="FJ2" s="51"/>
      <c r="FK2" s="51"/>
      <c r="FL2" s="51"/>
      <c r="FM2" s="51"/>
      <c r="FN2" s="51"/>
      <c r="FO2" s="51"/>
      <c r="FP2" s="51"/>
      <c r="FQ2" s="51"/>
      <c r="FR2" s="51"/>
      <c r="FS2" s="51"/>
      <c r="FT2" s="51"/>
      <c r="FU2" s="51"/>
      <c r="FV2" s="51"/>
      <c r="FW2" s="51"/>
      <c r="FX2" s="51"/>
      <c r="FY2" s="51"/>
      <c r="FZ2" s="51"/>
      <c r="GA2" s="51"/>
      <c r="GB2" s="51"/>
      <c r="GC2" s="51"/>
      <c r="GD2" s="51"/>
      <c r="GE2" s="51"/>
      <c r="GF2" s="51"/>
      <c r="GG2" s="51"/>
      <c r="GH2" s="51"/>
      <c r="GI2" s="51"/>
      <c r="GJ2" s="51"/>
      <c r="GK2" s="51"/>
      <c r="GL2" s="51"/>
      <c r="GM2" s="51"/>
      <c r="GN2" s="51"/>
      <c r="GO2" s="51"/>
      <c r="GP2" s="51"/>
      <c r="GQ2" s="51"/>
      <c r="GR2" s="51"/>
      <c r="GS2" s="51"/>
      <c r="GT2" s="51"/>
      <c r="GU2" s="51"/>
      <c r="GV2" s="51"/>
      <c r="GW2" s="51"/>
      <c r="GX2" s="51"/>
      <c r="GY2" s="51"/>
      <c r="GZ2" s="51"/>
      <c r="HA2" s="51"/>
      <c r="HB2" s="51"/>
      <c r="HC2" s="51"/>
      <c r="HD2" s="51"/>
      <c r="HE2" s="51"/>
      <c r="HF2" s="51"/>
      <c r="HG2" s="51"/>
      <c r="HH2" s="51"/>
      <c r="HI2" s="51"/>
      <c r="HJ2" s="51"/>
      <c r="HK2" s="51"/>
      <c r="HL2" s="51"/>
      <c r="HM2" s="51"/>
      <c r="HN2" s="51"/>
      <c r="HO2" s="51"/>
      <c r="HP2" s="51"/>
      <c r="HQ2" s="51"/>
      <c r="HR2" s="51"/>
      <c r="HS2" s="51"/>
      <c r="HT2" s="51"/>
      <c r="HU2" s="51"/>
      <c r="HV2" s="51"/>
      <c r="HW2" s="51"/>
      <c r="HX2" s="51"/>
      <c r="HY2" s="51"/>
      <c r="HZ2" s="51"/>
      <c r="IA2" s="51"/>
      <c r="IB2" s="51"/>
      <c r="IC2" s="51"/>
      <c r="ID2" s="51"/>
      <c r="IE2" s="51"/>
      <c r="IF2" s="51"/>
      <c r="IG2" s="51"/>
      <c r="IH2" s="51"/>
      <c r="II2" s="51"/>
      <c r="IJ2" s="51"/>
      <c r="IK2" s="51"/>
      <c r="IL2" s="51"/>
      <c r="IM2" s="51"/>
      <c r="IN2" s="51"/>
      <c r="IO2" s="51"/>
      <c r="IP2" s="51"/>
      <c r="IQ2" s="51"/>
      <c r="IR2" s="51"/>
      <c r="IS2" s="51"/>
      <c r="IT2" s="51"/>
      <c r="IU2" s="51"/>
      <c r="IV2" s="51"/>
      <c r="IW2" s="51"/>
      <c r="IX2" s="51"/>
      <c r="IY2" s="51"/>
      <c r="IZ2" s="51"/>
      <c r="JA2" s="51"/>
      <c r="JB2" s="51"/>
      <c r="JC2" s="51"/>
      <c r="JD2" s="51"/>
      <c r="JE2" s="51"/>
      <c r="JF2" s="51"/>
      <c r="JG2" s="51"/>
      <c r="JH2" s="51"/>
      <c r="JI2" s="51"/>
      <c r="JJ2" s="51"/>
      <c r="JK2" s="51"/>
      <c r="JL2" s="51"/>
      <c r="JM2" s="51"/>
      <c r="JN2" s="51"/>
      <c r="JO2" s="51"/>
      <c r="JP2" s="51"/>
      <c r="JQ2" s="51"/>
      <c r="JR2" s="51"/>
      <c r="JS2" s="51"/>
      <c r="JT2" s="51"/>
      <c r="JU2" s="51"/>
      <c r="JV2" s="51"/>
      <c r="JW2" s="51"/>
      <c r="JX2" s="51"/>
      <c r="JY2" s="51"/>
      <c r="JZ2" s="51"/>
      <c r="KA2" s="51"/>
      <c r="KB2" s="51"/>
      <c r="KC2" s="51"/>
      <c r="KD2" s="51"/>
      <c r="KE2" s="51"/>
      <c r="KF2" s="51"/>
      <c r="KG2" s="51"/>
      <c r="KH2" s="51"/>
      <c r="KI2" s="51"/>
      <c r="KJ2" s="51"/>
      <c r="KK2" s="51"/>
      <c r="KL2" s="51"/>
      <c r="KM2" s="51"/>
      <c r="KN2" s="51"/>
      <c r="KO2" s="51"/>
      <c r="KP2" s="51"/>
      <c r="KQ2" s="51"/>
      <c r="KR2" s="51"/>
      <c r="KS2" s="51"/>
      <c r="KT2" s="51"/>
      <c r="KU2" s="51"/>
      <c r="KV2" s="51"/>
      <c r="KW2" s="51"/>
    </row>
    <row r="4" spans="2:309" x14ac:dyDescent="0.2">
      <c r="B4" s="17" t="s">
        <v>124</v>
      </c>
      <c r="C4" s="35">
        <f>'4. Pro Forma NPV'!H34+'4. Pro Forma NPV'!H36</f>
        <v>230158.8940688</v>
      </c>
    </row>
    <row r="5" spans="2:309" x14ac:dyDescent="0.2">
      <c r="B5" s="17" t="s">
        <v>76</v>
      </c>
      <c r="C5" s="52">
        <f>5.2%</f>
        <v>5.2000000000000005E-2</v>
      </c>
    </row>
    <row r="6" spans="2:309" x14ac:dyDescent="0.2">
      <c r="B6" s="17" t="s">
        <v>78</v>
      </c>
      <c r="C6" s="33">
        <f>C4/C5</f>
        <v>4426132.5782461539</v>
      </c>
    </row>
    <row r="8" spans="2:309" x14ac:dyDescent="0.2">
      <c r="B8" s="17" t="s">
        <v>31</v>
      </c>
      <c r="C8" s="47">
        <f>366223*3</f>
        <v>1098669</v>
      </c>
    </row>
    <row r="9" spans="2:309" x14ac:dyDescent="0.2">
      <c r="B9" s="53" t="s">
        <v>71</v>
      </c>
      <c r="C9" s="30">
        <f>'Construction Loan'!E23</f>
        <v>2664495.0009374996</v>
      </c>
    </row>
    <row r="10" spans="2:309" x14ac:dyDescent="0.2">
      <c r="B10" s="17" t="s">
        <v>77</v>
      </c>
      <c r="C10" s="54">
        <f>SUM(C8:C9)</f>
        <v>3763164.0009374996</v>
      </c>
    </row>
    <row r="12" spans="2:309" x14ac:dyDescent="0.2">
      <c r="B12" s="17" t="s">
        <v>79</v>
      </c>
    </row>
    <row r="14" spans="2:309" x14ac:dyDescent="0.2">
      <c r="B14" s="55" t="s">
        <v>81</v>
      </c>
      <c r="C14" s="55"/>
      <c r="D14" s="55"/>
      <c r="E14" s="55"/>
      <c r="F14" s="55"/>
      <c r="G14" s="56" t="s">
        <v>82</v>
      </c>
      <c r="H14" s="56"/>
      <c r="I14" s="56"/>
      <c r="J14" s="56"/>
      <c r="K14" s="56"/>
    </row>
    <row r="15" spans="2:309" ht="15" customHeight="1" x14ac:dyDescent="0.2">
      <c r="B15" s="154" t="s">
        <v>140</v>
      </c>
      <c r="C15" s="154"/>
      <c r="D15" s="154"/>
      <c r="E15" s="154"/>
      <c r="F15" s="154"/>
      <c r="G15" s="155" t="s">
        <v>141</v>
      </c>
      <c r="H15" s="155"/>
      <c r="I15" s="155"/>
      <c r="J15" s="155"/>
      <c r="K15" s="155"/>
    </row>
    <row r="16" spans="2:309" x14ac:dyDescent="0.2">
      <c r="B16" s="154"/>
      <c r="C16" s="154"/>
      <c r="D16" s="154"/>
      <c r="E16" s="154"/>
      <c r="F16" s="154"/>
      <c r="G16" s="155"/>
      <c r="H16" s="155"/>
      <c r="I16" s="155"/>
      <c r="J16" s="155"/>
      <c r="K16" s="155"/>
    </row>
    <row r="17" spans="2:11" x14ac:dyDescent="0.2">
      <c r="B17" s="154"/>
      <c r="C17" s="154"/>
      <c r="D17" s="154"/>
      <c r="E17" s="154"/>
      <c r="F17" s="154"/>
      <c r="G17" s="155"/>
      <c r="H17" s="155"/>
      <c r="I17" s="155"/>
      <c r="J17" s="155"/>
      <c r="K17" s="155"/>
    </row>
    <row r="18" spans="2:11" ht="16" customHeight="1" x14ac:dyDescent="0.2">
      <c r="B18" s="156" t="s">
        <v>142</v>
      </c>
      <c r="C18" s="156"/>
      <c r="D18" s="156"/>
      <c r="E18" s="156"/>
      <c r="F18" s="156"/>
      <c r="G18" s="157" t="s">
        <v>143</v>
      </c>
      <c r="H18" s="157"/>
      <c r="I18" s="157"/>
      <c r="J18" s="157"/>
      <c r="K18" s="157"/>
    </row>
    <row r="19" spans="2:11" x14ac:dyDescent="0.2">
      <c r="B19" s="156"/>
      <c r="C19" s="156"/>
      <c r="D19" s="156"/>
      <c r="E19" s="156"/>
      <c r="F19" s="156"/>
      <c r="G19" s="157"/>
      <c r="H19" s="157"/>
      <c r="I19" s="157"/>
      <c r="J19" s="157"/>
      <c r="K19" s="157"/>
    </row>
    <row r="20" spans="2:11" x14ac:dyDescent="0.2">
      <c r="B20" s="156"/>
      <c r="C20" s="156"/>
      <c r="D20" s="156"/>
      <c r="E20" s="156"/>
      <c r="F20" s="156"/>
      <c r="G20" s="157"/>
      <c r="H20" s="157"/>
      <c r="I20" s="157"/>
      <c r="J20" s="157"/>
      <c r="K20" s="157"/>
    </row>
    <row r="21" spans="2:11" ht="15" customHeight="1" x14ac:dyDescent="0.2">
      <c r="B21" s="156" t="s">
        <v>144</v>
      </c>
      <c r="C21" s="156"/>
      <c r="D21" s="156"/>
      <c r="E21" s="156"/>
      <c r="F21" s="156"/>
      <c r="G21" s="157" t="s">
        <v>145</v>
      </c>
      <c r="H21" s="157"/>
      <c r="I21" s="157"/>
      <c r="J21" s="157"/>
      <c r="K21" s="157"/>
    </row>
    <row r="22" spans="2:11" x14ac:dyDescent="0.2">
      <c r="B22" s="156"/>
      <c r="C22" s="156"/>
      <c r="D22" s="156"/>
      <c r="E22" s="156"/>
      <c r="F22" s="156"/>
      <c r="G22" s="157"/>
      <c r="H22" s="157"/>
      <c r="I22" s="157"/>
      <c r="J22" s="157"/>
      <c r="K22" s="157"/>
    </row>
    <row r="23" spans="2:11" x14ac:dyDescent="0.2">
      <c r="B23" s="156"/>
      <c r="C23" s="156"/>
      <c r="D23" s="156"/>
      <c r="E23" s="156"/>
      <c r="F23" s="156"/>
      <c r="G23" s="157"/>
      <c r="H23" s="157"/>
      <c r="I23" s="157"/>
      <c r="J23" s="157"/>
      <c r="K23" s="157"/>
    </row>
    <row r="24" spans="2:11" x14ac:dyDescent="0.2">
      <c r="C24" s="57"/>
    </row>
    <row r="25" spans="2:11" x14ac:dyDescent="0.2">
      <c r="C25" s="47"/>
    </row>
    <row r="27" spans="2:11" x14ac:dyDescent="0.2">
      <c r="B27" s="19"/>
    </row>
  </sheetData>
  <mergeCells count="6">
    <mergeCell ref="B15:F17"/>
    <mergeCell ref="G15:K17"/>
    <mergeCell ref="B18:F20"/>
    <mergeCell ref="G18:K20"/>
    <mergeCell ref="B21:F23"/>
    <mergeCell ref="G21:K2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2F593-36B7-4C34-A287-8EA779FB33D6}">
  <dimension ref="A1:AE74"/>
  <sheetViews>
    <sheetView showGridLines="0" tabSelected="1" zoomScale="110" zoomScaleNormal="110" workbookViewId="0">
      <selection activeCell="I54" sqref="I54"/>
    </sheetView>
  </sheetViews>
  <sheetFormatPr baseColWidth="10" defaultColWidth="0" defaultRowHeight="14" zeroHeight="1" outlineLevelRow="1" x14ac:dyDescent="0.2"/>
  <cols>
    <col min="1" max="1" width="3.33203125" style="61" customWidth="1"/>
    <col min="2" max="2" width="35.6640625" style="61" bestFit="1" customWidth="1"/>
    <col min="3" max="3" width="13.1640625" style="61" bestFit="1" customWidth="1"/>
    <col min="4" max="4" width="7.6640625" style="61" customWidth="1"/>
    <col min="5" max="5" width="1.1640625" style="61" customWidth="1"/>
    <col min="6" max="19" width="14.6640625" style="61" customWidth="1"/>
    <col min="20" max="20" width="8.83203125" style="61" customWidth="1"/>
    <col min="21" max="31" width="0" style="61" hidden="1" customWidth="1"/>
    <col min="32" max="16384" width="8.83203125" style="61" hidden="1"/>
  </cols>
  <sheetData>
    <row r="1" spans="1:30" x14ac:dyDescent="0.2">
      <c r="C1" s="62"/>
      <c r="D1" s="62"/>
      <c r="G1" s="63"/>
      <c r="H1" s="63"/>
      <c r="I1" s="63"/>
      <c r="J1" s="63"/>
      <c r="K1" s="63"/>
      <c r="L1" s="63"/>
      <c r="M1" s="63"/>
      <c r="N1" s="63"/>
      <c r="O1" s="63"/>
      <c r="P1" s="63"/>
      <c r="Q1" s="63"/>
      <c r="R1" s="63"/>
      <c r="S1" s="63"/>
      <c r="T1" s="63"/>
      <c r="U1" s="63"/>
      <c r="V1" s="63"/>
      <c r="W1" s="63"/>
      <c r="X1" s="63"/>
      <c r="Y1" s="63"/>
      <c r="Z1" s="63"/>
    </row>
    <row r="2" spans="1:30" x14ac:dyDescent="0.2">
      <c r="B2" s="64" t="s">
        <v>129</v>
      </c>
      <c r="C2" s="64"/>
      <c r="D2" s="64"/>
      <c r="E2" s="64"/>
      <c r="F2" s="64">
        <v>2012</v>
      </c>
      <c r="G2" s="64">
        <f t="shared" ref="G2:S2" si="0">F2+1</f>
        <v>2013</v>
      </c>
      <c r="H2" s="65">
        <f t="shared" si="0"/>
        <v>2014</v>
      </c>
      <c r="I2" s="65">
        <f t="shared" si="0"/>
        <v>2015</v>
      </c>
      <c r="J2" s="65">
        <f t="shared" si="0"/>
        <v>2016</v>
      </c>
      <c r="K2" s="65">
        <f t="shared" si="0"/>
        <v>2017</v>
      </c>
      <c r="L2" s="65">
        <f t="shared" si="0"/>
        <v>2018</v>
      </c>
      <c r="M2" s="65">
        <f t="shared" si="0"/>
        <v>2019</v>
      </c>
      <c r="N2" s="65">
        <f t="shared" si="0"/>
        <v>2020</v>
      </c>
      <c r="O2" s="65">
        <f t="shared" si="0"/>
        <v>2021</v>
      </c>
      <c r="P2" s="65">
        <f t="shared" si="0"/>
        <v>2022</v>
      </c>
      <c r="Q2" s="65">
        <f t="shared" si="0"/>
        <v>2023</v>
      </c>
      <c r="R2" s="65">
        <f t="shared" si="0"/>
        <v>2024</v>
      </c>
      <c r="S2" s="65">
        <f t="shared" si="0"/>
        <v>2025</v>
      </c>
      <c r="T2" s="65"/>
      <c r="U2" s="65"/>
      <c r="V2" s="65"/>
      <c r="W2" s="65"/>
      <c r="X2" s="65"/>
      <c r="Y2" s="65"/>
      <c r="Z2" s="65"/>
      <c r="AA2" s="65"/>
      <c r="AB2" s="65"/>
      <c r="AC2" s="65"/>
      <c r="AD2" s="65"/>
    </row>
    <row r="3" spans="1:30" x14ac:dyDescent="0.2">
      <c r="B3" s="66"/>
      <c r="C3" s="66"/>
      <c r="D3" s="66"/>
      <c r="E3" s="60"/>
      <c r="F3" s="66"/>
      <c r="G3" s="66"/>
      <c r="H3" s="67"/>
      <c r="I3" s="67"/>
      <c r="J3" s="67"/>
      <c r="K3" s="67"/>
      <c r="L3" s="67"/>
      <c r="M3" s="67"/>
      <c r="N3" s="67"/>
      <c r="O3" s="67"/>
      <c r="P3" s="67"/>
      <c r="Q3" s="67"/>
      <c r="R3" s="67"/>
      <c r="S3" s="67"/>
      <c r="T3" s="67"/>
      <c r="U3" s="65"/>
      <c r="V3" s="65"/>
      <c r="W3" s="65"/>
      <c r="X3" s="65"/>
      <c r="Y3" s="65"/>
      <c r="Z3" s="65"/>
      <c r="AA3" s="65"/>
      <c r="AB3" s="65"/>
      <c r="AC3" s="65"/>
      <c r="AD3" s="65"/>
    </row>
    <row r="4" spans="1:30" x14ac:dyDescent="0.2">
      <c r="B4" s="61" t="s">
        <v>6</v>
      </c>
      <c r="E4" s="60"/>
      <c r="F4" s="68">
        <v>0</v>
      </c>
      <c r="G4" s="68">
        <v>1</v>
      </c>
      <c r="H4" s="68">
        <v>2</v>
      </c>
      <c r="I4" s="68">
        <f t="shared" ref="I4:O4" si="1">H4+1</f>
        <v>3</v>
      </c>
      <c r="J4" s="68">
        <f t="shared" si="1"/>
        <v>4</v>
      </c>
      <c r="K4" s="68">
        <f t="shared" si="1"/>
        <v>5</v>
      </c>
      <c r="L4" s="68">
        <f t="shared" si="1"/>
        <v>6</v>
      </c>
      <c r="M4" s="68">
        <f t="shared" si="1"/>
        <v>7</v>
      </c>
      <c r="N4" s="68">
        <f t="shared" si="1"/>
        <v>8</v>
      </c>
      <c r="O4" s="68">
        <f t="shared" si="1"/>
        <v>9</v>
      </c>
      <c r="P4" s="68">
        <f>O4+1</f>
        <v>10</v>
      </c>
      <c r="Q4" s="68">
        <f>P4+1</f>
        <v>11</v>
      </c>
      <c r="R4" s="68">
        <f>Q4+1</f>
        <v>12</v>
      </c>
      <c r="S4" s="68">
        <f>R4+1</f>
        <v>13</v>
      </c>
    </row>
    <row r="5" spans="1:30" x14ac:dyDescent="0.2">
      <c r="B5" s="61" t="s">
        <v>72</v>
      </c>
      <c r="C5" s="69">
        <v>0.03</v>
      </c>
      <c r="D5" s="70"/>
      <c r="E5" s="60"/>
      <c r="F5" s="71">
        <f>1*($C$5)^F4</f>
        <v>1</v>
      </c>
      <c r="G5" s="71">
        <f t="shared" ref="G5:S5" si="2">F5*(1+$C$5)</f>
        <v>1.03</v>
      </c>
      <c r="H5" s="71">
        <f t="shared" si="2"/>
        <v>1.0609</v>
      </c>
      <c r="I5" s="71">
        <f t="shared" si="2"/>
        <v>1.092727</v>
      </c>
      <c r="J5" s="71">
        <f t="shared" si="2"/>
        <v>1.1255088100000001</v>
      </c>
      <c r="K5" s="71">
        <f t="shared" si="2"/>
        <v>1.1592740743000001</v>
      </c>
      <c r="L5" s="71">
        <f t="shared" si="2"/>
        <v>1.1940522965290001</v>
      </c>
      <c r="M5" s="71">
        <f t="shared" si="2"/>
        <v>1.2298738654248702</v>
      </c>
      <c r="N5" s="71">
        <f t="shared" si="2"/>
        <v>1.2667700813876164</v>
      </c>
      <c r="O5" s="71">
        <f t="shared" si="2"/>
        <v>1.3047731838292449</v>
      </c>
      <c r="P5" s="71">
        <f t="shared" si="2"/>
        <v>1.3439163793441222</v>
      </c>
      <c r="Q5" s="71">
        <f t="shared" si="2"/>
        <v>1.3842338707244459</v>
      </c>
      <c r="R5" s="71">
        <f t="shared" si="2"/>
        <v>1.4257608868461793</v>
      </c>
      <c r="S5" s="71">
        <f t="shared" si="2"/>
        <v>1.4685337134515648</v>
      </c>
    </row>
    <row r="6" spans="1:30" x14ac:dyDescent="0.2">
      <c r="C6" s="72"/>
      <c r="D6" s="72"/>
      <c r="E6" s="60"/>
    </row>
    <row r="7" spans="1:30" x14ac:dyDescent="0.2">
      <c r="B7" s="61" t="s">
        <v>31</v>
      </c>
      <c r="C7" s="73">
        <f>'Assumptions and Key Inputs'!D36</f>
        <v>1098669</v>
      </c>
      <c r="D7" s="74"/>
      <c r="E7" s="60"/>
      <c r="F7" s="75">
        <f>-C7</f>
        <v>-1098669</v>
      </c>
    </row>
    <row r="8" spans="1:30" x14ac:dyDescent="0.2">
      <c r="B8" s="61" t="s">
        <v>117</v>
      </c>
      <c r="C8" s="73">
        <f>'Assumptions and Key Inputs'!D37</f>
        <v>2664495.0009374996</v>
      </c>
      <c r="D8" s="74"/>
      <c r="E8" s="60"/>
      <c r="H8" s="75">
        <f>-C8</f>
        <v>-2664495.0009374996</v>
      </c>
    </row>
    <row r="9" spans="1:30" x14ac:dyDescent="0.2">
      <c r="B9" s="61" t="s">
        <v>118</v>
      </c>
      <c r="C9" s="73">
        <f>'Assumptions and Key Inputs'!D40</f>
        <v>2822373.0007031248</v>
      </c>
      <c r="D9" s="74"/>
      <c r="E9" s="60"/>
      <c r="H9" s="75">
        <f>C9</f>
        <v>2822373.0007031248</v>
      </c>
    </row>
    <row r="10" spans="1:30" x14ac:dyDescent="0.2">
      <c r="C10" s="72"/>
      <c r="D10" s="72"/>
      <c r="E10" s="60"/>
    </row>
    <row r="11" spans="1:30" s="78" customFormat="1" x14ac:dyDescent="0.2">
      <c r="A11" s="61"/>
      <c r="B11" s="76" t="s">
        <v>40</v>
      </c>
      <c r="C11" s="73">
        <f>'Assumptions and Key Inputs'!D5</f>
        <v>428400</v>
      </c>
      <c r="D11" s="74"/>
      <c r="E11" s="60"/>
      <c r="F11" s="77">
        <f>C11</f>
        <v>428400</v>
      </c>
      <c r="H11" s="78">
        <f t="shared" ref="H11:R11" si="3">$C$11*H5</f>
        <v>454489.56</v>
      </c>
      <c r="I11" s="78">
        <f t="shared" si="3"/>
        <v>468124.24680000002</v>
      </c>
      <c r="J11" s="78">
        <f t="shared" si="3"/>
        <v>482167.97420400009</v>
      </c>
      <c r="K11" s="78">
        <f t="shared" si="3"/>
        <v>496633.01343012002</v>
      </c>
      <c r="L11" s="78">
        <f t="shared" si="3"/>
        <v>511532.00383302366</v>
      </c>
      <c r="M11" s="78">
        <f t="shared" si="3"/>
        <v>526877.96394801443</v>
      </c>
      <c r="N11" s="78">
        <f t="shared" si="3"/>
        <v>542684.30286645482</v>
      </c>
      <c r="O11" s="78">
        <f t="shared" si="3"/>
        <v>558964.83195244847</v>
      </c>
      <c r="P11" s="78">
        <f t="shared" si="3"/>
        <v>575733.77691102191</v>
      </c>
      <c r="Q11" s="78">
        <f t="shared" si="3"/>
        <v>593005.79021835269</v>
      </c>
      <c r="R11" s="78">
        <f t="shared" si="3"/>
        <v>610795.96392490319</v>
      </c>
    </row>
    <row r="12" spans="1:30" s="78" customFormat="1" x14ac:dyDescent="0.2">
      <c r="A12" s="61"/>
      <c r="B12" s="76" t="s">
        <v>33</v>
      </c>
      <c r="C12" s="73">
        <f>'Assumptions and Key Inputs'!D6</f>
        <v>17550</v>
      </c>
      <c r="D12" s="74"/>
      <c r="E12" s="60"/>
      <c r="F12" s="77">
        <f>C12</f>
        <v>17550</v>
      </c>
      <c r="H12" s="78">
        <f t="shared" ref="H12:R12" si="4">$C$12*H5</f>
        <v>18618.794999999998</v>
      </c>
      <c r="I12" s="78">
        <f t="shared" si="4"/>
        <v>19177.358850000001</v>
      </c>
      <c r="J12" s="78">
        <f t="shared" si="4"/>
        <v>19752.679615500001</v>
      </c>
      <c r="K12" s="78">
        <f t="shared" si="4"/>
        <v>20345.260003965002</v>
      </c>
      <c r="L12" s="78">
        <f t="shared" si="4"/>
        <v>20955.617804083951</v>
      </c>
      <c r="M12" s="78">
        <f t="shared" si="4"/>
        <v>21584.286338206472</v>
      </c>
      <c r="N12" s="78">
        <f t="shared" si="4"/>
        <v>22231.814928352669</v>
      </c>
      <c r="O12" s="78">
        <f t="shared" si="4"/>
        <v>22898.769376203247</v>
      </c>
      <c r="P12" s="78">
        <f t="shared" si="4"/>
        <v>23585.732457489346</v>
      </c>
      <c r="Q12" s="78">
        <f t="shared" si="4"/>
        <v>24293.304431214026</v>
      </c>
      <c r="R12" s="78">
        <f t="shared" si="4"/>
        <v>25022.103564150446</v>
      </c>
    </row>
    <row r="13" spans="1:30" s="78" customFormat="1" x14ac:dyDescent="0.2">
      <c r="A13" s="61"/>
      <c r="B13" s="79" t="s">
        <v>37</v>
      </c>
      <c r="C13" s="80"/>
      <c r="D13" s="80"/>
      <c r="E13" s="80"/>
      <c r="F13" s="81">
        <f>SUM(F11:F12)</f>
        <v>445950</v>
      </c>
      <c r="G13" s="82"/>
      <c r="H13" s="82">
        <f t="shared" ref="H13:R13" si="5">SUM(H11:H12)</f>
        <v>473108.35499999998</v>
      </c>
      <c r="I13" s="82">
        <f t="shared" si="5"/>
        <v>487301.60565000004</v>
      </c>
      <c r="J13" s="82">
        <f t="shared" si="5"/>
        <v>501920.65381950006</v>
      </c>
      <c r="K13" s="82">
        <f t="shared" si="5"/>
        <v>516978.27343408501</v>
      </c>
      <c r="L13" s="82">
        <f t="shared" si="5"/>
        <v>532487.62163710757</v>
      </c>
      <c r="M13" s="82">
        <f t="shared" si="5"/>
        <v>548462.25028622092</v>
      </c>
      <c r="N13" s="82">
        <f t="shared" si="5"/>
        <v>564916.11779480753</v>
      </c>
      <c r="O13" s="82">
        <f t="shared" si="5"/>
        <v>581863.60132865177</v>
      </c>
      <c r="P13" s="82">
        <f t="shared" si="5"/>
        <v>599319.50936851127</v>
      </c>
      <c r="Q13" s="82">
        <f t="shared" si="5"/>
        <v>617299.09464956669</v>
      </c>
      <c r="R13" s="82">
        <f t="shared" si="5"/>
        <v>635818.06748905359</v>
      </c>
      <c r="S13" s="82"/>
      <c r="T13" s="82"/>
    </row>
    <row r="14" spans="1:30" s="78" customFormat="1" x14ac:dyDescent="0.2">
      <c r="A14" s="61"/>
      <c r="B14" s="61"/>
      <c r="C14" s="72"/>
      <c r="D14" s="72"/>
      <c r="E14" s="60"/>
      <c r="F14" s="83"/>
    </row>
    <row r="15" spans="1:30" s="78" customFormat="1" x14ac:dyDescent="0.2">
      <c r="A15" s="61"/>
      <c r="B15" s="61" t="s">
        <v>34</v>
      </c>
      <c r="C15" s="84">
        <v>0.02</v>
      </c>
      <c r="D15" s="85"/>
      <c r="E15" s="60"/>
      <c r="F15" s="83">
        <f>-(F13*$C$15)</f>
        <v>-8919</v>
      </c>
      <c r="H15" s="78">
        <f t="shared" ref="H15:R15" si="6">-(H13*$C$15)</f>
        <v>-9462.1671000000006</v>
      </c>
      <c r="I15" s="78">
        <f t="shared" si="6"/>
        <v>-9746.0321130000011</v>
      </c>
      <c r="J15" s="78">
        <f t="shared" si="6"/>
        <v>-10038.413076390001</v>
      </c>
      <c r="K15" s="78">
        <f t="shared" si="6"/>
        <v>-10339.5654686817</v>
      </c>
      <c r="L15" s="78">
        <f t="shared" si="6"/>
        <v>-10649.752432742152</v>
      </c>
      <c r="M15" s="78">
        <f t="shared" si="6"/>
        <v>-10969.245005724419</v>
      </c>
      <c r="N15" s="78">
        <f t="shared" si="6"/>
        <v>-11298.322355896151</v>
      </c>
      <c r="O15" s="78">
        <f t="shared" si="6"/>
        <v>-11637.272026573035</v>
      </c>
      <c r="P15" s="78">
        <f t="shared" si="6"/>
        <v>-11986.390187370225</v>
      </c>
      <c r="Q15" s="78">
        <f t="shared" si="6"/>
        <v>-12345.981892991334</v>
      </c>
      <c r="R15" s="78">
        <f t="shared" si="6"/>
        <v>-12716.361349781073</v>
      </c>
    </row>
    <row r="16" spans="1:30" s="78" customFormat="1" x14ac:dyDescent="0.2">
      <c r="A16" s="61"/>
      <c r="B16" s="61" t="s">
        <v>35</v>
      </c>
      <c r="C16" s="84">
        <v>0.01</v>
      </c>
      <c r="D16" s="85"/>
      <c r="E16" s="60"/>
      <c r="F16" s="86">
        <f>-(F13*$C$16)</f>
        <v>-4459.5</v>
      </c>
      <c r="G16" s="87"/>
      <c r="H16" s="87">
        <f t="shared" ref="H16:R16" si="7">-(H13*$C$16)</f>
        <v>-4731.0835500000003</v>
      </c>
      <c r="I16" s="87">
        <f t="shared" si="7"/>
        <v>-4873.0160565000006</v>
      </c>
      <c r="J16" s="87">
        <f t="shared" si="7"/>
        <v>-5019.2065381950006</v>
      </c>
      <c r="K16" s="87">
        <f t="shared" si="7"/>
        <v>-5169.7827343408499</v>
      </c>
      <c r="L16" s="87">
        <f t="shared" si="7"/>
        <v>-5324.8762163710762</v>
      </c>
      <c r="M16" s="87">
        <f t="shared" si="7"/>
        <v>-5484.6225028622093</v>
      </c>
      <c r="N16" s="87">
        <f t="shared" si="7"/>
        <v>-5649.1611779480754</v>
      </c>
      <c r="O16" s="87">
        <f t="shared" si="7"/>
        <v>-5818.6360132865175</v>
      </c>
      <c r="P16" s="87">
        <f t="shared" si="7"/>
        <v>-5993.1950936851126</v>
      </c>
      <c r="Q16" s="87">
        <f t="shared" si="7"/>
        <v>-6172.9909464956672</v>
      </c>
      <c r="R16" s="87">
        <f t="shared" si="7"/>
        <v>-6358.1806748905365</v>
      </c>
      <c r="S16" s="87"/>
      <c r="T16" s="87"/>
    </row>
    <row r="17" spans="1:18" s="78" customFormat="1" x14ac:dyDescent="0.2">
      <c r="A17" s="61"/>
      <c r="B17" s="61" t="s">
        <v>36</v>
      </c>
      <c r="C17" s="72"/>
      <c r="D17" s="72"/>
      <c r="E17" s="60"/>
      <c r="F17" s="83">
        <f>SUM(F13,F15:F16)</f>
        <v>432571.5</v>
      </c>
      <c r="H17" s="78">
        <f t="shared" ref="H17:R17" si="8">SUM(H13,H15:H16)</f>
        <v>458915.10434999998</v>
      </c>
      <c r="I17" s="78">
        <f t="shared" si="8"/>
        <v>472682.55748050002</v>
      </c>
      <c r="J17" s="78">
        <f t="shared" si="8"/>
        <v>486863.03420491505</v>
      </c>
      <c r="K17" s="78">
        <f t="shared" si="8"/>
        <v>501468.92523106246</v>
      </c>
      <c r="L17" s="78">
        <f t="shared" si="8"/>
        <v>516512.99298799434</v>
      </c>
      <c r="M17" s="78">
        <f t="shared" si="8"/>
        <v>532008.38277763431</v>
      </c>
      <c r="N17" s="78">
        <f t="shared" si="8"/>
        <v>547968.6342609633</v>
      </c>
      <c r="O17" s="78">
        <f t="shared" si="8"/>
        <v>564407.69328879216</v>
      </c>
      <c r="P17" s="78">
        <f t="shared" si="8"/>
        <v>581339.92408745596</v>
      </c>
      <c r="Q17" s="78">
        <f t="shared" si="8"/>
        <v>598780.12181007967</v>
      </c>
      <c r="R17" s="78">
        <f t="shared" si="8"/>
        <v>616743.52546438202</v>
      </c>
    </row>
    <row r="18" spans="1:18" s="78" customFormat="1" x14ac:dyDescent="0.2">
      <c r="A18" s="61"/>
      <c r="B18" s="61" t="s">
        <v>96</v>
      </c>
      <c r="C18" s="84">
        <f>'Assumptions and Key Inputs'!D32</f>
        <v>0.37308967419259009</v>
      </c>
      <c r="D18" s="85"/>
      <c r="E18" s="60"/>
      <c r="F18" s="83">
        <f>-SUM(F19:F33)</f>
        <v>-161387.96000000002</v>
      </c>
      <c r="G18" s="88"/>
      <c r="H18" s="78">
        <f t="shared" ref="H18:R18" si="9">-H17*$C$18</f>
        <v>-171216.48676399997</v>
      </c>
      <c r="I18" s="78">
        <f t="shared" si="9"/>
        <v>-176352.98136691999</v>
      </c>
      <c r="J18" s="78">
        <f t="shared" si="9"/>
        <v>-181643.57080792761</v>
      </c>
      <c r="K18" s="78">
        <f t="shared" si="9"/>
        <v>-187092.8779321654</v>
      </c>
      <c r="L18" s="78">
        <f t="shared" si="9"/>
        <v>-192705.66427013036</v>
      </c>
      <c r="M18" s="78">
        <f t="shared" si="9"/>
        <v>-198486.83419823434</v>
      </c>
      <c r="N18" s="78">
        <f t="shared" si="9"/>
        <v>-204441.43922418135</v>
      </c>
      <c r="O18" s="78">
        <f t="shared" si="9"/>
        <v>-210574.68240090678</v>
      </c>
      <c r="P18" s="78">
        <f t="shared" si="9"/>
        <v>-216891.922872934</v>
      </c>
      <c r="Q18" s="78">
        <f t="shared" si="9"/>
        <v>-223398.68055912203</v>
      </c>
      <c r="R18" s="78">
        <f t="shared" si="9"/>
        <v>-230100.64097589569</v>
      </c>
    </row>
    <row r="19" spans="1:18" s="78" customFormat="1" hidden="1" outlineLevel="1" x14ac:dyDescent="0.2">
      <c r="A19" s="61"/>
      <c r="B19" s="76" t="s">
        <v>45</v>
      </c>
      <c r="C19" s="72"/>
      <c r="D19" s="72"/>
      <c r="E19" s="60"/>
      <c r="F19" s="83">
        <v>86725.25</v>
      </c>
      <c r="G19" s="61"/>
    </row>
    <row r="20" spans="1:18" s="78" customFormat="1" hidden="1" outlineLevel="1" x14ac:dyDescent="0.2">
      <c r="A20" s="61"/>
      <c r="B20" s="76" t="s">
        <v>62</v>
      </c>
      <c r="C20" s="72"/>
      <c r="D20" s="72"/>
      <c r="E20" s="60"/>
      <c r="F20" s="83">
        <v>3500</v>
      </c>
      <c r="G20" s="61"/>
    </row>
    <row r="21" spans="1:18" s="78" customFormat="1" hidden="1" outlineLevel="1" x14ac:dyDescent="0.2">
      <c r="A21" s="61"/>
      <c r="B21" s="76" t="s">
        <v>46</v>
      </c>
      <c r="C21" s="72"/>
      <c r="D21" s="72"/>
      <c r="E21" s="60"/>
      <c r="F21" s="83">
        <v>2000</v>
      </c>
      <c r="G21" s="61"/>
    </row>
    <row r="22" spans="1:18" s="78" customFormat="1" hidden="1" outlineLevel="1" x14ac:dyDescent="0.2">
      <c r="A22" s="61"/>
      <c r="B22" s="76" t="s">
        <v>47</v>
      </c>
      <c r="C22" s="72"/>
      <c r="D22" s="72"/>
      <c r="E22" s="60"/>
      <c r="F22" s="83">
        <v>2600</v>
      </c>
      <c r="G22" s="61"/>
    </row>
    <row r="23" spans="1:18" s="78" customFormat="1" hidden="1" outlineLevel="1" x14ac:dyDescent="0.2">
      <c r="A23" s="61"/>
      <c r="B23" s="76" t="s">
        <v>49</v>
      </c>
      <c r="C23" s="72"/>
      <c r="D23" s="72"/>
      <c r="E23" s="60"/>
      <c r="F23" s="83">
        <v>1800</v>
      </c>
      <c r="G23" s="61"/>
    </row>
    <row r="24" spans="1:18" s="78" customFormat="1" hidden="1" outlineLevel="1" x14ac:dyDescent="0.2">
      <c r="A24" s="61"/>
      <c r="B24" s="76" t="s">
        <v>51</v>
      </c>
      <c r="C24" s="72"/>
      <c r="D24" s="72"/>
      <c r="E24" s="60"/>
      <c r="F24" s="83">
        <v>696.99</v>
      </c>
      <c r="G24" s="61"/>
    </row>
    <row r="25" spans="1:18" s="78" customFormat="1" hidden="1" outlineLevel="1" x14ac:dyDescent="0.2">
      <c r="A25" s="61"/>
      <c r="B25" s="76" t="s">
        <v>52</v>
      </c>
      <c r="C25" s="72"/>
      <c r="D25" s="72"/>
      <c r="E25" s="60"/>
      <c r="F25" s="83">
        <v>600</v>
      </c>
      <c r="G25" s="61"/>
    </row>
    <row r="26" spans="1:18" s="78" customFormat="1" hidden="1" outlineLevel="1" x14ac:dyDescent="0.2">
      <c r="A26" s="61"/>
      <c r="B26" s="76" t="s">
        <v>53</v>
      </c>
      <c r="C26" s="72"/>
      <c r="D26" s="72"/>
      <c r="E26" s="60"/>
      <c r="F26" s="83">
        <v>3000</v>
      </c>
      <c r="G26" s="61"/>
    </row>
    <row r="27" spans="1:18" s="78" customFormat="1" hidden="1" outlineLevel="1" x14ac:dyDescent="0.2">
      <c r="A27" s="61"/>
      <c r="B27" s="76" t="s">
        <v>54</v>
      </c>
      <c r="C27" s="72"/>
      <c r="D27" s="72"/>
      <c r="E27" s="60"/>
      <c r="F27" s="83">
        <v>2400</v>
      </c>
      <c r="G27" s="61"/>
    </row>
    <row r="28" spans="1:18" s="78" customFormat="1" hidden="1" outlineLevel="1" x14ac:dyDescent="0.2">
      <c r="A28" s="61"/>
      <c r="B28" s="76" t="s">
        <v>55</v>
      </c>
      <c r="C28" s="72"/>
      <c r="D28" s="72"/>
      <c r="E28" s="60"/>
      <c r="F28" s="83">
        <v>2100</v>
      </c>
      <c r="G28" s="61"/>
    </row>
    <row r="29" spans="1:18" s="78" customFormat="1" hidden="1" outlineLevel="1" x14ac:dyDescent="0.2">
      <c r="A29" s="61"/>
      <c r="B29" s="76" t="s">
        <v>56</v>
      </c>
      <c r="C29" s="72"/>
      <c r="D29" s="72"/>
      <c r="E29" s="60"/>
      <c r="F29" s="83">
        <v>3000</v>
      </c>
      <c r="G29" s="61"/>
    </row>
    <row r="30" spans="1:18" s="78" customFormat="1" hidden="1" outlineLevel="1" x14ac:dyDescent="0.2">
      <c r="A30" s="61"/>
      <c r="B30" s="76" t="s">
        <v>57</v>
      </c>
      <c r="C30" s="72"/>
      <c r="D30" s="72"/>
      <c r="E30" s="60"/>
      <c r="F30" s="83">
        <v>7500</v>
      </c>
      <c r="G30" s="61"/>
    </row>
    <row r="31" spans="1:18" s="78" customFormat="1" hidden="1" outlineLevel="1" x14ac:dyDescent="0.2">
      <c r="A31" s="61"/>
      <c r="B31" s="76" t="s">
        <v>58</v>
      </c>
      <c r="C31" s="72"/>
      <c r="D31" s="72"/>
      <c r="E31" s="60"/>
      <c r="F31" s="83">
        <v>10000</v>
      </c>
      <c r="G31" s="61"/>
    </row>
    <row r="32" spans="1:18" s="78" customFormat="1" hidden="1" outlineLevel="1" x14ac:dyDescent="0.2">
      <c r="A32" s="61"/>
      <c r="B32" s="76" t="s">
        <v>59</v>
      </c>
      <c r="C32" s="72"/>
      <c r="D32" s="72"/>
      <c r="E32" s="60"/>
      <c r="F32" s="83">
        <v>34605.72</v>
      </c>
      <c r="G32" s="61"/>
    </row>
    <row r="33" spans="1:20" s="78" customFormat="1" hidden="1" outlineLevel="1" x14ac:dyDescent="0.2">
      <c r="A33" s="61"/>
      <c r="B33" s="76" t="s">
        <v>48</v>
      </c>
      <c r="C33" s="72"/>
      <c r="D33" s="72"/>
      <c r="E33" s="60"/>
      <c r="F33" s="83">
        <v>860</v>
      </c>
      <c r="G33" s="61"/>
    </row>
    <row r="34" spans="1:20" s="78" customFormat="1" collapsed="1" x14ac:dyDescent="0.2">
      <c r="A34" s="61"/>
      <c r="B34" s="79" t="s">
        <v>68</v>
      </c>
      <c r="C34" s="80"/>
      <c r="D34" s="80"/>
      <c r="E34" s="80"/>
      <c r="F34" s="81">
        <f>SUM(F17,F18)</f>
        <v>271183.53999999998</v>
      </c>
      <c r="G34" s="82"/>
      <c r="H34" s="82">
        <f t="shared" ref="H34:R34" si="10">SUM(H17,H18)</f>
        <v>287698.61758600001</v>
      </c>
      <c r="I34" s="82">
        <f t="shared" si="10"/>
        <v>296329.57611358003</v>
      </c>
      <c r="J34" s="82">
        <f t="shared" si="10"/>
        <v>305219.46339698741</v>
      </c>
      <c r="K34" s="82">
        <f t="shared" si="10"/>
        <v>314376.04729889706</v>
      </c>
      <c r="L34" s="82">
        <f t="shared" si="10"/>
        <v>323807.328717864</v>
      </c>
      <c r="M34" s="82">
        <f t="shared" si="10"/>
        <v>333521.54857939994</v>
      </c>
      <c r="N34" s="82">
        <f t="shared" si="10"/>
        <v>343527.19503678195</v>
      </c>
      <c r="O34" s="82">
        <f t="shared" si="10"/>
        <v>353833.01088788535</v>
      </c>
      <c r="P34" s="82">
        <f t="shared" si="10"/>
        <v>364448.00121452194</v>
      </c>
      <c r="Q34" s="82">
        <f t="shared" si="10"/>
        <v>375381.44125095767</v>
      </c>
      <c r="R34" s="82">
        <f t="shared" si="10"/>
        <v>386642.88448848634</v>
      </c>
      <c r="S34" s="82">
        <f>R34*(1+C5)</f>
        <v>398242.17102314095</v>
      </c>
      <c r="T34" s="82"/>
    </row>
    <row r="35" spans="1:20" s="78" customFormat="1" x14ac:dyDescent="0.2">
      <c r="A35" s="61"/>
      <c r="B35" s="89"/>
      <c r="C35" s="90"/>
      <c r="D35" s="85"/>
      <c r="E35" s="60"/>
      <c r="F35" s="91"/>
      <c r="G35" s="92"/>
      <c r="H35" s="92"/>
      <c r="I35" s="92"/>
      <c r="J35" s="92"/>
      <c r="K35" s="92"/>
      <c r="L35" s="92"/>
      <c r="M35" s="92"/>
      <c r="N35" s="92"/>
      <c r="O35" s="92"/>
      <c r="P35" s="92"/>
      <c r="Q35" s="92"/>
      <c r="R35" s="92"/>
      <c r="S35" s="92"/>
      <c r="T35" s="92"/>
    </row>
    <row r="36" spans="1:20" s="78" customFormat="1" x14ac:dyDescent="0.2">
      <c r="A36" s="61"/>
      <c r="B36" s="76" t="s">
        <v>97</v>
      </c>
      <c r="C36" s="93">
        <f>'Assumptions and Key Inputs'!D27</f>
        <v>0.2</v>
      </c>
      <c r="D36" s="85"/>
      <c r="E36" s="60"/>
      <c r="F36" s="83">
        <f>-F34*$C$36</f>
        <v>-54236.707999999999</v>
      </c>
      <c r="H36" s="78">
        <f t="shared" ref="H36:R36" si="11">-H34*$C$36</f>
        <v>-57539.723517200007</v>
      </c>
      <c r="I36" s="78">
        <f t="shared" si="11"/>
        <v>-59265.915222716008</v>
      </c>
      <c r="J36" s="78">
        <f t="shared" si="11"/>
        <v>-61043.892679397482</v>
      </c>
      <c r="K36" s="78">
        <f t="shared" si="11"/>
        <v>-62875.209459779413</v>
      </c>
      <c r="L36" s="78">
        <f t="shared" si="11"/>
        <v>-64761.4657435728</v>
      </c>
      <c r="M36" s="78">
        <f t="shared" si="11"/>
        <v>-66704.309715879994</v>
      </c>
      <c r="N36" s="78">
        <f t="shared" si="11"/>
        <v>-68705.439007356399</v>
      </c>
      <c r="O36" s="78">
        <f t="shared" si="11"/>
        <v>-70766.602177577079</v>
      </c>
      <c r="P36" s="78">
        <f t="shared" si="11"/>
        <v>-72889.600242904387</v>
      </c>
      <c r="Q36" s="78">
        <f t="shared" si="11"/>
        <v>-75076.28825019153</v>
      </c>
      <c r="R36" s="78">
        <f t="shared" si="11"/>
        <v>-77328.576897697276</v>
      </c>
    </row>
    <row r="37" spans="1:20" s="78" customFormat="1" x14ac:dyDescent="0.2">
      <c r="A37" s="61"/>
      <c r="B37" s="76" t="s">
        <v>7</v>
      </c>
      <c r="C37" s="94">
        <f>'Assumptions and Key Inputs'!D44</f>
        <v>190663.01699067338</v>
      </c>
      <c r="D37" s="74"/>
      <c r="E37" s="60"/>
      <c r="F37" s="95">
        <f>-$C$37</f>
        <v>-190663.01699067338</v>
      </c>
      <c r="G37" s="88"/>
      <c r="H37" s="78">
        <f t="shared" ref="H37:R37" si="12">-$C$37</f>
        <v>-190663.01699067338</v>
      </c>
      <c r="I37" s="78">
        <f t="shared" si="12"/>
        <v>-190663.01699067338</v>
      </c>
      <c r="J37" s="78">
        <f t="shared" si="12"/>
        <v>-190663.01699067338</v>
      </c>
      <c r="K37" s="78">
        <f t="shared" si="12"/>
        <v>-190663.01699067338</v>
      </c>
      <c r="L37" s="78">
        <f t="shared" si="12"/>
        <v>-190663.01699067338</v>
      </c>
      <c r="M37" s="78">
        <f t="shared" si="12"/>
        <v>-190663.01699067338</v>
      </c>
      <c r="N37" s="78">
        <f t="shared" si="12"/>
        <v>-190663.01699067338</v>
      </c>
      <c r="O37" s="78">
        <f t="shared" si="12"/>
        <v>-190663.01699067338</v>
      </c>
      <c r="P37" s="78">
        <f t="shared" si="12"/>
        <v>-190663.01699067338</v>
      </c>
      <c r="Q37" s="78">
        <f t="shared" si="12"/>
        <v>-190663.01699067338</v>
      </c>
      <c r="R37" s="78">
        <f t="shared" si="12"/>
        <v>-190663.01699067338</v>
      </c>
    </row>
    <row r="38" spans="1:20" s="78" customFormat="1" x14ac:dyDescent="0.2">
      <c r="A38" s="61"/>
      <c r="B38" s="96" t="s">
        <v>80</v>
      </c>
      <c r="C38" s="97"/>
      <c r="D38" s="97"/>
      <c r="E38" s="97"/>
      <c r="F38" s="98">
        <f>SUM(F34:F37)</f>
        <v>26283.815009326616</v>
      </c>
      <c r="G38" s="99"/>
      <c r="H38" s="82">
        <f>SUM(H34:H37)</f>
        <v>39495.877078126621</v>
      </c>
      <c r="I38" s="82">
        <f t="shared" ref="I38:R38" si="13">SUM(I34:I37)</f>
        <v>46400.643900190655</v>
      </c>
      <c r="J38" s="82">
        <f t="shared" si="13"/>
        <v>53512.553726916551</v>
      </c>
      <c r="K38" s="82">
        <f t="shared" si="13"/>
        <v>60837.820848444273</v>
      </c>
      <c r="L38" s="82">
        <f t="shared" si="13"/>
        <v>68382.845983617823</v>
      </c>
      <c r="M38" s="82">
        <f t="shared" si="13"/>
        <v>76154.221872846596</v>
      </c>
      <c r="N38" s="82">
        <f t="shared" si="13"/>
        <v>84158.739038752159</v>
      </c>
      <c r="O38" s="82">
        <f t="shared" si="13"/>
        <v>92403.391719634878</v>
      </c>
      <c r="P38" s="82">
        <f t="shared" si="13"/>
        <v>100895.38398094417</v>
      </c>
      <c r="Q38" s="82">
        <f t="shared" si="13"/>
        <v>109642.13601009274</v>
      </c>
      <c r="R38" s="82">
        <f t="shared" si="13"/>
        <v>118651.29060011567</v>
      </c>
      <c r="S38" s="82"/>
      <c r="T38" s="82"/>
    </row>
    <row r="39" spans="1:20" x14ac:dyDescent="0.2">
      <c r="B39" s="100"/>
      <c r="C39" s="72"/>
      <c r="D39" s="72"/>
      <c r="E39" s="60"/>
      <c r="F39" s="88"/>
      <c r="G39" s="101"/>
      <c r="H39" s="101"/>
      <c r="I39" s="102">
        <f t="shared" ref="I39:S39" si="14">(I34-H34)/H34</f>
        <v>3.0000000000000068E-2</v>
      </c>
      <c r="J39" s="102">
        <f t="shared" si="14"/>
        <v>2.9999999999999943E-2</v>
      </c>
      <c r="K39" s="102">
        <f t="shared" si="14"/>
        <v>3.0000000000000075E-2</v>
      </c>
      <c r="L39" s="102">
        <f t="shared" si="14"/>
        <v>3.0000000000000103E-2</v>
      </c>
      <c r="M39" s="102">
        <f t="shared" si="14"/>
        <v>3.0000000000000054E-2</v>
      </c>
      <c r="N39" s="102">
        <f t="shared" si="14"/>
        <v>3.0000000000000041E-2</v>
      </c>
      <c r="O39" s="102">
        <f t="shared" si="14"/>
        <v>2.9999999999999825E-2</v>
      </c>
      <c r="P39" s="102">
        <f t="shared" si="14"/>
        <v>3.0000000000000075E-2</v>
      </c>
      <c r="Q39" s="102">
        <f t="shared" si="14"/>
        <v>3.0000000000000193E-2</v>
      </c>
      <c r="R39" s="102">
        <f t="shared" si="14"/>
        <v>2.9999999999999843E-2</v>
      </c>
      <c r="S39" s="102">
        <f t="shared" si="14"/>
        <v>3.0000000000000068E-2</v>
      </c>
      <c r="T39" s="102"/>
    </row>
    <row r="40" spans="1:20" x14ac:dyDescent="0.2">
      <c r="C40" s="72"/>
      <c r="D40" s="72"/>
      <c r="E40" s="60"/>
      <c r="G40" s="103"/>
      <c r="H40" s="88"/>
      <c r="I40" s="88"/>
      <c r="J40" s="88"/>
      <c r="K40" s="88"/>
      <c r="L40" s="88"/>
      <c r="M40" s="88"/>
      <c r="N40" s="88"/>
      <c r="O40" s="88"/>
      <c r="P40" s="88"/>
      <c r="Q40" s="88"/>
      <c r="R40" s="88"/>
      <c r="S40" s="88"/>
    </row>
    <row r="41" spans="1:20" x14ac:dyDescent="0.2">
      <c r="B41" s="61" t="s">
        <v>114</v>
      </c>
      <c r="C41" s="69">
        <f>'Assumptions and Key Inputs'!D25</f>
        <v>6.5000000000000002E-2</v>
      </c>
      <c r="D41" s="70"/>
      <c r="E41" s="60"/>
      <c r="G41" s="103"/>
      <c r="H41" s="103"/>
      <c r="I41" s="103"/>
      <c r="J41" s="103"/>
      <c r="K41" s="103"/>
      <c r="L41" s="103"/>
      <c r="M41" s="103"/>
      <c r="N41" s="103"/>
      <c r="O41" s="103"/>
      <c r="P41" s="103"/>
      <c r="R41" s="78">
        <f>S34/C41</f>
        <v>6126802.6311252452</v>
      </c>
    </row>
    <row r="42" spans="1:20" x14ac:dyDescent="0.2">
      <c r="B42" s="61" t="s">
        <v>116</v>
      </c>
      <c r="C42" s="69">
        <f>'Assumptions and Key Inputs'!D33</f>
        <v>0.02</v>
      </c>
      <c r="D42" s="70"/>
      <c r="E42" s="60"/>
      <c r="G42" s="103"/>
      <c r="R42" s="78">
        <f>C42*'4. Pro Forma NPV'!R41</f>
        <v>122536.05262250491</v>
      </c>
    </row>
    <row r="43" spans="1:20" x14ac:dyDescent="0.2">
      <c r="B43" s="61" t="s">
        <v>4</v>
      </c>
      <c r="C43" s="72"/>
      <c r="D43" s="72"/>
      <c r="E43" s="60"/>
      <c r="R43" s="104">
        <f>R41-R42</f>
        <v>6004266.5785027407</v>
      </c>
    </row>
    <row r="44" spans="1:20" x14ac:dyDescent="0.2">
      <c r="B44" s="61" t="s">
        <v>123</v>
      </c>
      <c r="C44" s="69">
        <f>'Assumptions and Key Inputs'!D41</f>
        <v>4.6249999999999999E-2</v>
      </c>
      <c r="D44" s="70"/>
      <c r="E44" s="60"/>
      <c r="G44" s="88"/>
      <c r="R44" s="78">
        <f>PV(C44/12,(25-10)*12,-C37/12)</f>
        <v>2059715.183260507</v>
      </c>
    </row>
    <row r="45" spans="1:20" x14ac:dyDescent="0.2">
      <c r="B45" s="96" t="s">
        <v>80</v>
      </c>
      <c r="C45" s="97"/>
      <c r="D45" s="97"/>
      <c r="E45" s="97"/>
      <c r="F45" s="98"/>
      <c r="G45" s="99"/>
      <c r="H45" s="82"/>
      <c r="I45" s="82"/>
      <c r="J45" s="82"/>
      <c r="K45" s="82"/>
      <c r="L45" s="82"/>
      <c r="M45" s="82"/>
      <c r="N45" s="82"/>
      <c r="O45" s="82"/>
      <c r="P45" s="82"/>
      <c r="Q45" s="82"/>
      <c r="R45" s="82">
        <f>R43-R44</f>
        <v>3944551.3952422338</v>
      </c>
      <c r="S45" s="82"/>
      <c r="T45" s="82"/>
    </row>
    <row r="46" spans="1:20" x14ac:dyDescent="0.2">
      <c r="B46" s="76"/>
      <c r="C46" s="105"/>
      <c r="D46" s="105"/>
      <c r="E46" s="60"/>
      <c r="F46" s="103"/>
      <c r="G46" s="88"/>
      <c r="H46" s="103"/>
    </row>
    <row r="47" spans="1:20" ht="15" thickBot="1" x14ac:dyDescent="0.25">
      <c r="B47" s="106" t="s">
        <v>119</v>
      </c>
      <c r="C47" s="107"/>
      <c r="D47" s="107"/>
      <c r="E47" s="107"/>
      <c r="F47" s="108">
        <f>F7+F8+F9</f>
        <v>-1098669</v>
      </c>
      <c r="G47" s="109">
        <f>G7+G8+G9</f>
        <v>0</v>
      </c>
      <c r="H47" s="108">
        <f t="shared" ref="H47:R47" si="15">H7+H8+H9+H38+H45</f>
        <v>197373.87684375184</v>
      </c>
      <c r="I47" s="108">
        <f t="shared" si="15"/>
        <v>46400.643900190655</v>
      </c>
      <c r="J47" s="108">
        <f t="shared" si="15"/>
        <v>53512.553726916551</v>
      </c>
      <c r="K47" s="108">
        <f t="shared" si="15"/>
        <v>60837.820848444273</v>
      </c>
      <c r="L47" s="108">
        <f t="shared" si="15"/>
        <v>68382.845983617823</v>
      </c>
      <c r="M47" s="108">
        <f t="shared" si="15"/>
        <v>76154.221872846596</v>
      </c>
      <c r="N47" s="108">
        <f t="shared" si="15"/>
        <v>84158.739038752159</v>
      </c>
      <c r="O47" s="108">
        <f t="shared" si="15"/>
        <v>92403.391719634878</v>
      </c>
      <c r="P47" s="108">
        <f t="shared" si="15"/>
        <v>100895.38398094417</v>
      </c>
      <c r="Q47" s="108">
        <f t="shared" si="15"/>
        <v>109642.13601009274</v>
      </c>
      <c r="R47" s="108">
        <f t="shared" si="15"/>
        <v>4063202.6858423492</v>
      </c>
      <c r="S47" s="108"/>
      <c r="T47" s="108"/>
    </row>
    <row r="48" spans="1:20" ht="15" thickTop="1" x14ac:dyDescent="0.2">
      <c r="B48" s="76" t="s">
        <v>125</v>
      </c>
      <c r="C48" s="69">
        <f>'Assumptions and Key Inputs'!D28</f>
        <v>8.2000000000000003E-2</v>
      </c>
      <c r="D48" s="70"/>
      <c r="E48" s="60"/>
      <c r="F48" s="110">
        <f>PV($C$48/12,F4*12,,-F47)</f>
        <v>-1098669</v>
      </c>
      <c r="G48" s="110">
        <v>0</v>
      </c>
      <c r="H48" s="111">
        <f>PV($C$48/12,H4*12,,-H47)</f>
        <v>167612.97069008937</v>
      </c>
      <c r="I48" s="111">
        <f t="shared" ref="I48:R48" si="16">PV($C$48/12,I4*12,,-I47)</f>
        <v>36312.063971388729</v>
      </c>
      <c r="J48" s="111">
        <f t="shared" si="16"/>
        <v>38591.492974006425</v>
      </c>
      <c r="K48" s="111">
        <f t="shared" si="16"/>
        <v>40431.376650375059</v>
      </c>
      <c r="L48" s="111">
        <f t="shared" si="16"/>
        <v>41879.455505093865</v>
      </c>
      <c r="M48" s="111">
        <f t="shared" si="16"/>
        <v>42979.050415797843</v>
      </c>
      <c r="N48" s="111">
        <f t="shared" si="16"/>
        <v>43769.44367060042</v>
      </c>
      <c r="O48" s="111">
        <f t="shared" si="16"/>
        <v>44286.228365649833</v>
      </c>
      <c r="P48" s="111">
        <f t="shared" si="16"/>
        <v>44561.62873402347</v>
      </c>
      <c r="Q48" s="111">
        <f t="shared" si="16"/>
        <v>44624.793770924756</v>
      </c>
      <c r="R48" s="111">
        <f t="shared" si="16"/>
        <v>1523969.2254863488</v>
      </c>
    </row>
    <row r="49" spans="2:9" x14ac:dyDescent="0.2">
      <c r="B49" s="76"/>
      <c r="E49" s="60"/>
      <c r="F49" s="103"/>
      <c r="G49" s="111"/>
      <c r="H49" s="111"/>
    </row>
    <row r="50" spans="2:9" x14ac:dyDescent="0.2">
      <c r="B50" s="112" t="s">
        <v>126</v>
      </c>
      <c r="C50" s="113"/>
      <c r="D50" s="113"/>
      <c r="E50" s="113"/>
      <c r="F50" s="114">
        <f>SUM(F48:R48)</f>
        <v>970348.73023429874</v>
      </c>
      <c r="H50" s="115"/>
    </row>
    <row r="51" spans="2:9" x14ac:dyDescent="0.2">
      <c r="B51" s="76" t="s">
        <v>5</v>
      </c>
      <c r="E51" s="60"/>
      <c r="F51" s="116">
        <f>IRR(F47:R47)</f>
        <v>0.1566203247721436</v>
      </c>
      <c r="H51" s="62"/>
    </row>
    <row r="52" spans="2:9" x14ac:dyDescent="0.2">
      <c r="E52" s="60"/>
      <c r="H52" s="88"/>
      <c r="I52" s="63"/>
    </row>
    <row r="53" spans="2:9" x14ac:dyDescent="0.2">
      <c r="B53" s="117"/>
      <c r="C53" s="78"/>
      <c r="D53" s="78"/>
      <c r="E53" s="60"/>
      <c r="F53" s="101"/>
    </row>
    <row r="54" spans="2:9" x14ac:dyDescent="0.2">
      <c r="B54" s="100"/>
      <c r="C54" s="78"/>
      <c r="D54" s="78"/>
      <c r="E54" s="60"/>
    </row>
    <row r="55" spans="2:9" x14ac:dyDescent="0.2">
      <c r="B55" s="100"/>
      <c r="C55" s="88"/>
      <c r="D55" s="88"/>
      <c r="E55" s="60"/>
    </row>
    <row r="56" spans="2:9" x14ac:dyDescent="0.2">
      <c r="B56" s="100"/>
      <c r="C56" s="88"/>
      <c r="D56" s="88"/>
      <c r="E56" s="60"/>
    </row>
    <row r="57" spans="2:9" x14ac:dyDescent="0.2">
      <c r="B57" s="100"/>
      <c r="C57" s="88"/>
      <c r="D57" s="88"/>
      <c r="E57" s="60"/>
    </row>
    <row r="58" spans="2:9" x14ac:dyDescent="0.2">
      <c r="B58" s="100"/>
      <c r="C58" s="88"/>
      <c r="D58" s="88"/>
      <c r="E58" s="60"/>
    </row>
    <row r="59" spans="2:9" x14ac:dyDescent="0.2">
      <c r="E59" s="60"/>
    </row>
    <row r="60" spans="2:9" x14ac:dyDescent="0.2">
      <c r="E60" s="60"/>
    </row>
    <row r="68" spans="2:6" hidden="1" x14ac:dyDescent="0.2">
      <c r="F68" s="103"/>
    </row>
    <row r="69" spans="2:6" hidden="1" x14ac:dyDescent="0.2">
      <c r="B69" s="117"/>
      <c r="E69" s="117"/>
      <c r="F69" s="103"/>
    </row>
    <row r="70" spans="2:6" hidden="1" x14ac:dyDescent="0.2">
      <c r="B70" s="100"/>
      <c r="E70" s="100"/>
      <c r="F70" s="103"/>
    </row>
    <row r="71" spans="2:6" hidden="1" x14ac:dyDescent="0.2">
      <c r="B71" s="76"/>
      <c r="E71" s="76"/>
      <c r="F71" s="103"/>
    </row>
    <row r="72" spans="2:6" hidden="1" x14ac:dyDescent="0.2">
      <c r="B72" s="76"/>
      <c r="C72" s="118"/>
      <c r="D72" s="118"/>
      <c r="E72" s="76"/>
      <c r="F72" s="103"/>
    </row>
    <row r="73" spans="2:6" hidden="1" x14ac:dyDescent="0.2">
      <c r="B73" s="76"/>
      <c r="C73" s="119"/>
      <c r="D73" s="119"/>
      <c r="E73" s="76"/>
      <c r="F73" s="103"/>
    </row>
    <row r="74" spans="2:6" hidden="1" x14ac:dyDescent="0.2">
      <c r="B74" s="100"/>
      <c r="E74" s="100"/>
      <c r="F74" s="111"/>
    </row>
  </sheetData>
  <pageMargins left="0.7" right="0.7" top="0.75" bottom="0.75" header="0.3" footer="0.3"/>
  <customProperties>
    <customPr name="Guid" r:id="rId1"/>
  </customPropertie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77653-B849-48FA-9E6B-B3812E4A687D}">
  <sheetPr>
    <tabColor rgb="FF00B0F0"/>
  </sheetPr>
  <dimension ref="A1"/>
  <sheetViews>
    <sheetView showGridLines="0" workbookViewId="0"/>
  </sheetViews>
  <sheetFormatPr baseColWidth="10" defaultRowHeight="15"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BFA48-CFB3-764D-9662-171C4408C4A4}">
  <dimension ref="B2:QZ23"/>
  <sheetViews>
    <sheetView showGridLines="0" zoomScale="120" zoomScaleNormal="120" workbookViewId="0">
      <pane xSplit="6" ySplit="2" topLeftCell="O3" activePane="bottomRight" state="frozen"/>
      <selection pane="topRight" activeCell="G1" sqref="G1"/>
      <selection pane="bottomLeft" activeCell="A3" sqref="A3"/>
      <selection pane="bottomRight"/>
    </sheetView>
  </sheetViews>
  <sheetFormatPr baseColWidth="10" defaultColWidth="11.5" defaultRowHeight="14" x14ac:dyDescent="0.2"/>
  <cols>
    <col min="1" max="1" width="3.33203125" style="61" customWidth="1"/>
    <col min="2" max="2" width="28.6640625" style="61" bestFit="1" customWidth="1"/>
    <col min="3" max="3" width="17" style="61" customWidth="1"/>
    <col min="4" max="4" width="15" style="61" customWidth="1"/>
    <col min="5" max="5" width="18.5" style="61" customWidth="1"/>
    <col min="6" max="6" width="2.33203125" style="61" customWidth="1"/>
    <col min="7" max="18" width="13.83203125" style="61" customWidth="1"/>
    <col min="19" max="19" width="13.5" style="61" bestFit="1" customWidth="1"/>
    <col min="20" max="27" width="11.6640625" style="61" bestFit="1" customWidth="1"/>
    <col min="28" max="28" width="14" style="61" bestFit="1" customWidth="1"/>
    <col min="29" max="29" width="11.6640625" style="61" bestFit="1" customWidth="1"/>
    <col min="30" max="31" width="13.5" style="61" bestFit="1" customWidth="1"/>
    <col min="32" max="39" width="11.6640625" style="61" bestFit="1" customWidth="1"/>
    <col min="40" max="40" width="13.33203125" style="61" bestFit="1" customWidth="1"/>
    <col min="41" max="41" width="11.6640625" style="61" bestFit="1" customWidth="1"/>
    <col min="42" max="42" width="12.83203125" style="61" bestFit="1" customWidth="1"/>
    <col min="43" max="43" width="12.6640625" style="61" bestFit="1" customWidth="1"/>
    <col min="44" max="51" width="11.6640625" style="61" bestFit="1" customWidth="1"/>
    <col min="52" max="52" width="13.33203125" style="61" bestFit="1" customWidth="1"/>
    <col min="53" max="53" width="11.6640625" style="61" bestFit="1" customWidth="1"/>
    <col min="54" max="54" width="12.83203125" style="61" bestFit="1" customWidth="1"/>
    <col min="55" max="55" width="12.6640625" style="61" bestFit="1" customWidth="1"/>
    <col min="56" max="63" width="11.6640625" style="61" bestFit="1" customWidth="1"/>
    <col min="64" max="64" width="13.33203125" style="61" bestFit="1" customWidth="1"/>
    <col min="65" max="65" width="11.6640625" style="61" bestFit="1" customWidth="1"/>
    <col min="66" max="66" width="12.83203125" style="61" bestFit="1" customWidth="1"/>
    <col min="67" max="67" width="12.6640625" style="61" bestFit="1" customWidth="1"/>
    <col min="68" max="75" width="11.6640625" style="61" bestFit="1" customWidth="1"/>
    <col min="76" max="76" width="13.33203125" style="61" bestFit="1" customWidth="1"/>
    <col min="77" max="77" width="11.6640625" style="61" bestFit="1" customWidth="1"/>
    <col min="78" max="78" width="12.83203125" style="61" bestFit="1" customWidth="1"/>
    <col min="79" max="79" width="12.6640625" style="61" bestFit="1" customWidth="1"/>
    <col min="80" max="87" width="11.6640625" style="61" bestFit="1" customWidth="1"/>
    <col min="88" max="88" width="13.33203125" style="61" bestFit="1" customWidth="1"/>
    <col min="89" max="89" width="11.6640625" style="61" bestFit="1" customWidth="1"/>
    <col min="90" max="90" width="12.83203125" style="61" bestFit="1" customWidth="1"/>
    <col min="91" max="91" width="12.6640625" style="61" bestFit="1" customWidth="1"/>
    <col min="92" max="99" width="11.6640625" style="61" bestFit="1" customWidth="1"/>
    <col min="100" max="100" width="13.33203125" style="61" bestFit="1" customWidth="1"/>
    <col min="101" max="101" width="11.6640625" style="61" bestFit="1" customWidth="1"/>
    <col min="102" max="102" width="12.83203125" style="61" bestFit="1" customWidth="1"/>
    <col min="103" max="103" width="12.6640625" style="61" bestFit="1" customWidth="1"/>
    <col min="104" max="111" width="11.6640625" style="61" bestFit="1" customWidth="1"/>
    <col min="112" max="112" width="13.33203125" style="61" bestFit="1" customWidth="1"/>
    <col min="113" max="113" width="11.6640625" style="61" bestFit="1" customWidth="1"/>
    <col min="114" max="114" width="12.83203125" style="61" bestFit="1" customWidth="1"/>
    <col min="115" max="115" width="12.6640625" style="61" bestFit="1" customWidth="1"/>
    <col min="116" max="123" width="11.6640625" style="61" bestFit="1" customWidth="1"/>
    <col min="124" max="124" width="13.33203125" style="61" bestFit="1" customWidth="1"/>
    <col min="125" max="125" width="11.6640625" style="61" bestFit="1" customWidth="1"/>
    <col min="126" max="126" width="12.83203125" style="61" bestFit="1" customWidth="1"/>
    <col min="127" max="127" width="12.6640625" style="61" bestFit="1" customWidth="1"/>
    <col min="128" max="135" width="11.6640625" style="61" bestFit="1" customWidth="1"/>
    <col min="136" max="136" width="13.33203125" style="61" bestFit="1" customWidth="1"/>
    <col min="137" max="137" width="11.6640625" style="61" bestFit="1" customWidth="1"/>
    <col min="138" max="138" width="12.83203125" style="61" bestFit="1" customWidth="1"/>
    <col min="139" max="139" width="12.6640625" style="61" bestFit="1" customWidth="1"/>
    <col min="140" max="147" width="11.6640625" style="61" bestFit="1" customWidth="1"/>
    <col min="148" max="148" width="13.33203125" style="61" bestFit="1" customWidth="1"/>
    <col min="149" max="149" width="11.6640625" style="61" bestFit="1" customWidth="1"/>
    <col min="150" max="150" width="12.83203125" style="61" bestFit="1" customWidth="1"/>
    <col min="151" max="151" width="12.6640625" style="61" bestFit="1" customWidth="1"/>
    <col min="152" max="159" width="11.6640625" style="61" bestFit="1" customWidth="1"/>
    <col min="160" max="160" width="13.33203125" style="61" bestFit="1" customWidth="1"/>
    <col min="161" max="161" width="11.6640625" style="61" bestFit="1" customWidth="1"/>
    <col min="162" max="162" width="12.83203125" style="61" bestFit="1" customWidth="1"/>
    <col min="163" max="163" width="12.6640625" style="61" bestFit="1" customWidth="1"/>
    <col min="164" max="171" width="11.6640625" style="61" bestFit="1" customWidth="1"/>
    <col min="172" max="172" width="13.33203125" style="61" bestFit="1" customWidth="1"/>
    <col min="173" max="173" width="11.6640625" style="61" bestFit="1" customWidth="1"/>
    <col min="174" max="174" width="12.83203125" style="61" bestFit="1" customWidth="1"/>
    <col min="175" max="175" width="12.6640625" style="61" bestFit="1" customWidth="1"/>
    <col min="176" max="183" width="11.6640625" style="61" bestFit="1" customWidth="1"/>
    <col min="184" max="184" width="13.33203125" style="61" bestFit="1" customWidth="1"/>
    <col min="185" max="185" width="11.6640625" style="61" bestFit="1" customWidth="1"/>
    <col min="186" max="186" width="12.83203125" style="61" bestFit="1" customWidth="1"/>
    <col min="187" max="187" width="12.6640625" style="61" bestFit="1" customWidth="1"/>
    <col min="188" max="195" width="11.6640625" style="61" bestFit="1" customWidth="1"/>
    <col min="196" max="196" width="13.33203125" style="61" bestFit="1" customWidth="1"/>
    <col min="197" max="197" width="11.6640625" style="61" bestFit="1" customWidth="1"/>
    <col min="198" max="198" width="12.83203125" style="61" bestFit="1" customWidth="1"/>
    <col min="199" max="199" width="12.6640625" style="61" bestFit="1" customWidth="1"/>
    <col min="200" max="207" width="11.6640625" style="61" bestFit="1" customWidth="1"/>
    <col min="208" max="208" width="13.33203125" style="61" bestFit="1" customWidth="1"/>
    <col min="209" max="209" width="11.6640625" style="61" bestFit="1" customWidth="1"/>
    <col min="210" max="210" width="12.83203125" style="61" bestFit="1" customWidth="1"/>
    <col min="211" max="211" width="12.6640625" style="61" bestFit="1" customWidth="1"/>
    <col min="212" max="219" width="11.6640625" style="61" bestFit="1" customWidth="1"/>
    <col min="220" max="220" width="13.33203125" style="61" bestFit="1" customWidth="1"/>
    <col min="221" max="221" width="11.6640625" style="61" bestFit="1" customWidth="1"/>
    <col min="222" max="222" width="12.83203125" style="61" bestFit="1" customWidth="1"/>
    <col min="223" max="223" width="12.6640625" style="61" bestFit="1" customWidth="1"/>
    <col min="224" max="231" width="11.6640625" style="61" bestFit="1" customWidth="1"/>
    <col min="232" max="232" width="13.33203125" style="61" bestFit="1" customWidth="1"/>
    <col min="233" max="233" width="11.6640625" style="61" bestFit="1" customWidth="1"/>
    <col min="234" max="234" width="12.83203125" style="61" bestFit="1" customWidth="1"/>
    <col min="235" max="235" width="12.6640625" style="61" bestFit="1" customWidth="1"/>
    <col min="236" max="243" width="11.6640625" style="61" bestFit="1" customWidth="1"/>
    <col min="244" max="244" width="13.33203125" style="61" bestFit="1" customWidth="1"/>
    <col min="245" max="245" width="11.6640625" style="61" bestFit="1" customWidth="1"/>
    <col min="246" max="246" width="12.83203125" style="61" bestFit="1" customWidth="1"/>
    <col min="247" max="247" width="12.6640625" style="61" bestFit="1" customWidth="1"/>
    <col min="248" max="255" width="11.6640625" style="61" bestFit="1" customWidth="1"/>
    <col min="256" max="256" width="13.33203125" style="61" bestFit="1" customWidth="1"/>
    <col min="257" max="257" width="11.6640625" style="61" bestFit="1" customWidth="1"/>
    <col min="258" max="258" width="12.83203125" style="61" bestFit="1" customWidth="1"/>
    <col min="259" max="259" width="12.6640625" style="61" bestFit="1" customWidth="1"/>
    <col min="260" max="267" width="11.6640625" style="61" bestFit="1" customWidth="1"/>
    <col min="268" max="268" width="13.33203125" style="61" bestFit="1" customWidth="1"/>
    <col min="269" max="269" width="11.6640625" style="61" bestFit="1" customWidth="1"/>
    <col min="270" max="270" width="12.83203125" style="61" bestFit="1" customWidth="1"/>
    <col min="271" max="271" width="12.6640625" style="61" bestFit="1" customWidth="1"/>
    <col min="272" max="279" width="11.6640625" style="61" bestFit="1" customWidth="1"/>
    <col min="280" max="280" width="13.33203125" style="61" bestFit="1" customWidth="1"/>
    <col min="281" max="281" width="11.6640625" style="61" bestFit="1" customWidth="1"/>
    <col min="282" max="282" width="12.83203125" style="61" bestFit="1" customWidth="1"/>
    <col min="283" max="283" width="12.6640625" style="61" bestFit="1" customWidth="1"/>
    <col min="284" max="289" width="11.6640625" style="61" bestFit="1" customWidth="1"/>
    <col min="290" max="290" width="7.33203125" style="61" bestFit="1" customWidth="1"/>
    <col min="291" max="291" width="10.1640625" style="61" bestFit="1" customWidth="1"/>
    <col min="292" max="292" width="14" style="61" bestFit="1" customWidth="1"/>
    <col min="293" max="293" width="11.1640625" style="61" bestFit="1" customWidth="1"/>
    <col min="294" max="295" width="13.5" style="61" bestFit="1" customWidth="1"/>
    <col min="296" max="296" width="10.6640625" style="61" bestFit="1" customWidth="1"/>
    <col min="297" max="297" width="11.6640625" style="61" bestFit="1" customWidth="1"/>
    <col min="298" max="298" width="9.33203125" style="61" bestFit="1" customWidth="1"/>
    <col min="299" max="299" width="8.5" style="61" bestFit="1" customWidth="1"/>
    <col min="300" max="300" width="7.6640625" style="61" bestFit="1" customWidth="1"/>
    <col min="301" max="301" width="8" style="61" bestFit="1" customWidth="1"/>
    <col min="302" max="302" width="7.33203125" style="61" bestFit="1" customWidth="1"/>
    <col min="303" max="303" width="10.1640625" style="61" bestFit="1" customWidth="1"/>
    <col min="304" max="304" width="14" style="61" bestFit="1" customWidth="1"/>
    <col min="305" max="305" width="11.1640625" style="61" bestFit="1" customWidth="1"/>
    <col min="306" max="307" width="13.5" style="61" bestFit="1" customWidth="1"/>
    <col min="308" max="308" width="10.6640625" style="61" bestFit="1" customWidth="1"/>
    <col min="309" max="309" width="11.6640625" style="61" bestFit="1" customWidth="1"/>
    <col min="310" max="16384" width="11.5" style="61"/>
  </cols>
  <sheetData>
    <row r="2" spans="2:468" x14ac:dyDescent="0.2">
      <c r="B2" s="64" t="s">
        <v>41</v>
      </c>
      <c r="C2" s="64"/>
      <c r="D2" s="64"/>
      <c r="E2" s="64"/>
      <c r="F2" s="64"/>
      <c r="G2" s="120">
        <v>41274</v>
      </c>
      <c r="H2" s="120">
        <v>41305</v>
      </c>
      <c r="I2" s="120">
        <v>41333</v>
      </c>
      <c r="J2" s="120">
        <v>41364</v>
      </c>
      <c r="K2" s="120">
        <v>41394</v>
      </c>
      <c r="L2" s="120">
        <v>41425</v>
      </c>
      <c r="M2" s="120">
        <v>41455</v>
      </c>
      <c r="N2" s="120">
        <v>41486</v>
      </c>
      <c r="O2" s="120">
        <v>41517</v>
      </c>
      <c r="P2" s="120">
        <v>41547</v>
      </c>
      <c r="Q2" s="120">
        <v>41578</v>
      </c>
      <c r="R2" s="120">
        <v>41608</v>
      </c>
      <c r="S2" s="120">
        <v>41639</v>
      </c>
      <c r="T2" s="120">
        <v>41670</v>
      </c>
      <c r="U2" s="120">
        <v>41698</v>
      </c>
      <c r="V2" s="120">
        <v>41729</v>
      </c>
      <c r="W2" s="120">
        <v>41759</v>
      </c>
      <c r="X2" s="120">
        <v>41790</v>
      </c>
      <c r="Y2" s="120">
        <v>41820</v>
      </c>
      <c r="Z2" s="120">
        <v>41851</v>
      </c>
      <c r="AA2" s="120">
        <v>41882</v>
      </c>
      <c r="AB2" s="120">
        <v>41912</v>
      </c>
      <c r="AC2" s="120">
        <v>41943</v>
      </c>
      <c r="AD2" s="120">
        <v>41973</v>
      </c>
      <c r="AE2" s="120">
        <v>42004</v>
      </c>
      <c r="AF2" s="120">
        <v>42035</v>
      </c>
      <c r="AG2" s="120">
        <v>42063</v>
      </c>
      <c r="AH2" s="120">
        <v>42094</v>
      </c>
      <c r="AI2" s="120">
        <v>42124</v>
      </c>
      <c r="AJ2" s="120">
        <v>42155</v>
      </c>
      <c r="AK2" s="120">
        <v>42185</v>
      </c>
      <c r="AL2" s="120">
        <v>42216</v>
      </c>
      <c r="AM2" s="120">
        <v>42247</v>
      </c>
      <c r="AN2" s="120">
        <v>42277</v>
      </c>
      <c r="AO2" s="120">
        <v>42308</v>
      </c>
      <c r="AP2" s="120">
        <v>42338</v>
      </c>
      <c r="AQ2" s="120">
        <v>42369</v>
      </c>
      <c r="AR2" s="120">
        <v>42400</v>
      </c>
      <c r="AS2" s="120">
        <v>42429</v>
      </c>
      <c r="AT2" s="120">
        <v>42460</v>
      </c>
      <c r="AU2" s="120">
        <v>42490</v>
      </c>
      <c r="AV2" s="120">
        <v>42521</v>
      </c>
      <c r="AW2" s="120">
        <v>42551</v>
      </c>
      <c r="AX2" s="120">
        <v>42582</v>
      </c>
      <c r="AY2" s="120">
        <v>42613</v>
      </c>
      <c r="AZ2" s="120">
        <v>42643</v>
      </c>
      <c r="BA2" s="120">
        <v>42674</v>
      </c>
      <c r="BB2" s="120">
        <v>42704</v>
      </c>
      <c r="BC2" s="120">
        <v>42735</v>
      </c>
      <c r="BD2" s="120">
        <v>42766</v>
      </c>
      <c r="BE2" s="120">
        <v>42794</v>
      </c>
      <c r="BF2" s="120">
        <v>42825</v>
      </c>
      <c r="BG2" s="120">
        <v>42855</v>
      </c>
      <c r="BH2" s="120">
        <v>42886</v>
      </c>
      <c r="BI2" s="120">
        <v>42916</v>
      </c>
      <c r="BJ2" s="120">
        <v>42947</v>
      </c>
      <c r="BK2" s="120">
        <v>42978</v>
      </c>
      <c r="BL2" s="120">
        <v>43008</v>
      </c>
      <c r="BM2" s="120">
        <v>43039</v>
      </c>
      <c r="BN2" s="120">
        <v>43069</v>
      </c>
      <c r="BO2" s="120">
        <v>43100</v>
      </c>
      <c r="BP2" s="120">
        <v>43131</v>
      </c>
      <c r="BQ2" s="120">
        <v>43159</v>
      </c>
      <c r="BR2" s="120">
        <v>43190</v>
      </c>
      <c r="BS2" s="120">
        <v>43220</v>
      </c>
      <c r="BT2" s="120">
        <v>43251</v>
      </c>
      <c r="BU2" s="120">
        <v>43281</v>
      </c>
      <c r="BV2" s="120">
        <v>43312</v>
      </c>
      <c r="BW2" s="120">
        <v>43343</v>
      </c>
      <c r="BX2" s="120">
        <v>43373</v>
      </c>
      <c r="BY2" s="120">
        <v>43404</v>
      </c>
      <c r="BZ2" s="120">
        <v>43434</v>
      </c>
      <c r="CA2" s="120">
        <v>43465</v>
      </c>
      <c r="CB2" s="120">
        <v>43496</v>
      </c>
      <c r="CC2" s="120">
        <v>43524</v>
      </c>
      <c r="CD2" s="120">
        <v>43555</v>
      </c>
      <c r="CE2" s="120">
        <v>43585</v>
      </c>
      <c r="CF2" s="120">
        <v>43616</v>
      </c>
      <c r="CG2" s="120">
        <v>43646</v>
      </c>
      <c r="CH2" s="120">
        <v>43677</v>
      </c>
      <c r="CI2" s="120">
        <v>43708</v>
      </c>
      <c r="CJ2" s="120">
        <v>43738</v>
      </c>
      <c r="CK2" s="120">
        <v>43769</v>
      </c>
      <c r="CL2" s="120">
        <v>43799</v>
      </c>
      <c r="CM2" s="120">
        <v>43830</v>
      </c>
      <c r="CN2" s="120">
        <v>43861</v>
      </c>
      <c r="CO2" s="120">
        <v>43890</v>
      </c>
      <c r="CP2" s="120">
        <v>43921</v>
      </c>
      <c r="CQ2" s="120">
        <v>43951</v>
      </c>
      <c r="CR2" s="120">
        <v>43982</v>
      </c>
      <c r="CS2" s="120">
        <v>44012</v>
      </c>
      <c r="CT2" s="120">
        <v>44043</v>
      </c>
      <c r="CU2" s="120">
        <v>44074</v>
      </c>
      <c r="CV2" s="120">
        <v>44104</v>
      </c>
      <c r="CW2" s="120">
        <v>44135</v>
      </c>
      <c r="CX2" s="120">
        <v>44165</v>
      </c>
      <c r="CY2" s="120">
        <v>44196</v>
      </c>
      <c r="CZ2" s="120">
        <v>44227</v>
      </c>
      <c r="DA2" s="120">
        <v>44255</v>
      </c>
      <c r="DB2" s="120">
        <v>44286</v>
      </c>
      <c r="DC2" s="120">
        <v>44316</v>
      </c>
      <c r="DD2" s="120">
        <v>44347</v>
      </c>
      <c r="DE2" s="120">
        <v>44377</v>
      </c>
      <c r="DF2" s="120">
        <v>44408</v>
      </c>
      <c r="DG2" s="120">
        <v>44439</v>
      </c>
      <c r="DH2" s="120">
        <v>44469</v>
      </c>
      <c r="DI2" s="120">
        <v>44500</v>
      </c>
      <c r="DJ2" s="120">
        <v>44530</v>
      </c>
      <c r="DK2" s="120">
        <v>44561</v>
      </c>
      <c r="DL2" s="120">
        <v>44592</v>
      </c>
      <c r="DM2" s="120">
        <v>44620</v>
      </c>
      <c r="DN2" s="120">
        <v>44651</v>
      </c>
      <c r="DO2" s="120">
        <v>44681</v>
      </c>
      <c r="DP2" s="120">
        <v>44712</v>
      </c>
      <c r="DQ2" s="120">
        <v>44742</v>
      </c>
      <c r="DR2" s="120">
        <v>44773</v>
      </c>
      <c r="DS2" s="120">
        <v>44804</v>
      </c>
      <c r="DT2" s="120">
        <v>44834</v>
      </c>
      <c r="DU2" s="120">
        <v>44865</v>
      </c>
      <c r="DV2" s="120">
        <v>44895</v>
      </c>
      <c r="DW2" s="120">
        <v>44926</v>
      </c>
      <c r="DX2" s="120">
        <v>44957</v>
      </c>
      <c r="DY2" s="120">
        <v>44985</v>
      </c>
      <c r="DZ2" s="120">
        <v>45016</v>
      </c>
      <c r="EA2" s="120">
        <v>45046</v>
      </c>
      <c r="EB2" s="120">
        <v>45077</v>
      </c>
      <c r="EC2" s="120">
        <v>45107</v>
      </c>
      <c r="ED2" s="120">
        <v>45138</v>
      </c>
      <c r="EE2" s="120">
        <v>45169</v>
      </c>
      <c r="EF2" s="120">
        <v>45199</v>
      </c>
      <c r="EG2" s="120">
        <v>45230</v>
      </c>
      <c r="EH2" s="120">
        <v>45260</v>
      </c>
      <c r="EI2" s="120">
        <v>45291</v>
      </c>
      <c r="EJ2" s="120">
        <v>45322</v>
      </c>
      <c r="EK2" s="120">
        <v>45351</v>
      </c>
      <c r="EL2" s="120">
        <v>45382</v>
      </c>
      <c r="EM2" s="120">
        <v>45412</v>
      </c>
      <c r="EN2" s="120">
        <v>45443</v>
      </c>
      <c r="EO2" s="120">
        <v>45473</v>
      </c>
      <c r="EP2" s="120">
        <v>45504</v>
      </c>
      <c r="EQ2" s="120">
        <v>45535</v>
      </c>
      <c r="ER2" s="120">
        <v>45565</v>
      </c>
      <c r="ES2" s="120">
        <v>45596</v>
      </c>
      <c r="ET2" s="120">
        <v>45626</v>
      </c>
      <c r="EU2" s="120">
        <v>45657</v>
      </c>
      <c r="EV2" s="120">
        <v>45688</v>
      </c>
      <c r="EW2" s="120">
        <v>45716</v>
      </c>
      <c r="EX2" s="120">
        <v>45747</v>
      </c>
      <c r="EY2" s="120">
        <v>45777</v>
      </c>
      <c r="EZ2" s="120">
        <v>45808</v>
      </c>
      <c r="FA2" s="120">
        <v>45838</v>
      </c>
      <c r="FB2" s="120">
        <v>45869</v>
      </c>
      <c r="FC2" s="120">
        <v>45900</v>
      </c>
      <c r="FD2" s="120">
        <v>45930</v>
      </c>
      <c r="FE2" s="120">
        <v>45961</v>
      </c>
      <c r="FF2" s="120">
        <v>45991</v>
      </c>
      <c r="FG2" s="120">
        <v>46022</v>
      </c>
      <c r="FH2" s="120">
        <v>46053</v>
      </c>
      <c r="FI2" s="120">
        <v>46081</v>
      </c>
      <c r="FJ2" s="120">
        <v>46112</v>
      </c>
      <c r="FK2" s="120">
        <v>46142</v>
      </c>
      <c r="FL2" s="120">
        <v>46173</v>
      </c>
      <c r="FM2" s="120">
        <v>46203</v>
      </c>
      <c r="FN2" s="120">
        <v>46234</v>
      </c>
      <c r="FO2" s="120">
        <v>46265</v>
      </c>
      <c r="FP2" s="120">
        <v>46295</v>
      </c>
      <c r="FQ2" s="120">
        <v>46326</v>
      </c>
      <c r="FR2" s="120">
        <v>46356</v>
      </c>
      <c r="FS2" s="120">
        <v>46387</v>
      </c>
      <c r="FT2" s="120">
        <v>46418</v>
      </c>
      <c r="FU2" s="120">
        <v>46446</v>
      </c>
      <c r="FV2" s="120">
        <v>46477</v>
      </c>
      <c r="FW2" s="120">
        <v>46507</v>
      </c>
      <c r="FX2" s="120">
        <v>46538</v>
      </c>
      <c r="FY2" s="120">
        <v>46568</v>
      </c>
      <c r="FZ2" s="120">
        <v>46599</v>
      </c>
      <c r="GA2" s="120">
        <v>46630</v>
      </c>
      <c r="GB2" s="120">
        <v>46660</v>
      </c>
      <c r="GC2" s="120">
        <v>46691</v>
      </c>
      <c r="GD2" s="120">
        <v>46721</v>
      </c>
      <c r="GE2" s="120">
        <v>46752</v>
      </c>
      <c r="GF2" s="120">
        <v>46783</v>
      </c>
      <c r="GG2" s="120">
        <v>46812</v>
      </c>
      <c r="GH2" s="120">
        <v>46843</v>
      </c>
      <c r="GI2" s="120">
        <v>46873</v>
      </c>
      <c r="GJ2" s="120">
        <v>46904</v>
      </c>
      <c r="GK2" s="120">
        <v>46934</v>
      </c>
      <c r="GL2" s="120">
        <v>46965</v>
      </c>
      <c r="GM2" s="120">
        <v>46996</v>
      </c>
      <c r="GN2" s="120">
        <v>47026</v>
      </c>
      <c r="GO2" s="120">
        <v>47057</v>
      </c>
      <c r="GP2" s="120">
        <v>47087</v>
      </c>
      <c r="GQ2" s="120">
        <v>47118</v>
      </c>
      <c r="GR2" s="120">
        <v>47149</v>
      </c>
      <c r="GS2" s="120">
        <v>47177</v>
      </c>
      <c r="GT2" s="120">
        <v>47208</v>
      </c>
      <c r="GU2" s="120">
        <v>47238</v>
      </c>
      <c r="GV2" s="120">
        <v>47269</v>
      </c>
      <c r="GW2" s="120">
        <v>47299</v>
      </c>
      <c r="GX2" s="120">
        <v>47330</v>
      </c>
      <c r="GY2" s="120">
        <v>47361</v>
      </c>
      <c r="GZ2" s="120">
        <v>47391</v>
      </c>
      <c r="HA2" s="120">
        <v>47422</v>
      </c>
      <c r="HB2" s="120">
        <v>47452</v>
      </c>
      <c r="HC2" s="120">
        <v>47483</v>
      </c>
      <c r="HD2" s="120">
        <v>47514</v>
      </c>
      <c r="HE2" s="120">
        <v>47542</v>
      </c>
      <c r="HF2" s="120">
        <v>47573</v>
      </c>
      <c r="HG2" s="120">
        <v>47603</v>
      </c>
      <c r="HH2" s="120">
        <v>47634</v>
      </c>
      <c r="HI2" s="120">
        <v>47664</v>
      </c>
      <c r="HJ2" s="120">
        <v>47695</v>
      </c>
      <c r="HK2" s="120">
        <v>47726</v>
      </c>
      <c r="HL2" s="120">
        <v>47756</v>
      </c>
      <c r="HM2" s="120">
        <v>47787</v>
      </c>
      <c r="HN2" s="120">
        <v>47817</v>
      </c>
      <c r="HO2" s="120">
        <v>47848</v>
      </c>
      <c r="HP2" s="120">
        <v>47879</v>
      </c>
      <c r="HQ2" s="120">
        <v>47907</v>
      </c>
      <c r="HR2" s="120">
        <v>47938</v>
      </c>
      <c r="HS2" s="120">
        <v>47968</v>
      </c>
      <c r="HT2" s="120">
        <v>47999</v>
      </c>
      <c r="HU2" s="120">
        <v>48029</v>
      </c>
      <c r="HV2" s="120">
        <v>48060</v>
      </c>
      <c r="HW2" s="120">
        <v>48091</v>
      </c>
      <c r="HX2" s="120">
        <v>48121</v>
      </c>
      <c r="HY2" s="120">
        <v>48152</v>
      </c>
      <c r="HZ2" s="120">
        <v>48182</v>
      </c>
      <c r="IA2" s="120">
        <v>48213</v>
      </c>
      <c r="IB2" s="120">
        <v>48244</v>
      </c>
      <c r="IC2" s="120">
        <v>48273</v>
      </c>
      <c r="ID2" s="120">
        <v>48304</v>
      </c>
      <c r="IE2" s="120">
        <v>48334</v>
      </c>
      <c r="IF2" s="120">
        <v>48365</v>
      </c>
      <c r="IG2" s="120">
        <v>48395</v>
      </c>
      <c r="IH2" s="120">
        <v>48426</v>
      </c>
      <c r="II2" s="120">
        <v>48457</v>
      </c>
      <c r="IJ2" s="120">
        <v>48487</v>
      </c>
      <c r="IK2" s="120">
        <v>48518</v>
      </c>
      <c r="IL2" s="120">
        <v>48548</v>
      </c>
      <c r="IM2" s="120">
        <v>48579</v>
      </c>
      <c r="IN2" s="120">
        <v>48610</v>
      </c>
      <c r="IO2" s="120">
        <v>48638</v>
      </c>
      <c r="IP2" s="120">
        <v>48669</v>
      </c>
      <c r="IQ2" s="120">
        <v>48699</v>
      </c>
      <c r="IR2" s="120">
        <v>48730</v>
      </c>
      <c r="IS2" s="120">
        <v>48760</v>
      </c>
      <c r="IT2" s="120">
        <v>48791</v>
      </c>
      <c r="IU2" s="120">
        <v>48822</v>
      </c>
      <c r="IV2" s="120">
        <v>48852</v>
      </c>
      <c r="IW2" s="120">
        <v>48883</v>
      </c>
      <c r="IX2" s="120">
        <v>48913</v>
      </c>
      <c r="IY2" s="120">
        <v>48944</v>
      </c>
      <c r="IZ2" s="120">
        <v>48975</v>
      </c>
      <c r="JA2" s="120">
        <v>49003</v>
      </c>
      <c r="JB2" s="120">
        <v>49034</v>
      </c>
      <c r="JC2" s="120">
        <v>49064</v>
      </c>
      <c r="JD2" s="120">
        <v>49095</v>
      </c>
      <c r="JE2" s="120">
        <v>49125</v>
      </c>
      <c r="JF2" s="120">
        <v>49156</v>
      </c>
      <c r="JG2" s="120">
        <v>49187</v>
      </c>
      <c r="JH2" s="120">
        <v>49217</v>
      </c>
      <c r="JI2" s="120">
        <v>49248</v>
      </c>
      <c r="JJ2" s="120">
        <v>49278</v>
      </c>
      <c r="JK2" s="120">
        <v>49309</v>
      </c>
      <c r="JL2" s="120">
        <v>49340</v>
      </c>
      <c r="JM2" s="120">
        <v>49368</v>
      </c>
      <c r="JN2" s="120">
        <v>49399</v>
      </c>
      <c r="JO2" s="120">
        <v>49429</v>
      </c>
      <c r="JP2" s="120">
        <v>49460</v>
      </c>
      <c r="JQ2" s="120">
        <v>49490</v>
      </c>
      <c r="JR2" s="120">
        <v>49521</v>
      </c>
      <c r="JS2" s="120">
        <v>49552</v>
      </c>
      <c r="JT2" s="120">
        <v>49582</v>
      </c>
      <c r="JU2" s="120">
        <v>49613</v>
      </c>
      <c r="JV2" s="120">
        <v>49643</v>
      </c>
      <c r="JW2" s="120">
        <v>49674</v>
      </c>
      <c r="JX2" s="120">
        <v>49705</v>
      </c>
      <c r="JY2" s="120">
        <v>49734</v>
      </c>
      <c r="JZ2" s="120">
        <v>49765</v>
      </c>
      <c r="KA2" s="120">
        <v>49795</v>
      </c>
      <c r="KB2" s="120">
        <v>49826</v>
      </c>
      <c r="KC2" s="120">
        <v>49856</v>
      </c>
      <c r="KD2" s="120">
        <v>49887</v>
      </c>
      <c r="KE2" s="120">
        <v>49918</v>
      </c>
      <c r="KF2" s="120">
        <v>49948</v>
      </c>
      <c r="KG2" s="120">
        <v>49979</v>
      </c>
      <c r="KH2" s="120">
        <v>50009</v>
      </c>
      <c r="KI2" s="120">
        <v>50040</v>
      </c>
      <c r="KJ2" s="120">
        <v>50071</v>
      </c>
      <c r="KK2" s="120">
        <v>50099</v>
      </c>
      <c r="KL2" s="120">
        <v>50130</v>
      </c>
      <c r="KM2" s="120">
        <v>50160</v>
      </c>
      <c r="KN2" s="120">
        <v>50191</v>
      </c>
      <c r="KO2" s="120">
        <v>50221</v>
      </c>
      <c r="KP2" s="120">
        <v>50252</v>
      </c>
      <c r="KQ2" s="120">
        <v>50283</v>
      </c>
      <c r="KR2" s="120">
        <v>50313</v>
      </c>
      <c r="KS2" s="120">
        <v>50344</v>
      </c>
      <c r="KT2" s="120">
        <v>50374</v>
      </c>
      <c r="KU2" s="120">
        <v>50405</v>
      </c>
      <c r="KV2" s="120">
        <v>50436</v>
      </c>
      <c r="KW2" s="120">
        <v>50464</v>
      </c>
    </row>
    <row r="4" spans="2:468" x14ac:dyDescent="0.2">
      <c r="B4" s="76" t="s">
        <v>42</v>
      </c>
      <c r="C4" s="76"/>
      <c r="D4" s="76"/>
      <c r="E4" s="76"/>
      <c r="F4" s="121"/>
      <c r="G4" s="122"/>
      <c r="H4" s="123"/>
      <c r="I4" s="124"/>
      <c r="J4" s="124"/>
      <c r="K4" s="124"/>
      <c r="L4" s="125"/>
      <c r="M4" s="125"/>
      <c r="N4" s="125"/>
      <c r="O4" s="125"/>
      <c r="P4" s="125"/>
      <c r="Q4" s="125"/>
      <c r="R4" s="125"/>
      <c r="S4" s="125"/>
      <c r="T4" s="125"/>
      <c r="U4" s="125"/>
      <c r="V4" s="125"/>
      <c r="W4" s="125"/>
      <c r="X4" s="125"/>
      <c r="Y4" s="125"/>
      <c r="Z4" s="125"/>
      <c r="AA4" s="125"/>
      <c r="AB4" s="125"/>
      <c r="AC4" s="125"/>
      <c r="AD4" s="125"/>
      <c r="AE4" s="125"/>
      <c r="AF4" s="125"/>
      <c r="AG4" s="125"/>
      <c r="AH4" s="125"/>
      <c r="AI4" s="125"/>
      <c r="AJ4" s="125"/>
      <c r="AK4" s="125"/>
      <c r="AL4" s="125"/>
      <c r="AM4" s="125"/>
      <c r="AN4" s="125"/>
      <c r="AO4" s="125"/>
      <c r="AP4" s="125"/>
      <c r="AQ4" s="125"/>
      <c r="AR4" s="125"/>
      <c r="AS4" s="125"/>
      <c r="AT4" s="125"/>
      <c r="AU4" s="125"/>
      <c r="AV4" s="125"/>
      <c r="AW4" s="125"/>
      <c r="AX4" s="125"/>
      <c r="AY4" s="125"/>
      <c r="AZ4" s="125"/>
      <c r="BA4" s="125"/>
      <c r="BB4" s="125"/>
      <c r="BC4" s="125"/>
      <c r="BD4" s="125"/>
      <c r="BE4" s="125"/>
      <c r="BF4" s="125"/>
      <c r="BG4" s="125"/>
      <c r="BH4" s="125"/>
      <c r="BI4" s="125"/>
      <c r="BJ4" s="125"/>
      <c r="BK4" s="125"/>
      <c r="BL4" s="125"/>
      <c r="BM4" s="125"/>
      <c r="BN4" s="125"/>
      <c r="BO4" s="125"/>
      <c r="BP4" s="125"/>
      <c r="BQ4" s="125"/>
      <c r="BR4" s="125"/>
      <c r="BS4" s="125"/>
      <c r="BT4" s="125"/>
      <c r="BU4" s="125"/>
      <c r="BV4" s="125"/>
      <c r="BW4" s="125"/>
      <c r="BX4" s="125"/>
      <c r="BY4" s="125"/>
      <c r="BZ4" s="125"/>
      <c r="CA4" s="125"/>
      <c r="CB4" s="125"/>
      <c r="CC4" s="125"/>
      <c r="CD4" s="125"/>
      <c r="CE4" s="125"/>
      <c r="CF4" s="125"/>
      <c r="CG4" s="125"/>
      <c r="CH4" s="125"/>
      <c r="CI4" s="125"/>
      <c r="CJ4" s="125"/>
      <c r="CK4" s="125"/>
      <c r="CL4" s="125"/>
      <c r="CM4" s="125"/>
      <c r="CN4" s="125"/>
      <c r="CO4" s="125"/>
      <c r="CP4" s="125"/>
      <c r="CQ4" s="125"/>
      <c r="CR4" s="125"/>
      <c r="CS4" s="125"/>
      <c r="CT4" s="125"/>
      <c r="CU4" s="125"/>
      <c r="CV4" s="125"/>
      <c r="CW4" s="125"/>
      <c r="CX4" s="125"/>
      <c r="CY4" s="125"/>
      <c r="CZ4" s="125"/>
      <c r="DA4" s="125"/>
      <c r="DB4" s="125"/>
      <c r="DC4" s="125"/>
      <c r="DD4" s="125"/>
      <c r="DE4" s="125"/>
      <c r="DF4" s="125"/>
      <c r="DG4" s="125"/>
      <c r="DH4" s="125"/>
      <c r="DI4" s="125"/>
      <c r="DJ4" s="125"/>
      <c r="DK4" s="125"/>
      <c r="DL4" s="125"/>
      <c r="DM4" s="125"/>
      <c r="DN4" s="125"/>
      <c r="DO4" s="125"/>
      <c r="DP4" s="125"/>
      <c r="DQ4" s="125"/>
      <c r="DR4" s="125"/>
      <c r="DS4" s="125"/>
      <c r="DT4" s="125"/>
      <c r="DU4" s="125"/>
      <c r="DV4" s="125"/>
      <c r="DW4" s="125"/>
      <c r="DX4" s="125"/>
      <c r="DY4" s="125"/>
      <c r="DZ4" s="125"/>
      <c r="EA4" s="125"/>
      <c r="EB4" s="125"/>
      <c r="EC4" s="125"/>
      <c r="ED4" s="125"/>
      <c r="EE4" s="125"/>
      <c r="EF4" s="125"/>
      <c r="EG4" s="125"/>
      <c r="EH4" s="125"/>
      <c r="EI4" s="125"/>
      <c r="EJ4" s="125"/>
      <c r="EK4" s="125"/>
      <c r="EL4" s="125"/>
      <c r="EM4" s="125"/>
      <c r="EN4" s="125"/>
      <c r="EO4" s="125"/>
      <c r="EP4" s="125"/>
      <c r="EQ4" s="125"/>
      <c r="ER4" s="125"/>
      <c r="ES4" s="125"/>
      <c r="ET4" s="125"/>
      <c r="EU4" s="125"/>
      <c r="EV4" s="125"/>
      <c r="EW4" s="125"/>
      <c r="EX4" s="125"/>
      <c r="EY4" s="125"/>
      <c r="EZ4" s="125"/>
      <c r="FA4" s="125"/>
      <c r="FB4" s="125"/>
      <c r="FC4" s="125"/>
      <c r="FD4" s="125"/>
      <c r="FE4" s="125"/>
      <c r="FF4" s="125"/>
      <c r="FG4" s="125"/>
      <c r="FH4" s="125"/>
      <c r="FI4" s="125"/>
      <c r="FJ4" s="125"/>
      <c r="FK4" s="125"/>
      <c r="FL4" s="125"/>
      <c r="FM4" s="125"/>
      <c r="FN4" s="125"/>
      <c r="FO4" s="125"/>
      <c r="FP4" s="125"/>
      <c r="FQ4" s="125"/>
      <c r="FR4" s="125"/>
      <c r="FS4" s="125"/>
      <c r="FT4" s="125"/>
      <c r="FU4" s="125"/>
      <c r="FV4" s="125"/>
      <c r="FW4" s="125"/>
      <c r="FX4" s="125"/>
      <c r="FY4" s="125"/>
      <c r="FZ4" s="125"/>
      <c r="GA4" s="125"/>
      <c r="GB4" s="125"/>
      <c r="GC4" s="125"/>
      <c r="GD4" s="125"/>
      <c r="GE4" s="125"/>
      <c r="GF4" s="125"/>
      <c r="GG4" s="125"/>
      <c r="GH4" s="125"/>
      <c r="GI4" s="125"/>
      <c r="GJ4" s="125"/>
      <c r="GK4" s="125"/>
      <c r="GL4" s="125"/>
      <c r="GM4" s="125"/>
      <c r="GN4" s="125"/>
      <c r="GO4" s="125"/>
      <c r="GP4" s="125"/>
      <c r="GQ4" s="125"/>
      <c r="GR4" s="125"/>
      <c r="GS4" s="125"/>
      <c r="GT4" s="125"/>
      <c r="GU4" s="125"/>
      <c r="GV4" s="125"/>
      <c r="GW4" s="125"/>
      <c r="GX4" s="125"/>
      <c r="GY4" s="125"/>
      <c r="GZ4" s="125"/>
      <c r="HA4" s="125"/>
      <c r="HB4" s="125"/>
      <c r="HC4" s="125"/>
      <c r="HD4" s="125"/>
      <c r="HE4" s="125"/>
      <c r="HF4" s="125"/>
      <c r="HG4" s="125"/>
      <c r="HH4" s="125"/>
      <c r="HI4" s="125"/>
      <c r="HJ4" s="125"/>
      <c r="HK4" s="125"/>
      <c r="HL4" s="125"/>
      <c r="HM4" s="125"/>
      <c r="HN4" s="125"/>
      <c r="HO4" s="125"/>
      <c r="HP4" s="125"/>
      <c r="HQ4" s="125"/>
      <c r="HR4" s="125"/>
      <c r="HS4" s="125"/>
      <c r="HT4" s="125"/>
      <c r="HU4" s="125"/>
      <c r="HV4" s="125"/>
      <c r="HW4" s="125"/>
      <c r="HX4" s="125"/>
      <c r="HY4" s="125"/>
      <c r="HZ4" s="125"/>
      <c r="IA4" s="125"/>
      <c r="IB4" s="125"/>
      <c r="IC4" s="125"/>
      <c r="ID4" s="125"/>
      <c r="IE4" s="125"/>
      <c r="IF4" s="125"/>
      <c r="IG4" s="125"/>
      <c r="IH4" s="125"/>
      <c r="II4" s="125"/>
      <c r="IJ4" s="125"/>
      <c r="IK4" s="125"/>
      <c r="IL4" s="125"/>
      <c r="IM4" s="125"/>
      <c r="IN4" s="125"/>
      <c r="IO4" s="125"/>
      <c r="IP4" s="125"/>
      <c r="IQ4" s="125"/>
      <c r="IR4" s="125"/>
      <c r="IS4" s="125"/>
      <c r="IT4" s="125"/>
      <c r="IU4" s="125"/>
      <c r="IV4" s="125"/>
      <c r="IW4" s="125"/>
      <c r="IX4" s="125"/>
      <c r="IY4" s="125"/>
      <c r="IZ4" s="125"/>
      <c r="JA4" s="125"/>
      <c r="JB4" s="125"/>
      <c r="JC4" s="125"/>
      <c r="JD4" s="125"/>
      <c r="JE4" s="125"/>
      <c r="JF4" s="125"/>
      <c r="JG4" s="125"/>
      <c r="JH4" s="125"/>
      <c r="JI4" s="125"/>
      <c r="JJ4" s="125"/>
      <c r="JK4" s="125"/>
      <c r="JL4" s="125"/>
      <c r="JM4" s="125"/>
      <c r="JN4" s="125"/>
      <c r="JO4" s="125"/>
      <c r="JP4" s="125"/>
      <c r="JQ4" s="125"/>
      <c r="JR4" s="125"/>
      <c r="JS4" s="125"/>
      <c r="JT4" s="125"/>
      <c r="JU4" s="125"/>
      <c r="JV4" s="125"/>
      <c r="JW4" s="125"/>
      <c r="JX4" s="125"/>
      <c r="JY4" s="125"/>
      <c r="JZ4" s="125"/>
      <c r="KA4" s="125"/>
      <c r="KB4" s="125"/>
      <c r="KC4" s="125"/>
      <c r="KD4" s="125"/>
      <c r="KE4" s="125"/>
      <c r="KF4" s="125"/>
      <c r="KG4" s="125"/>
      <c r="KH4" s="125"/>
      <c r="KI4" s="125"/>
      <c r="KJ4" s="125"/>
      <c r="KK4" s="125"/>
      <c r="KL4" s="125"/>
      <c r="KM4" s="125"/>
      <c r="KN4" s="125"/>
      <c r="KO4" s="125"/>
      <c r="KP4" s="125"/>
      <c r="KQ4" s="125"/>
      <c r="KR4" s="125"/>
      <c r="KS4" s="125"/>
      <c r="KT4" s="125"/>
      <c r="KU4" s="125"/>
      <c r="KV4" s="125"/>
      <c r="KW4" s="125"/>
      <c r="KX4" s="125"/>
      <c r="KY4" s="125"/>
      <c r="KZ4" s="125"/>
      <c r="LA4" s="125"/>
      <c r="LB4" s="125"/>
      <c r="LC4" s="125"/>
      <c r="LD4" s="125"/>
      <c r="LE4" s="125"/>
      <c r="LF4" s="125"/>
      <c r="LG4" s="125"/>
      <c r="LH4" s="125"/>
      <c r="LI4" s="125"/>
      <c r="LJ4" s="125"/>
      <c r="LK4" s="125"/>
      <c r="LL4" s="125"/>
      <c r="LM4" s="125"/>
      <c r="LN4" s="125"/>
      <c r="LO4" s="125"/>
      <c r="LP4" s="125"/>
      <c r="LQ4" s="125"/>
      <c r="LR4" s="125"/>
      <c r="LS4" s="125"/>
      <c r="LT4" s="125"/>
      <c r="LU4" s="125"/>
      <c r="LV4" s="125"/>
      <c r="LW4" s="125"/>
      <c r="LX4" s="125"/>
      <c r="LY4" s="125"/>
      <c r="LZ4" s="125"/>
      <c r="MA4" s="125"/>
      <c r="MB4" s="125"/>
      <c r="MC4" s="125"/>
      <c r="MD4" s="125"/>
      <c r="ME4" s="125"/>
      <c r="MF4" s="125"/>
      <c r="MG4" s="125"/>
      <c r="MH4" s="125"/>
      <c r="MI4" s="125"/>
      <c r="MJ4" s="125"/>
      <c r="MK4" s="125"/>
      <c r="ML4" s="125"/>
      <c r="MM4" s="125"/>
      <c r="MN4" s="125"/>
      <c r="MO4" s="125"/>
      <c r="MP4" s="125"/>
      <c r="MQ4" s="125"/>
      <c r="MR4" s="125"/>
      <c r="MS4" s="125"/>
      <c r="MT4" s="125"/>
      <c r="MU4" s="125"/>
      <c r="MV4" s="125"/>
      <c r="MW4" s="125"/>
      <c r="MX4" s="125"/>
      <c r="MY4" s="125"/>
      <c r="MZ4" s="125"/>
      <c r="NA4" s="125"/>
      <c r="NB4" s="125"/>
      <c r="NC4" s="125"/>
      <c r="ND4" s="125"/>
      <c r="NE4" s="125"/>
      <c r="NF4" s="125"/>
      <c r="NG4" s="125"/>
      <c r="NH4" s="125"/>
      <c r="NI4" s="125"/>
      <c r="NJ4" s="125"/>
      <c r="NK4" s="125"/>
      <c r="NL4" s="125"/>
      <c r="NM4" s="125"/>
      <c r="NN4" s="125"/>
      <c r="NO4" s="125"/>
      <c r="NP4" s="125"/>
      <c r="NQ4" s="125"/>
      <c r="NR4" s="125"/>
      <c r="NS4" s="125"/>
      <c r="NT4" s="125"/>
      <c r="NU4" s="125"/>
      <c r="NV4" s="125"/>
      <c r="NW4" s="125"/>
      <c r="NX4" s="125"/>
      <c r="NY4" s="125"/>
      <c r="NZ4" s="125"/>
      <c r="OA4" s="125"/>
      <c r="OB4" s="125"/>
      <c r="OC4" s="125"/>
      <c r="OD4" s="125"/>
      <c r="OE4" s="125"/>
      <c r="OF4" s="125"/>
      <c r="OG4" s="125"/>
      <c r="OH4" s="125"/>
      <c r="OI4" s="125"/>
      <c r="OJ4" s="125"/>
      <c r="OK4" s="125"/>
      <c r="OL4" s="125"/>
      <c r="OM4" s="125"/>
      <c r="ON4" s="125"/>
      <c r="OO4" s="125"/>
      <c r="OP4" s="125"/>
      <c r="OQ4" s="125"/>
      <c r="OR4" s="125"/>
      <c r="OS4" s="125"/>
      <c r="OT4" s="125"/>
      <c r="OU4" s="125"/>
      <c r="OV4" s="125"/>
      <c r="OW4" s="125"/>
      <c r="OX4" s="125"/>
      <c r="OY4" s="125"/>
      <c r="OZ4" s="125"/>
      <c r="PA4" s="125"/>
      <c r="PB4" s="125"/>
      <c r="PC4" s="125"/>
      <c r="PD4" s="125"/>
      <c r="PE4" s="125"/>
      <c r="PF4" s="125"/>
      <c r="PG4" s="125"/>
      <c r="PH4" s="125"/>
      <c r="PI4" s="125"/>
      <c r="PJ4" s="125"/>
      <c r="PK4" s="125"/>
      <c r="PL4" s="125"/>
      <c r="PM4" s="125"/>
      <c r="PN4" s="125"/>
      <c r="PO4" s="125"/>
      <c r="PP4" s="125"/>
      <c r="PQ4" s="125"/>
      <c r="PR4" s="125"/>
      <c r="PS4" s="125"/>
      <c r="PT4" s="125"/>
      <c r="PU4" s="125"/>
      <c r="PV4" s="125"/>
      <c r="PW4" s="125"/>
      <c r="PX4" s="125"/>
      <c r="PY4" s="125"/>
      <c r="PZ4" s="125"/>
      <c r="QA4" s="125"/>
      <c r="QB4" s="125"/>
      <c r="QC4" s="125"/>
      <c r="QD4" s="125"/>
      <c r="QE4" s="125"/>
      <c r="QF4" s="125"/>
      <c r="QG4" s="125"/>
      <c r="QH4" s="125"/>
      <c r="QI4" s="125"/>
      <c r="QJ4" s="125"/>
      <c r="QK4" s="125"/>
      <c r="QL4" s="125"/>
      <c r="QM4" s="125"/>
      <c r="QN4" s="125"/>
      <c r="QO4" s="125"/>
      <c r="QP4" s="125"/>
      <c r="QQ4" s="125"/>
      <c r="QR4" s="125"/>
      <c r="QS4" s="125"/>
      <c r="QT4" s="125"/>
      <c r="QU4" s="125"/>
      <c r="QV4" s="125"/>
      <c r="QW4" s="125"/>
      <c r="QX4" s="125"/>
      <c r="QY4" s="125"/>
      <c r="QZ4" s="125"/>
    </row>
    <row r="5" spans="2:468" x14ac:dyDescent="0.2">
      <c r="B5" s="76"/>
      <c r="C5" s="76"/>
      <c r="D5" s="76"/>
      <c r="E5" s="76"/>
      <c r="F5" s="126"/>
      <c r="G5" s="122"/>
      <c r="H5" s="123"/>
      <c r="I5" s="121"/>
      <c r="J5" s="124"/>
      <c r="K5" s="124"/>
      <c r="L5" s="125"/>
      <c r="M5" s="125"/>
      <c r="N5" s="125"/>
      <c r="O5" s="125"/>
      <c r="P5" s="125"/>
      <c r="Q5" s="125"/>
      <c r="R5" s="125"/>
      <c r="S5" s="125"/>
      <c r="T5" s="125"/>
      <c r="U5" s="125"/>
      <c r="V5" s="125"/>
      <c r="W5" s="125"/>
      <c r="X5" s="125"/>
      <c r="Y5" s="125"/>
      <c r="Z5" s="125"/>
      <c r="AA5" s="125"/>
      <c r="AB5" s="125"/>
      <c r="AC5" s="125"/>
      <c r="AD5" s="125"/>
      <c r="AE5" s="125"/>
      <c r="AF5" s="125"/>
      <c r="AG5" s="125"/>
      <c r="AH5" s="125"/>
      <c r="AI5" s="125"/>
      <c r="AJ5" s="125"/>
      <c r="AK5" s="125"/>
      <c r="AL5" s="125"/>
      <c r="AM5" s="125"/>
      <c r="AN5" s="125"/>
      <c r="AO5" s="125"/>
      <c r="AP5" s="125"/>
      <c r="AQ5" s="125"/>
      <c r="AR5" s="125"/>
      <c r="AS5" s="125"/>
      <c r="AT5" s="125"/>
      <c r="AU5" s="125"/>
      <c r="AV5" s="125"/>
      <c r="AW5" s="125"/>
      <c r="AX5" s="125"/>
      <c r="AY5" s="125"/>
      <c r="AZ5" s="125"/>
      <c r="BA5" s="125"/>
      <c r="BB5" s="125"/>
      <c r="BC5" s="125"/>
      <c r="BD5" s="125"/>
      <c r="BE5" s="125"/>
      <c r="BF5" s="125"/>
      <c r="BG5" s="125"/>
      <c r="BH5" s="125"/>
      <c r="BI5" s="125"/>
      <c r="BJ5" s="125"/>
      <c r="BK5" s="125"/>
      <c r="BL5" s="125"/>
      <c r="BM5" s="125"/>
      <c r="BN5" s="125"/>
      <c r="BO5" s="125"/>
      <c r="BP5" s="125"/>
      <c r="BQ5" s="125"/>
      <c r="BR5" s="125"/>
      <c r="BS5" s="125"/>
      <c r="BT5" s="125"/>
      <c r="BU5" s="125"/>
      <c r="BV5" s="125"/>
      <c r="BW5" s="125"/>
      <c r="BX5" s="125"/>
      <c r="BY5" s="125"/>
      <c r="BZ5" s="125"/>
      <c r="CA5" s="125"/>
      <c r="CB5" s="125"/>
      <c r="CC5" s="125"/>
      <c r="CD5" s="125"/>
      <c r="CE5" s="125"/>
      <c r="CF5" s="125"/>
      <c r="CG5" s="125"/>
      <c r="CH5" s="125"/>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c r="DH5" s="125"/>
      <c r="DI5" s="125"/>
      <c r="DJ5" s="125"/>
      <c r="DK5" s="125"/>
      <c r="DL5" s="125"/>
      <c r="DM5" s="125"/>
      <c r="DN5" s="125"/>
      <c r="DO5" s="125"/>
      <c r="DP5" s="125"/>
      <c r="DQ5" s="125"/>
      <c r="DR5" s="125"/>
      <c r="DS5" s="125"/>
      <c r="DT5" s="125"/>
      <c r="DU5" s="125"/>
      <c r="DV5" s="125"/>
      <c r="DW5" s="125"/>
      <c r="DX5" s="125"/>
      <c r="DY5" s="125"/>
      <c r="DZ5" s="125"/>
      <c r="EA5" s="125"/>
      <c r="EB5" s="125"/>
      <c r="EC5" s="125"/>
      <c r="ED5" s="125"/>
      <c r="EE5" s="125"/>
      <c r="EF5" s="125"/>
      <c r="EG5" s="125"/>
      <c r="EH5" s="125"/>
      <c r="EI5" s="125"/>
      <c r="EJ5" s="125"/>
      <c r="EK5" s="125"/>
      <c r="EL5" s="125"/>
      <c r="EM5" s="125"/>
      <c r="EN5" s="125"/>
      <c r="EO5" s="125"/>
      <c r="EP5" s="125"/>
      <c r="EQ5" s="125"/>
      <c r="ER5" s="125"/>
      <c r="ES5" s="125"/>
      <c r="ET5" s="125"/>
      <c r="EU5" s="125"/>
      <c r="EV5" s="125"/>
      <c r="EW5" s="125"/>
      <c r="EX5" s="125"/>
      <c r="EY5" s="125"/>
      <c r="EZ5" s="125"/>
      <c r="FA5" s="125"/>
      <c r="FB5" s="125"/>
      <c r="FC5" s="125"/>
      <c r="FD5" s="125"/>
      <c r="FE5" s="125"/>
      <c r="FF5" s="125"/>
      <c r="FG5" s="125"/>
      <c r="FH5" s="125"/>
      <c r="FI5" s="125"/>
      <c r="FJ5" s="125"/>
      <c r="FK5" s="125"/>
      <c r="FL5" s="125"/>
      <c r="FM5" s="125"/>
      <c r="FN5" s="125"/>
      <c r="FO5" s="125"/>
      <c r="FP5" s="125"/>
      <c r="FQ5" s="125"/>
      <c r="FR5" s="125"/>
      <c r="FS5" s="125"/>
      <c r="FT5" s="125"/>
      <c r="FU5" s="125"/>
      <c r="FV5" s="125"/>
      <c r="FW5" s="125"/>
      <c r="FX5" s="125"/>
      <c r="FY5" s="125"/>
      <c r="FZ5" s="125"/>
      <c r="GA5" s="125"/>
      <c r="GB5" s="125"/>
      <c r="GC5" s="125"/>
      <c r="GD5" s="125"/>
      <c r="GE5" s="125"/>
      <c r="GF5" s="125"/>
      <c r="GG5" s="125"/>
      <c r="GH5" s="125"/>
      <c r="GI5" s="125"/>
      <c r="GJ5" s="125"/>
      <c r="GK5" s="125"/>
      <c r="GL5" s="125"/>
      <c r="GM5" s="125"/>
      <c r="GN5" s="125"/>
      <c r="GO5" s="125"/>
      <c r="GP5" s="125"/>
      <c r="GQ5" s="125"/>
      <c r="GR5" s="125"/>
      <c r="GS5" s="125"/>
      <c r="GT5" s="125"/>
      <c r="GU5" s="125"/>
      <c r="GV5" s="125"/>
      <c r="GW5" s="125"/>
      <c r="GX5" s="125"/>
      <c r="GY5" s="125"/>
      <c r="GZ5" s="125"/>
      <c r="HA5" s="125"/>
      <c r="HB5" s="125"/>
      <c r="HC5" s="125"/>
      <c r="HD5" s="125"/>
      <c r="HE5" s="125"/>
      <c r="HF5" s="125"/>
      <c r="HG5" s="125"/>
      <c r="HH5" s="125"/>
      <c r="HI5" s="125"/>
      <c r="HJ5" s="125"/>
      <c r="HK5" s="125"/>
      <c r="HL5" s="125"/>
      <c r="HM5" s="125"/>
      <c r="HN5" s="125"/>
      <c r="HO5" s="125"/>
      <c r="HP5" s="125"/>
      <c r="HQ5" s="125"/>
      <c r="HR5" s="125"/>
      <c r="HS5" s="125"/>
      <c r="HT5" s="125"/>
      <c r="HU5" s="125"/>
      <c r="HV5" s="125"/>
      <c r="HW5" s="125"/>
      <c r="HX5" s="125"/>
      <c r="HY5" s="125"/>
      <c r="HZ5" s="125"/>
      <c r="IA5" s="125"/>
      <c r="IB5" s="125"/>
      <c r="IC5" s="125"/>
      <c r="ID5" s="125"/>
      <c r="IE5" s="125"/>
      <c r="IF5" s="125"/>
      <c r="IG5" s="125"/>
      <c r="IH5" s="125"/>
      <c r="II5" s="125"/>
      <c r="IJ5" s="125"/>
      <c r="IK5" s="125"/>
      <c r="IL5" s="125"/>
      <c r="IM5" s="125"/>
      <c r="IN5" s="125"/>
      <c r="IO5" s="125"/>
      <c r="IP5" s="125"/>
      <c r="IQ5" s="125"/>
      <c r="IR5" s="125"/>
      <c r="IS5" s="125"/>
      <c r="IT5" s="125"/>
      <c r="IU5" s="125"/>
      <c r="IV5" s="125"/>
      <c r="IW5" s="125"/>
      <c r="IX5" s="125"/>
      <c r="IY5" s="125"/>
      <c r="IZ5" s="125"/>
      <c r="JA5" s="125"/>
      <c r="JB5" s="125"/>
      <c r="JC5" s="125"/>
      <c r="JD5" s="125"/>
      <c r="JE5" s="125"/>
      <c r="JF5" s="125"/>
      <c r="JG5" s="125"/>
      <c r="JH5" s="125"/>
      <c r="JI5" s="125"/>
      <c r="JJ5" s="125"/>
      <c r="JK5" s="125"/>
      <c r="JL5" s="125"/>
      <c r="JM5" s="125"/>
      <c r="JN5" s="125"/>
      <c r="JO5" s="125"/>
      <c r="JP5" s="125"/>
      <c r="JQ5" s="125"/>
      <c r="JR5" s="125"/>
      <c r="JS5" s="125"/>
      <c r="JT5" s="125"/>
      <c r="JU5" s="125"/>
      <c r="JV5" s="125"/>
      <c r="JW5" s="125"/>
      <c r="JX5" s="125"/>
      <c r="JY5" s="125"/>
      <c r="JZ5" s="125"/>
      <c r="KA5" s="125"/>
      <c r="KB5" s="125"/>
      <c r="KC5" s="125"/>
      <c r="KD5" s="125"/>
      <c r="KE5" s="125"/>
      <c r="KF5" s="125"/>
      <c r="KG5" s="125"/>
      <c r="KH5" s="125"/>
      <c r="KI5" s="125"/>
      <c r="KJ5" s="125"/>
      <c r="KK5" s="125"/>
      <c r="KL5" s="125"/>
      <c r="KM5" s="125"/>
      <c r="KN5" s="125"/>
      <c r="KO5" s="125"/>
      <c r="KP5" s="125"/>
      <c r="KQ5" s="125"/>
      <c r="KR5" s="125"/>
      <c r="KS5" s="125"/>
      <c r="KT5" s="125"/>
      <c r="KU5" s="125"/>
      <c r="KV5" s="125"/>
      <c r="KW5" s="125"/>
      <c r="KX5" s="125"/>
      <c r="KY5" s="125"/>
      <c r="KZ5" s="125"/>
      <c r="LA5" s="125"/>
      <c r="LB5" s="125"/>
      <c r="LC5" s="125"/>
      <c r="LD5" s="125"/>
      <c r="LE5" s="125"/>
      <c r="LF5" s="125"/>
      <c r="LG5" s="125"/>
      <c r="LH5" s="125"/>
      <c r="LI5" s="125"/>
      <c r="LJ5" s="125"/>
      <c r="LK5" s="125"/>
      <c r="LL5" s="125"/>
      <c r="LM5" s="125"/>
      <c r="LN5" s="125"/>
      <c r="LO5" s="125"/>
      <c r="LP5" s="125"/>
      <c r="LQ5" s="125"/>
      <c r="LR5" s="125"/>
      <c r="LS5" s="125"/>
      <c r="LT5" s="125"/>
      <c r="LU5" s="125"/>
      <c r="LV5" s="125"/>
      <c r="LW5" s="125"/>
      <c r="LX5" s="125"/>
      <c r="LY5" s="125"/>
      <c r="LZ5" s="125"/>
      <c r="MA5" s="125"/>
      <c r="MB5" s="125"/>
      <c r="MC5" s="125"/>
      <c r="MD5" s="125"/>
      <c r="ME5" s="125"/>
      <c r="MF5" s="125"/>
      <c r="MG5" s="125"/>
      <c r="MH5" s="125"/>
      <c r="MI5" s="125"/>
      <c r="MJ5" s="125"/>
      <c r="MK5" s="125"/>
      <c r="ML5" s="125"/>
      <c r="MM5" s="125"/>
      <c r="MN5" s="125"/>
      <c r="MO5" s="125"/>
      <c r="MP5" s="125"/>
      <c r="MQ5" s="125"/>
      <c r="MR5" s="125"/>
      <c r="MS5" s="125"/>
      <c r="MT5" s="125"/>
      <c r="MU5" s="125"/>
      <c r="MV5" s="125"/>
      <c r="MW5" s="125"/>
      <c r="MX5" s="125"/>
      <c r="MY5" s="125"/>
      <c r="MZ5" s="125"/>
      <c r="NA5" s="125"/>
      <c r="NB5" s="125"/>
      <c r="NC5" s="125"/>
      <c r="ND5" s="125"/>
      <c r="NE5" s="125"/>
      <c r="NF5" s="125"/>
      <c r="NG5" s="125"/>
      <c r="NH5" s="125"/>
      <c r="NI5" s="125"/>
      <c r="NJ5" s="125"/>
      <c r="NK5" s="125"/>
      <c r="NL5" s="125"/>
      <c r="NM5" s="125"/>
      <c r="NN5" s="125"/>
      <c r="NO5" s="125"/>
      <c r="NP5" s="125"/>
      <c r="NQ5" s="125"/>
      <c r="NR5" s="125"/>
      <c r="NS5" s="125"/>
      <c r="NT5" s="125"/>
      <c r="NU5" s="125"/>
      <c r="NV5" s="125"/>
      <c r="NW5" s="125"/>
      <c r="NX5" s="125"/>
      <c r="NY5" s="125"/>
      <c r="NZ5" s="125"/>
      <c r="OA5" s="125"/>
      <c r="OB5" s="125"/>
      <c r="OC5" s="125"/>
      <c r="OD5" s="125"/>
      <c r="OE5" s="125"/>
      <c r="OF5" s="125"/>
      <c r="OG5" s="125"/>
      <c r="OH5" s="125"/>
      <c r="OI5" s="125"/>
      <c r="OJ5" s="125"/>
      <c r="OK5" s="125"/>
      <c r="OL5" s="125"/>
      <c r="OM5" s="125"/>
      <c r="ON5" s="125"/>
      <c r="OO5" s="125"/>
      <c r="OP5" s="125"/>
      <c r="OQ5" s="125"/>
      <c r="OR5" s="125"/>
      <c r="OS5" s="125"/>
      <c r="OT5" s="125"/>
      <c r="OU5" s="125"/>
      <c r="OV5" s="125"/>
      <c r="OW5" s="125"/>
      <c r="OX5" s="125"/>
      <c r="OY5" s="125"/>
      <c r="OZ5" s="125"/>
      <c r="PA5" s="125"/>
      <c r="PB5" s="125"/>
      <c r="PC5" s="125"/>
      <c r="PD5" s="125"/>
      <c r="PE5" s="125"/>
      <c r="PF5" s="125"/>
      <c r="PG5" s="125"/>
      <c r="PH5" s="125"/>
      <c r="PI5" s="125"/>
      <c r="PJ5" s="125"/>
      <c r="PK5" s="125"/>
      <c r="PL5" s="125"/>
      <c r="PM5" s="125"/>
      <c r="PN5" s="125"/>
      <c r="PO5" s="125"/>
      <c r="PP5" s="125"/>
      <c r="PQ5" s="125"/>
      <c r="PR5" s="125"/>
      <c r="PS5" s="125"/>
      <c r="PT5" s="125"/>
      <c r="PU5" s="125"/>
      <c r="PV5" s="125"/>
      <c r="PW5" s="125"/>
      <c r="PX5" s="125"/>
      <c r="PY5" s="125"/>
      <c r="PZ5" s="125"/>
      <c r="QA5" s="125"/>
      <c r="QB5" s="125"/>
      <c r="QC5" s="125"/>
      <c r="QD5" s="125"/>
      <c r="QE5" s="125"/>
      <c r="QF5" s="125"/>
      <c r="QG5" s="125"/>
      <c r="QH5" s="125"/>
      <c r="QI5" s="125"/>
      <c r="QJ5" s="125"/>
      <c r="QK5" s="125"/>
      <c r="QL5" s="125"/>
      <c r="QM5" s="125"/>
      <c r="QN5" s="125"/>
      <c r="QO5" s="125"/>
      <c r="QP5" s="125"/>
      <c r="QQ5" s="125"/>
      <c r="QR5" s="125"/>
      <c r="QS5" s="125"/>
      <c r="QT5" s="125"/>
      <c r="QU5" s="125"/>
      <c r="QV5" s="125"/>
      <c r="QW5" s="125"/>
      <c r="QX5" s="125"/>
      <c r="QY5" s="125"/>
      <c r="QZ5" s="125"/>
    </row>
    <row r="6" spans="2:468" x14ac:dyDescent="0.2">
      <c r="B6" s="76" t="s">
        <v>38</v>
      </c>
      <c r="C6" s="127">
        <v>41274</v>
      </c>
      <c r="E6" s="128">
        <f>SUM(G6:KW6)</f>
        <v>1</v>
      </c>
      <c r="F6" s="122"/>
      <c r="G6" s="129">
        <f t="shared" ref="G6:BR6" si="0">(G$2&lt;=$C6)*(H$2&gt;$C6)</f>
        <v>1</v>
      </c>
      <c r="H6" s="129">
        <f t="shared" si="0"/>
        <v>0</v>
      </c>
      <c r="I6" s="129">
        <f t="shared" si="0"/>
        <v>0</v>
      </c>
      <c r="J6" s="129">
        <f t="shared" si="0"/>
        <v>0</v>
      </c>
      <c r="K6" s="129">
        <f t="shared" si="0"/>
        <v>0</v>
      </c>
      <c r="L6" s="129">
        <f t="shared" si="0"/>
        <v>0</v>
      </c>
      <c r="M6" s="129">
        <f t="shared" si="0"/>
        <v>0</v>
      </c>
      <c r="N6" s="129">
        <f t="shared" si="0"/>
        <v>0</v>
      </c>
      <c r="O6" s="129">
        <f t="shared" si="0"/>
        <v>0</v>
      </c>
      <c r="P6" s="129">
        <f t="shared" si="0"/>
        <v>0</v>
      </c>
      <c r="Q6" s="129">
        <f t="shared" si="0"/>
        <v>0</v>
      </c>
      <c r="R6" s="129">
        <f t="shared" si="0"/>
        <v>0</v>
      </c>
      <c r="S6" s="129">
        <f t="shared" si="0"/>
        <v>0</v>
      </c>
      <c r="T6" s="129">
        <f t="shared" si="0"/>
        <v>0</v>
      </c>
      <c r="U6" s="129">
        <f t="shared" si="0"/>
        <v>0</v>
      </c>
      <c r="V6" s="129">
        <f t="shared" si="0"/>
        <v>0</v>
      </c>
      <c r="W6" s="129">
        <f t="shared" si="0"/>
        <v>0</v>
      </c>
      <c r="X6" s="129">
        <f t="shared" si="0"/>
        <v>0</v>
      </c>
      <c r="Y6" s="129">
        <f t="shared" si="0"/>
        <v>0</v>
      </c>
      <c r="Z6" s="129">
        <f t="shared" si="0"/>
        <v>0</v>
      </c>
      <c r="AA6" s="129">
        <f t="shared" si="0"/>
        <v>0</v>
      </c>
      <c r="AB6" s="129">
        <f t="shared" si="0"/>
        <v>0</v>
      </c>
      <c r="AC6" s="129">
        <f t="shared" si="0"/>
        <v>0</v>
      </c>
      <c r="AD6" s="129">
        <f t="shared" si="0"/>
        <v>0</v>
      </c>
      <c r="AE6" s="129">
        <f t="shared" si="0"/>
        <v>0</v>
      </c>
      <c r="AF6" s="129">
        <f t="shared" si="0"/>
        <v>0</v>
      </c>
      <c r="AG6" s="129">
        <f t="shared" si="0"/>
        <v>0</v>
      </c>
      <c r="AH6" s="129">
        <f t="shared" si="0"/>
        <v>0</v>
      </c>
      <c r="AI6" s="129">
        <f t="shared" si="0"/>
        <v>0</v>
      </c>
      <c r="AJ6" s="129">
        <f t="shared" si="0"/>
        <v>0</v>
      </c>
      <c r="AK6" s="129">
        <f t="shared" si="0"/>
        <v>0</v>
      </c>
      <c r="AL6" s="129">
        <f t="shared" si="0"/>
        <v>0</v>
      </c>
      <c r="AM6" s="129">
        <f t="shared" si="0"/>
        <v>0</v>
      </c>
      <c r="AN6" s="129">
        <f t="shared" si="0"/>
        <v>0</v>
      </c>
      <c r="AO6" s="129">
        <f t="shared" si="0"/>
        <v>0</v>
      </c>
      <c r="AP6" s="129">
        <f t="shared" si="0"/>
        <v>0</v>
      </c>
      <c r="AQ6" s="129">
        <f t="shared" si="0"/>
        <v>0</v>
      </c>
      <c r="AR6" s="129">
        <f t="shared" si="0"/>
        <v>0</v>
      </c>
      <c r="AS6" s="129">
        <f t="shared" si="0"/>
        <v>0</v>
      </c>
      <c r="AT6" s="129">
        <f t="shared" si="0"/>
        <v>0</v>
      </c>
      <c r="AU6" s="129">
        <f t="shared" si="0"/>
        <v>0</v>
      </c>
      <c r="AV6" s="129">
        <f t="shared" si="0"/>
        <v>0</v>
      </c>
      <c r="AW6" s="129">
        <f t="shared" si="0"/>
        <v>0</v>
      </c>
      <c r="AX6" s="129">
        <f t="shared" si="0"/>
        <v>0</v>
      </c>
      <c r="AY6" s="129">
        <f t="shared" si="0"/>
        <v>0</v>
      </c>
      <c r="AZ6" s="129">
        <f t="shared" si="0"/>
        <v>0</v>
      </c>
      <c r="BA6" s="129">
        <f t="shared" si="0"/>
        <v>0</v>
      </c>
      <c r="BB6" s="129">
        <f t="shared" si="0"/>
        <v>0</v>
      </c>
      <c r="BC6" s="129">
        <f t="shared" si="0"/>
        <v>0</v>
      </c>
      <c r="BD6" s="129">
        <f t="shared" si="0"/>
        <v>0</v>
      </c>
      <c r="BE6" s="129">
        <f t="shared" si="0"/>
        <v>0</v>
      </c>
      <c r="BF6" s="129">
        <f t="shared" si="0"/>
        <v>0</v>
      </c>
      <c r="BG6" s="129">
        <f t="shared" si="0"/>
        <v>0</v>
      </c>
      <c r="BH6" s="129">
        <f t="shared" si="0"/>
        <v>0</v>
      </c>
      <c r="BI6" s="129">
        <f t="shared" si="0"/>
        <v>0</v>
      </c>
      <c r="BJ6" s="129">
        <f t="shared" si="0"/>
        <v>0</v>
      </c>
      <c r="BK6" s="129">
        <f t="shared" si="0"/>
        <v>0</v>
      </c>
      <c r="BL6" s="129">
        <f t="shared" si="0"/>
        <v>0</v>
      </c>
      <c r="BM6" s="129">
        <f t="shared" si="0"/>
        <v>0</v>
      </c>
      <c r="BN6" s="129">
        <f t="shared" si="0"/>
        <v>0</v>
      </c>
      <c r="BO6" s="129">
        <f t="shared" si="0"/>
        <v>0</v>
      </c>
      <c r="BP6" s="129">
        <f t="shared" si="0"/>
        <v>0</v>
      </c>
      <c r="BQ6" s="129">
        <f t="shared" si="0"/>
        <v>0</v>
      </c>
      <c r="BR6" s="129">
        <f t="shared" si="0"/>
        <v>0</v>
      </c>
      <c r="BS6" s="129">
        <f t="shared" ref="BS6:ED6" si="1">(BS$2&lt;=$C6)*(BT$2&gt;$C6)</f>
        <v>0</v>
      </c>
      <c r="BT6" s="129">
        <f t="shared" si="1"/>
        <v>0</v>
      </c>
      <c r="BU6" s="129">
        <f t="shared" si="1"/>
        <v>0</v>
      </c>
      <c r="BV6" s="129">
        <f t="shared" si="1"/>
        <v>0</v>
      </c>
      <c r="BW6" s="129">
        <f t="shared" si="1"/>
        <v>0</v>
      </c>
      <c r="BX6" s="129">
        <f t="shared" si="1"/>
        <v>0</v>
      </c>
      <c r="BY6" s="129">
        <f t="shared" si="1"/>
        <v>0</v>
      </c>
      <c r="BZ6" s="129">
        <f t="shared" si="1"/>
        <v>0</v>
      </c>
      <c r="CA6" s="129">
        <f t="shared" si="1"/>
        <v>0</v>
      </c>
      <c r="CB6" s="129">
        <f t="shared" si="1"/>
        <v>0</v>
      </c>
      <c r="CC6" s="129">
        <f t="shared" si="1"/>
        <v>0</v>
      </c>
      <c r="CD6" s="129">
        <f t="shared" si="1"/>
        <v>0</v>
      </c>
      <c r="CE6" s="129">
        <f t="shared" si="1"/>
        <v>0</v>
      </c>
      <c r="CF6" s="129">
        <f t="shared" si="1"/>
        <v>0</v>
      </c>
      <c r="CG6" s="129">
        <f t="shared" si="1"/>
        <v>0</v>
      </c>
      <c r="CH6" s="129">
        <f t="shared" si="1"/>
        <v>0</v>
      </c>
      <c r="CI6" s="129">
        <f t="shared" si="1"/>
        <v>0</v>
      </c>
      <c r="CJ6" s="129">
        <f t="shared" si="1"/>
        <v>0</v>
      </c>
      <c r="CK6" s="129">
        <f t="shared" si="1"/>
        <v>0</v>
      </c>
      <c r="CL6" s="129">
        <f t="shared" si="1"/>
        <v>0</v>
      </c>
      <c r="CM6" s="129">
        <f t="shared" si="1"/>
        <v>0</v>
      </c>
      <c r="CN6" s="129">
        <f t="shared" si="1"/>
        <v>0</v>
      </c>
      <c r="CO6" s="129">
        <f t="shared" si="1"/>
        <v>0</v>
      </c>
      <c r="CP6" s="129">
        <f t="shared" si="1"/>
        <v>0</v>
      </c>
      <c r="CQ6" s="129">
        <f t="shared" si="1"/>
        <v>0</v>
      </c>
      <c r="CR6" s="129">
        <f t="shared" si="1"/>
        <v>0</v>
      </c>
      <c r="CS6" s="129">
        <f t="shared" si="1"/>
        <v>0</v>
      </c>
      <c r="CT6" s="129">
        <f t="shared" si="1"/>
        <v>0</v>
      </c>
      <c r="CU6" s="129">
        <f t="shared" si="1"/>
        <v>0</v>
      </c>
      <c r="CV6" s="129">
        <f t="shared" si="1"/>
        <v>0</v>
      </c>
      <c r="CW6" s="129">
        <f t="shared" si="1"/>
        <v>0</v>
      </c>
      <c r="CX6" s="129">
        <f t="shared" si="1"/>
        <v>0</v>
      </c>
      <c r="CY6" s="129">
        <f t="shared" si="1"/>
        <v>0</v>
      </c>
      <c r="CZ6" s="129">
        <f t="shared" si="1"/>
        <v>0</v>
      </c>
      <c r="DA6" s="129">
        <f t="shared" si="1"/>
        <v>0</v>
      </c>
      <c r="DB6" s="129">
        <f t="shared" si="1"/>
        <v>0</v>
      </c>
      <c r="DC6" s="129">
        <f t="shared" si="1"/>
        <v>0</v>
      </c>
      <c r="DD6" s="129">
        <f t="shared" si="1"/>
        <v>0</v>
      </c>
      <c r="DE6" s="129">
        <f t="shared" si="1"/>
        <v>0</v>
      </c>
      <c r="DF6" s="129">
        <f t="shared" si="1"/>
        <v>0</v>
      </c>
      <c r="DG6" s="129">
        <f t="shared" si="1"/>
        <v>0</v>
      </c>
      <c r="DH6" s="129">
        <f t="shared" si="1"/>
        <v>0</v>
      </c>
      <c r="DI6" s="129">
        <f t="shared" si="1"/>
        <v>0</v>
      </c>
      <c r="DJ6" s="129">
        <f t="shared" si="1"/>
        <v>0</v>
      </c>
      <c r="DK6" s="129">
        <f t="shared" si="1"/>
        <v>0</v>
      </c>
      <c r="DL6" s="129">
        <f t="shared" si="1"/>
        <v>0</v>
      </c>
      <c r="DM6" s="129">
        <f t="shared" si="1"/>
        <v>0</v>
      </c>
      <c r="DN6" s="129">
        <f t="shared" si="1"/>
        <v>0</v>
      </c>
      <c r="DO6" s="129">
        <f t="shared" si="1"/>
        <v>0</v>
      </c>
      <c r="DP6" s="129">
        <f t="shared" si="1"/>
        <v>0</v>
      </c>
      <c r="DQ6" s="129">
        <f t="shared" si="1"/>
        <v>0</v>
      </c>
      <c r="DR6" s="129">
        <f t="shared" si="1"/>
        <v>0</v>
      </c>
      <c r="DS6" s="129">
        <f t="shared" si="1"/>
        <v>0</v>
      </c>
      <c r="DT6" s="129">
        <f t="shared" si="1"/>
        <v>0</v>
      </c>
      <c r="DU6" s="129">
        <f t="shared" si="1"/>
        <v>0</v>
      </c>
      <c r="DV6" s="129">
        <f t="shared" si="1"/>
        <v>0</v>
      </c>
      <c r="DW6" s="129">
        <f t="shared" si="1"/>
        <v>0</v>
      </c>
      <c r="DX6" s="129">
        <f t="shared" si="1"/>
        <v>0</v>
      </c>
      <c r="DY6" s="129">
        <f t="shared" si="1"/>
        <v>0</v>
      </c>
      <c r="DZ6" s="129">
        <f t="shared" si="1"/>
        <v>0</v>
      </c>
      <c r="EA6" s="129">
        <f t="shared" si="1"/>
        <v>0</v>
      </c>
      <c r="EB6" s="129">
        <f t="shared" si="1"/>
        <v>0</v>
      </c>
      <c r="EC6" s="129">
        <f t="shared" si="1"/>
        <v>0</v>
      </c>
      <c r="ED6" s="129">
        <f t="shared" si="1"/>
        <v>0</v>
      </c>
      <c r="EE6" s="129">
        <f t="shared" ref="EE6:GP6" si="2">(EE$2&lt;=$C6)*(EF$2&gt;$C6)</f>
        <v>0</v>
      </c>
      <c r="EF6" s="129">
        <f t="shared" si="2"/>
        <v>0</v>
      </c>
      <c r="EG6" s="129">
        <f t="shared" si="2"/>
        <v>0</v>
      </c>
      <c r="EH6" s="129">
        <f t="shared" si="2"/>
        <v>0</v>
      </c>
      <c r="EI6" s="129">
        <f t="shared" si="2"/>
        <v>0</v>
      </c>
      <c r="EJ6" s="129">
        <f t="shared" si="2"/>
        <v>0</v>
      </c>
      <c r="EK6" s="129">
        <f t="shared" si="2"/>
        <v>0</v>
      </c>
      <c r="EL6" s="129">
        <f t="shared" si="2"/>
        <v>0</v>
      </c>
      <c r="EM6" s="129">
        <f t="shared" si="2"/>
        <v>0</v>
      </c>
      <c r="EN6" s="129">
        <f t="shared" si="2"/>
        <v>0</v>
      </c>
      <c r="EO6" s="129">
        <f t="shared" si="2"/>
        <v>0</v>
      </c>
      <c r="EP6" s="129">
        <f t="shared" si="2"/>
        <v>0</v>
      </c>
      <c r="EQ6" s="129">
        <f t="shared" si="2"/>
        <v>0</v>
      </c>
      <c r="ER6" s="129">
        <f t="shared" si="2"/>
        <v>0</v>
      </c>
      <c r="ES6" s="129">
        <f t="shared" si="2"/>
        <v>0</v>
      </c>
      <c r="ET6" s="129">
        <f t="shared" si="2"/>
        <v>0</v>
      </c>
      <c r="EU6" s="129">
        <f t="shared" si="2"/>
        <v>0</v>
      </c>
      <c r="EV6" s="129">
        <f t="shared" si="2"/>
        <v>0</v>
      </c>
      <c r="EW6" s="129">
        <f t="shared" si="2"/>
        <v>0</v>
      </c>
      <c r="EX6" s="129">
        <f t="shared" si="2"/>
        <v>0</v>
      </c>
      <c r="EY6" s="129">
        <f t="shared" si="2"/>
        <v>0</v>
      </c>
      <c r="EZ6" s="129">
        <f t="shared" si="2"/>
        <v>0</v>
      </c>
      <c r="FA6" s="129">
        <f t="shared" si="2"/>
        <v>0</v>
      </c>
      <c r="FB6" s="129">
        <f t="shared" si="2"/>
        <v>0</v>
      </c>
      <c r="FC6" s="129">
        <f t="shared" si="2"/>
        <v>0</v>
      </c>
      <c r="FD6" s="129">
        <f t="shared" si="2"/>
        <v>0</v>
      </c>
      <c r="FE6" s="129">
        <f t="shared" si="2"/>
        <v>0</v>
      </c>
      <c r="FF6" s="129">
        <f t="shared" si="2"/>
        <v>0</v>
      </c>
      <c r="FG6" s="129">
        <f t="shared" si="2"/>
        <v>0</v>
      </c>
      <c r="FH6" s="129">
        <f t="shared" si="2"/>
        <v>0</v>
      </c>
      <c r="FI6" s="129">
        <f t="shared" si="2"/>
        <v>0</v>
      </c>
      <c r="FJ6" s="129">
        <f t="shared" si="2"/>
        <v>0</v>
      </c>
      <c r="FK6" s="129">
        <f t="shared" si="2"/>
        <v>0</v>
      </c>
      <c r="FL6" s="129">
        <f t="shared" si="2"/>
        <v>0</v>
      </c>
      <c r="FM6" s="129">
        <f t="shared" si="2"/>
        <v>0</v>
      </c>
      <c r="FN6" s="129">
        <f t="shared" si="2"/>
        <v>0</v>
      </c>
      <c r="FO6" s="129">
        <f t="shared" si="2"/>
        <v>0</v>
      </c>
      <c r="FP6" s="129">
        <f t="shared" si="2"/>
        <v>0</v>
      </c>
      <c r="FQ6" s="129">
        <f t="shared" si="2"/>
        <v>0</v>
      </c>
      <c r="FR6" s="129">
        <f t="shared" si="2"/>
        <v>0</v>
      </c>
      <c r="FS6" s="129">
        <f t="shared" si="2"/>
        <v>0</v>
      </c>
      <c r="FT6" s="129">
        <f t="shared" si="2"/>
        <v>0</v>
      </c>
      <c r="FU6" s="129">
        <f t="shared" si="2"/>
        <v>0</v>
      </c>
      <c r="FV6" s="129">
        <f t="shared" si="2"/>
        <v>0</v>
      </c>
      <c r="FW6" s="129">
        <f t="shared" si="2"/>
        <v>0</v>
      </c>
      <c r="FX6" s="129">
        <f t="shared" si="2"/>
        <v>0</v>
      </c>
      <c r="FY6" s="129">
        <f t="shared" si="2"/>
        <v>0</v>
      </c>
      <c r="FZ6" s="129">
        <f t="shared" si="2"/>
        <v>0</v>
      </c>
      <c r="GA6" s="129">
        <f t="shared" si="2"/>
        <v>0</v>
      </c>
      <c r="GB6" s="129">
        <f t="shared" si="2"/>
        <v>0</v>
      </c>
      <c r="GC6" s="129">
        <f t="shared" si="2"/>
        <v>0</v>
      </c>
      <c r="GD6" s="129">
        <f t="shared" si="2"/>
        <v>0</v>
      </c>
      <c r="GE6" s="129">
        <f t="shared" si="2"/>
        <v>0</v>
      </c>
      <c r="GF6" s="129">
        <f t="shared" si="2"/>
        <v>0</v>
      </c>
      <c r="GG6" s="129">
        <f t="shared" si="2"/>
        <v>0</v>
      </c>
      <c r="GH6" s="129">
        <f t="shared" si="2"/>
        <v>0</v>
      </c>
      <c r="GI6" s="129">
        <f t="shared" si="2"/>
        <v>0</v>
      </c>
      <c r="GJ6" s="129">
        <f t="shared" si="2"/>
        <v>0</v>
      </c>
      <c r="GK6" s="129">
        <f t="shared" si="2"/>
        <v>0</v>
      </c>
      <c r="GL6" s="129">
        <f t="shared" si="2"/>
        <v>0</v>
      </c>
      <c r="GM6" s="129">
        <f t="shared" si="2"/>
        <v>0</v>
      </c>
      <c r="GN6" s="129">
        <f t="shared" si="2"/>
        <v>0</v>
      </c>
      <c r="GO6" s="129">
        <f t="shared" si="2"/>
        <v>0</v>
      </c>
      <c r="GP6" s="129">
        <f t="shared" si="2"/>
        <v>0</v>
      </c>
      <c r="GQ6" s="129">
        <f t="shared" ref="GQ6:JB6" si="3">(GQ$2&lt;=$C6)*(GR$2&gt;$C6)</f>
        <v>0</v>
      </c>
      <c r="GR6" s="129">
        <f t="shared" si="3"/>
        <v>0</v>
      </c>
      <c r="GS6" s="129">
        <f t="shared" si="3"/>
        <v>0</v>
      </c>
      <c r="GT6" s="129">
        <f t="shared" si="3"/>
        <v>0</v>
      </c>
      <c r="GU6" s="129">
        <f t="shared" si="3"/>
        <v>0</v>
      </c>
      <c r="GV6" s="129">
        <f t="shared" si="3"/>
        <v>0</v>
      </c>
      <c r="GW6" s="129">
        <f t="shared" si="3"/>
        <v>0</v>
      </c>
      <c r="GX6" s="129">
        <f t="shared" si="3"/>
        <v>0</v>
      </c>
      <c r="GY6" s="129">
        <f t="shared" si="3"/>
        <v>0</v>
      </c>
      <c r="GZ6" s="129">
        <f t="shared" si="3"/>
        <v>0</v>
      </c>
      <c r="HA6" s="129">
        <f t="shared" si="3"/>
        <v>0</v>
      </c>
      <c r="HB6" s="129">
        <f t="shared" si="3"/>
        <v>0</v>
      </c>
      <c r="HC6" s="129">
        <f t="shared" si="3"/>
        <v>0</v>
      </c>
      <c r="HD6" s="129">
        <f t="shared" si="3"/>
        <v>0</v>
      </c>
      <c r="HE6" s="129">
        <f t="shared" si="3"/>
        <v>0</v>
      </c>
      <c r="HF6" s="129">
        <f t="shared" si="3"/>
        <v>0</v>
      </c>
      <c r="HG6" s="129">
        <f t="shared" si="3"/>
        <v>0</v>
      </c>
      <c r="HH6" s="129">
        <f t="shared" si="3"/>
        <v>0</v>
      </c>
      <c r="HI6" s="129">
        <f t="shared" si="3"/>
        <v>0</v>
      </c>
      <c r="HJ6" s="129">
        <f t="shared" si="3"/>
        <v>0</v>
      </c>
      <c r="HK6" s="129">
        <f t="shared" si="3"/>
        <v>0</v>
      </c>
      <c r="HL6" s="129">
        <f t="shared" si="3"/>
        <v>0</v>
      </c>
      <c r="HM6" s="129">
        <f t="shared" si="3"/>
        <v>0</v>
      </c>
      <c r="HN6" s="129">
        <f t="shared" si="3"/>
        <v>0</v>
      </c>
      <c r="HO6" s="129">
        <f t="shared" si="3"/>
        <v>0</v>
      </c>
      <c r="HP6" s="129">
        <f t="shared" si="3"/>
        <v>0</v>
      </c>
      <c r="HQ6" s="129">
        <f t="shared" si="3"/>
        <v>0</v>
      </c>
      <c r="HR6" s="129">
        <f t="shared" si="3"/>
        <v>0</v>
      </c>
      <c r="HS6" s="129">
        <f t="shared" si="3"/>
        <v>0</v>
      </c>
      <c r="HT6" s="129">
        <f t="shared" si="3"/>
        <v>0</v>
      </c>
      <c r="HU6" s="129">
        <f t="shared" si="3"/>
        <v>0</v>
      </c>
      <c r="HV6" s="129">
        <f t="shared" si="3"/>
        <v>0</v>
      </c>
      <c r="HW6" s="129">
        <f t="shared" si="3"/>
        <v>0</v>
      </c>
      <c r="HX6" s="129">
        <f t="shared" si="3"/>
        <v>0</v>
      </c>
      <c r="HY6" s="129">
        <f t="shared" si="3"/>
        <v>0</v>
      </c>
      <c r="HZ6" s="129">
        <f t="shared" si="3"/>
        <v>0</v>
      </c>
      <c r="IA6" s="129">
        <f t="shared" si="3"/>
        <v>0</v>
      </c>
      <c r="IB6" s="129">
        <f t="shared" si="3"/>
        <v>0</v>
      </c>
      <c r="IC6" s="129">
        <f t="shared" si="3"/>
        <v>0</v>
      </c>
      <c r="ID6" s="129">
        <f t="shared" si="3"/>
        <v>0</v>
      </c>
      <c r="IE6" s="129">
        <f t="shared" si="3"/>
        <v>0</v>
      </c>
      <c r="IF6" s="129">
        <f t="shared" si="3"/>
        <v>0</v>
      </c>
      <c r="IG6" s="129">
        <f t="shared" si="3"/>
        <v>0</v>
      </c>
      <c r="IH6" s="129">
        <f t="shared" si="3"/>
        <v>0</v>
      </c>
      <c r="II6" s="129">
        <f t="shared" si="3"/>
        <v>0</v>
      </c>
      <c r="IJ6" s="129">
        <f t="shared" si="3"/>
        <v>0</v>
      </c>
      <c r="IK6" s="129">
        <f t="shared" si="3"/>
        <v>0</v>
      </c>
      <c r="IL6" s="129">
        <f t="shared" si="3"/>
        <v>0</v>
      </c>
      <c r="IM6" s="129">
        <f t="shared" si="3"/>
        <v>0</v>
      </c>
      <c r="IN6" s="129">
        <f t="shared" si="3"/>
        <v>0</v>
      </c>
      <c r="IO6" s="129">
        <f t="shared" si="3"/>
        <v>0</v>
      </c>
      <c r="IP6" s="129">
        <f t="shared" si="3"/>
        <v>0</v>
      </c>
      <c r="IQ6" s="129">
        <f t="shared" si="3"/>
        <v>0</v>
      </c>
      <c r="IR6" s="129">
        <f t="shared" si="3"/>
        <v>0</v>
      </c>
      <c r="IS6" s="129">
        <f t="shared" si="3"/>
        <v>0</v>
      </c>
      <c r="IT6" s="129">
        <f t="shared" si="3"/>
        <v>0</v>
      </c>
      <c r="IU6" s="129">
        <f t="shared" si="3"/>
        <v>0</v>
      </c>
      <c r="IV6" s="129">
        <f t="shared" si="3"/>
        <v>0</v>
      </c>
      <c r="IW6" s="129">
        <f t="shared" si="3"/>
        <v>0</v>
      </c>
      <c r="IX6" s="129">
        <f t="shared" si="3"/>
        <v>0</v>
      </c>
      <c r="IY6" s="129">
        <f t="shared" si="3"/>
        <v>0</v>
      </c>
      <c r="IZ6" s="129">
        <f t="shared" si="3"/>
        <v>0</v>
      </c>
      <c r="JA6" s="129">
        <f t="shared" si="3"/>
        <v>0</v>
      </c>
      <c r="JB6" s="129">
        <f t="shared" si="3"/>
        <v>0</v>
      </c>
      <c r="JC6" s="129">
        <f t="shared" ref="JC6:KW6" si="4">(JC$2&lt;=$C6)*(JD$2&gt;$C6)</f>
        <v>0</v>
      </c>
      <c r="JD6" s="129">
        <f t="shared" si="4"/>
        <v>0</v>
      </c>
      <c r="JE6" s="129">
        <f t="shared" si="4"/>
        <v>0</v>
      </c>
      <c r="JF6" s="129">
        <f t="shared" si="4"/>
        <v>0</v>
      </c>
      <c r="JG6" s="129">
        <f t="shared" si="4"/>
        <v>0</v>
      </c>
      <c r="JH6" s="129">
        <f t="shared" si="4"/>
        <v>0</v>
      </c>
      <c r="JI6" s="129">
        <f t="shared" si="4"/>
        <v>0</v>
      </c>
      <c r="JJ6" s="129">
        <f t="shared" si="4"/>
        <v>0</v>
      </c>
      <c r="JK6" s="129">
        <f t="shared" si="4"/>
        <v>0</v>
      </c>
      <c r="JL6" s="129">
        <f t="shared" si="4"/>
        <v>0</v>
      </c>
      <c r="JM6" s="129">
        <f t="shared" si="4"/>
        <v>0</v>
      </c>
      <c r="JN6" s="129">
        <f t="shared" si="4"/>
        <v>0</v>
      </c>
      <c r="JO6" s="129">
        <f t="shared" si="4"/>
        <v>0</v>
      </c>
      <c r="JP6" s="129">
        <f t="shared" si="4"/>
        <v>0</v>
      </c>
      <c r="JQ6" s="129">
        <f t="shared" si="4"/>
        <v>0</v>
      </c>
      <c r="JR6" s="129">
        <f t="shared" si="4"/>
        <v>0</v>
      </c>
      <c r="JS6" s="129">
        <f t="shared" si="4"/>
        <v>0</v>
      </c>
      <c r="JT6" s="129">
        <f t="shared" si="4"/>
        <v>0</v>
      </c>
      <c r="JU6" s="129">
        <f t="shared" si="4"/>
        <v>0</v>
      </c>
      <c r="JV6" s="129">
        <f t="shared" si="4"/>
        <v>0</v>
      </c>
      <c r="JW6" s="129">
        <f t="shared" si="4"/>
        <v>0</v>
      </c>
      <c r="JX6" s="129">
        <f t="shared" si="4"/>
        <v>0</v>
      </c>
      <c r="JY6" s="129">
        <f t="shared" si="4"/>
        <v>0</v>
      </c>
      <c r="JZ6" s="129">
        <f t="shared" si="4"/>
        <v>0</v>
      </c>
      <c r="KA6" s="129">
        <f t="shared" si="4"/>
        <v>0</v>
      </c>
      <c r="KB6" s="129">
        <f t="shared" si="4"/>
        <v>0</v>
      </c>
      <c r="KC6" s="129">
        <f t="shared" si="4"/>
        <v>0</v>
      </c>
      <c r="KD6" s="129">
        <f t="shared" si="4"/>
        <v>0</v>
      </c>
      <c r="KE6" s="129">
        <f t="shared" si="4"/>
        <v>0</v>
      </c>
      <c r="KF6" s="129">
        <f t="shared" si="4"/>
        <v>0</v>
      </c>
      <c r="KG6" s="129">
        <f t="shared" si="4"/>
        <v>0</v>
      </c>
      <c r="KH6" s="129">
        <f t="shared" si="4"/>
        <v>0</v>
      </c>
      <c r="KI6" s="129">
        <f t="shared" si="4"/>
        <v>0</v>
      </c>
      <c r="KJ6" s="129">
        <f t="shared" si="4"/>
        <v>0</v>
      </c>
      <c r="KK6" s="129">
        <f t="shared" si="4"/>
        <v>0</v>
      </c>
      <c r="KL6" s="129">
        <f t="shared" si="4"/>
        <v>0</v>
      </c>
      <c r="KM6" s="129">
        <f t="shared" si="4"/>
        <v>0</v>
      </c>
      <c r="KN6" s="129">
        <f t="shared" si="4"/>
        <v>0</v>
      </c>
      <c r="KO6" s="129">
        <f t="shared" si="4"/>
        <v>0</v>
      </c>
      <c r="KP6" s="129">
        <f t="shared" si="4"/>
        <v>0</v>
      </c>
      <c r="KQ6" s="129">
        <f t="shared" si="4"/>
        <v>0</v>
      </c>
      <c r="KR6" s="129">
        <f t="shared" si="4"/>
        <v>0</v>
      </c>
      <c r="KS6" s="129">
        <f t="shared" si="4"/>
        <v>0</v>
      </c>
      <c r="KT6" s="129">
        <f t="shared" si="4"/>
        <v>0</v>
      </c>
      <c r="KU6" s="129">
        <f t="shared" si="4"/>
        <v>0</v>
      </c>
      <c r="KV6" s="129">
        <f t="shared" si="4"/>
        <v>0</v>
      </c>
      <c r="KW6" s="129">
        <f t="shared" si="4"/>
        <v>0</v>
      </c>
      <c r="KX6" s="125"/>
      <c r="KY6" s="125"/>
      <c r="KZ6" s="125"/>
      <c r="LA6" s="125"/>
      <c r="LB6" s="125"/>
      <c r="LC6" s="125"/>
      <c r="LD6" s="125"/>
      <c r="LE6" s="125"/>
      <c r="LF6" s="125"/>
      <c r="LG6" s="125"/>
      <c r="LH6" s="125"/>
      <c r="LI6" s="125"/>
      <c r="LJ6" s="125"/>
      <c r="LK6" s="125"/>
      <c r="LL6" s="125"/>
      <c r="LM6" s="125"/>
      <c r="LN6" s="125"/>
      <c r="LO6" s="125"/>
      <c r="LP6" s="125"/>
      <c r="LQ6" s="125"/>
      <c r="LR6" s="125"/>
      <c r="LS6" s="125"/>
      <c r="LT6" s="125"/>
      <c r="LU6" s="125"/>
      <c r="LV6" s="125"/>
      <c r="LW6" s="125"/>
      <c r="LX6" s="125"/>
      <c r="LY6" s="125"/>
      <c r="LZ6" s="125"/>
      <c r="MA6" s="125"/>
      <c r="MB6" s="125"/>
      <c r="MC6" s="125"/>
      <c r="MD6" s="125"/>
      <c r="ME6" s="125"/>
      <c r="MF6" s="125"/>
      <c r="MG6" s="125"/>
      <c r="MH6" s="125"/>
      <c r="MI6" s="125"/>
      <c r="MJ6" s="125"/>
      <c r="MK6" s="125"/>
      <c r="ML6" s="125"/>
      <c r="MM6" s="125"/>
      <c r="MN6" s="125"/>
      <c r="MO6" s="125"/>
      <c r="MP6" s="125"/>
      <c r="MQ6" s="125"/>
      <c r="MR6" s="125"/>
      <c r="MS6" s="125"/>
      <c r="MT6" s="125"/>
      <c r="MU6" s="125"/>
      <c r="MV6" s="125"/>
      <c r="MW6" s="125"/>
      <c r="MX6" s="125"/>
      <c r="MY6" s="125"/>
      <c r="MZ6" s="125"/>
      <c r="NA6" s="125"/>
      <c r="NB6" s="125"/>
      <c r="NC6" s="125"/>
      <c r="ND6" s="125"/>
      <c r="NE6" s="125"/>
      <c r="NF6" s="125"/>
      <c r="NG6" s="125"/>
      <c r="NH6" s="125"/>
      <c r="NI6" s="125"/>
      <c r="NJ6" s="125"/>
      <c r="NK6" s="125"/>
      <c r="NL6" s="125"/>
      <c r="NM6" s="125"/>
      <c r="NN6" s="125"/>
      <c r="NO6" s="125"/>
      <c r="NP6" s="125"/>
      <c r="NQ6" s="125"/>
      <c r="NR6" s="125"/>
      <c r="NS6" s="125"/>
      <c r="NT6" s="125"/>
      <c r="NU6" s="125"/>
      <c r="NV6" s="125"/>
      <c r="NW6" s="125"/>
      <c r="NX6" s="125"/>
      <c r="NY6" s="125"/>
      <c r="NZ6" s="125"/>
      <c r="OA6" s="125"/>
      <c r="OB6" s="125"/>
      <c r="OC6" s="125"/>
      <c r="OD6" s="125"/>
      <c r="OE6" s="125"/>
      <c r="OF6" s="125"/>
      <c r="OG6" s="125"/>
      <c r="OH6" s="125"/>
      <c r="OI6" s="125"/>
      <c r="OJ6" s="125"/>
      <c r="OK6" s="125"/>
      <c r="OL6" s="125"/>
      <c r="OM6" s="125"/>
      <c r="ON6" s="125"/>
      <c r="OO6" s="125"/>
      <c r="OP6" s="125"/>
      <c r="OQ6" s="125"/>
      <c r="OR6" s="125"/>
      <c r="OS6" s="125"/>
      <c r="OT6" s="125"/>
      <c r="OU6" s="125"/>
      <c r="OV6" s="125"/>
      <c r="OW6" s="125"/>
      <c r="OX6" s="125"/>
      <c r="OY6" s="125"/>
      <c r="OZ6" s="125"/>
      <c r="PA6" s="125"/>
      <c r="PB6" s="125"/>
      <c r="PC6" s="125"/>
      <c r="PD6" s="125"/>
      <c r="PE6" s="125"/>
      <c r="PF6" s="125"/>
      <c r="PG6" s="125"/>
      <c r="PH6" s="125"/>
      <c r="PI6" s="125"/>
      <c r="PJ6" s="125"/>
      <c r="PK6" s="125"/>
      <c r="PL6" s="125"/>
      <c r="PM6" s="125"/>
      <c r="PN6" s="125"/>
      <c r="PO6" s="125"/>
      <c r="PP6" s="125"/>
      <c r="PQ6" s="125"/>
      <c r="PR6" s="125"/>
      <c r="PS6" s="125"/>
      <c r="PT6" s="125"/>
      <c r="PU6" s="125"/>
      <c r="PV6" s="125"/>
      <c r="PW6" s="125"/>
      <c r="PX6" s="125"/>
      <c r="PY6" s="125"/>
      <c r="PZ6" s="125"/>
      <c r="QA6" s="125"/>
      <c r="QB6" s="125"/>
      <c r="QC6" s="125"/>
      <c r="QD6" s="125"/>
      <c r="QE6" s="125"/>
      <c r="QF6" s="125"/>
      <c r="QG6" s="125"/>
      <c r="QH6" s="125"/>
      <c r="QI6" s="125"/>
      <c r="QJ6" s="125"/>
      <c r="QK6" s="125"/>
      <c r="QL6" s="125"/>
      <c r="QM6" s="125"/>
      <c r="QN6" s="125"/>
      <c r="QO6" s="125"/>
      <c r="QP6" s="125"/>
      <c r="QQ6" s="125"/>
      <c r="QR6" s="125"/>
      <c r="QS6" s="125"/>
      <c r="QT6" s="125"/>
      <c r="QU6" s="125"/>
      <c r="QV6" s="125"/>
      <c r="QW6" s="125"/>
      <c r="QX6" s="125"/>
      <c r="QY6" s="125"/>
      <c r="QZ6" s="125"/>
    </row>
    <row r="7" spans="2:468" x14ac:dyDescent="0.2">
      <c r="B7" s="76" t="s">
        <v>28</v>
      </c>
      <c r="C7" s="127">
        <v>41517</v>
      </c>
      <c r="E7" s="128">
        <f>SUM(G7:KW7)</f>
        <v>1</v>
      </c>
      <c r="F7" s="122"/>
      <c r="G7" s="129">
        <f t="shared" ref="G7:BR7" si="5">(G$2&lt;=$C7)*(H$2&gt;$C7)</f>
        <v>0</v>
      </c>
      <c r="H7" s="129">
        <f t="shared" si="5"/>
        <v>0</v>
      </c>
      <c r="I7" s="129">
        <f t="shared" si="5"/>
        <v>0</v>
      </c>
      <c r="J7" s="129">
        <f t="shared" si="5"/>
        <v>0</v>
      </c>
      <c r="K7" s="129">
        <f t="shared" si="5"/>
        <v>0</v>
      </c>
      <c r="L7" s="129">
        <f t="shared" si="5"/>
        <v>0</v>
      </c>
      <c r="M7" s="129">
        <f t="shared" si="5"/>
        <v>0</v>
      </c>
      <c r="N7" s="129">
        <f t="shared" si="5"/>
        <v>0</v>
      </c>
      <c r="O7" s="129">
        <f t="shared" si="5"/>
        <v>1</v>
      </c>
      <c r="P7" s="129">
        <f t="shared" si="5"/>
        <v>0</v>
      </c>
      <c r="Q7" s="129">
        <f t="shared" si="5"/>
        <v>0</v>
      </c>
      <c r="R7" s="129">
        <f t="shared" si="5"/>
        <v>0</v>
      </c>
      <c r="S7" s="129">
        <f t="shared" si="5"/>
        <v>0</v>
      </c>
      <c r="T7" s="129">
        <f t="shared" si="5"/>
        <v>0</v>
      </c>
      <c r="U7" s="129">
        <f t="shared" si="5"/>
        <v>0</v>
      </c>
      <c r="V7" s="129">
        <f t="shared" si="5"/>
        <v>0</v>
      </c>
      <c r="W7" s="129">
        <f t="shared" si="5"/>
        <v>0</v>
      </c>
      <c r="X7" s="129">
        <f t="shared" si="5"/>
        <v>0</v>
      </c>
      <c r="Y7" s="129">
        <f t="shared" si="5"/>
        <v>0</v>
      </c>
      <c r="Z7" s="129">
        <f t="shared" si="5"/>
        <v>0</v>
      </c>
      <c r="AA7" s="129">
        <f t="shared" si="5"/>
        <v>0</v>
      </c>
      <c r="AB7" s="129">
        <f t="shared" si="5"/>
        <v>0</v>
      </c>
      <c r="AC7" s="129">
        <f t="shared" si="5"/>
        <v>0</v>
      </c>
      <c r="AD7" s="129">
        <f t="shared" si="5"/>
        <v>0</v>
      </c>
      <c r="AE7" s="129">
        <f t="shared" si="5"/>
        <v>0</v>
      </c>
      <c r="AF7" s="129">
        <f t="shared" si="5"/>
        <v>0</v>
      </c>
      <c r="AG7" s="129">
        <f t="shared" si="5"/>
        <v>0</v>
      </c>
      <c r="AH7" s="129">
        <f t="shared" si="5"/>
        <v>0</v>
      </c>
      <c r="AI7" s="129">
        <f t="shared" si="5"/>
        <v>0</v>
      </c>
      <c r="AJ7" s="129">
        <f t="shared" si="5"/>
        <v>0</v>
      </c>
      <c r="AK7" s="129">
        <f t="shared" si="5"/>
        <v>0</v>
      </c>
      <c r="AL7" s="129">
        <f t="shared" si="5"/>
        <v>0</v>
      </c>
      <c r="AM7" s="129">
        <f t="shared" si="5"/>
        <v>0</v>
      </c>
      <c r="AN7" s="129">
        <f t="shared" si="5"/>
        <v>0</v>
      </c>
      <c r="AO7" s="129">
        <f t="shared" si="5"/>
        <v>0</v>
      </c>
      <c r="AP7" s="129">
        <f t="shared" si="5"/>
        <v>0</v>
      </c>
      <c r="AQ7" s="129">
        <f t="shared" si="5"/>
        <v>0</v>
      </c>
      <c r="AR7" s="129">
        <f t="shared" si="5"/>
        <v>0</v>
      </c>
      <c r="AS7" s="129">
        <f t="shared" si="5"/>
        <v>0</v>
      </c>
      <c r="AT7" s="129">
        <f t="shared" si="5"/>
        <v>0</v>
      </c>
      <c r="AU7" s="129">
        <f t="shared" si="5"/>
        <v>0</v>
      </c>
      <c r="AV7" s="129">
        <f t="shared" si="5"/>
        <v>0</v>
      </c>
      <c r="AW7" s="129">
        <f t="shared" si="5"/>
        <v>0</v>
      </c>
      <c r="AX7" s="129">
        <f t="shared" si="5"/>
        <v>0</v>
      </c>
      <c r="AY7" s="129">
        <f t="shared" si="5"/>
        <v>0</v>
      </c>
      <c r="AZ7" s="129">
        <f t="shared" si="5"/>
        <v>0</v>
      </c>
      <c r="BA7" s="129">
        <f t="shared" si="5"/>
        <v>0</v>
      </c>
      <c r="BB7" s="129">
        <f t="shared" si="5"/>
        <v>0</v>
      </c>
      <c r="BC7" s="129">
        <f t="shared" si="5"/>
        <v>0</v>
      </c>
      <c r="BD7" s="129">
        <f t="shared" si="5"/>
        <v>0</v>
      </c>
      <c r="BE7" s="129">
        <f t="shared" si="5"/>
        <v>0</v>
      </c>
      <c r="BF7" s="129">
        <f t="shared" si="5"/>
        <v>0</v>
      </c>
      <c r="BG7" s="129">
        <f t="shared" si="5"/>
        <v>0</v>
      </c>
      <c r="BH7" s="129">
        <f t="shared" si="5"/>
        <v>0</v>
      </c>
      <c r="BI7" s="129">
        <f t="shared" si="5"/>
        <v>0</v>
      </c>
      <c r="BJ7" s="129">
        <f t="shared" si="5"/>
        <v>0</v>
      </c>
      <c r="BK7" s="129">
        <f t="shared" si="5"/>
        <v>0</v>
      </c>
      <c r="BL7" s="129">
        <f t="shared" si="5"/>
        <v>0</v>
      </c>
      <c r="BM7" s="129">
        <f t="shared" si="5"/>
        <v>0</v>
      </c>
      <c r="BN7" s="129">
        <f t="shared" si="5"/>
        <v>0</v>
      </c>
      <c r="BO7" s="129">
        <f t="shared" si="5"/>
        <v>0</v>
      </c>
      <c r="BP7" s="129">
        <f t="shared" si="5"/>
        <v>0</v>
      </c>
      <c r="BQ7" s="129">
        <f t="shared" si="5"/>
        <v>0</v>
      </c>
      <c r="BR7" s="129">
        <f t="shared" si="5"/>
        <v>0</v>
      </c>
      <c r="BS7" s="129">
        <f t="shared" ref="BS7:ED7" si="6">(BS$2&lt;=$C7)*(BT$2&gt;$C7)</f>
        <v>0</v>
      </c>
      <c r="BT7" s="129">
        <f t="shared" si="6"/>
        <v>0</v>
      </c>
      <c r="BU7" s="129">
        <f t="shared" si="6"/>
        <v>0</v>
      </c>
      <c r="BV7" s="129">
        <f t="shared" si="6"/>
        <v>0</v>
      </c>
      <c r="BW7" s="129">
        <f t="shared" si="6"/>
        <v>0</v>
      </c>
      <c r="BX7" s="129">
        <f t="shared" si="6"/>
        <v>0</v>
      </c>
      <c r="BY7" s="129">
        <f t="shared" si="6"/>
        <v>0</v>
      </c>
      <c r="BZ7" s="129">
        <f t="shared" si="6"/>
        <v>0</v>
      </c>
      <c r="CA7" s="129">
        <f t="shared" si="6"/>
        <v>0</v>
      </c>
      <c r="CB7" s="129">
        <f t="shared" si="6"/>
        <v>0</v>
      </c>
      <c r="CC7" s="129">
        <f t="shared" si="6"/>
        <v>0</v>
      </c>
      <c r="CD7" s="129">
        <f t="shared" si="6"/>
        <v>0</v>
      </c>
      <c r="CE7" s="129">
        <f t="shared" si="6"/>
        <v>0</v>
      </c>
      <c r="CF7" s="129">
        <f t="shared" si="6"/>
        <v>0</v>
      </c>
      <c r="CG7" s="129">
        <f t="shared" si="6"/>
        <v>0</v>
      </c>
      <c r="CH7" s="129">
        <f t="shared" si="6"/>
        <v>0</v>
      </c>
      <c r="CI7" s="129">
        <f t="shared" si="6"/>
        <v>0</v>
      </c>
      <c r="CJ7" s="129">
        <f t="shared" si="6"/>
        <v>0</v>
      </c>
      <c r="CK7" s="129">
        <f t="shared" si="6"/>
        <v>0</v>
      </c>
      <c r="CL7" s="129">
        <f t="shared" si="6"/>
        <v>0</v>
      </c>
      <c r="CM7" s="129">
        <f t="shared" si="6"/>
        <v>0</v>
      </c>
      <c r="CN7" s="129">
        <f t="shared" si="6"/>
        <v>0</v>
      </c>
      <c r="CO7" s="129">
        <f t="shared" si="6"/>
        <v>0</v>
      </c>
      <c r="CP7" s="129">
        <f t="shared" si="6"/>
        <v>0</v>
      </c>
      <c r="CQ7" s="129">
        <f t="shared" si="6"/>
        <v>0</v>
      </c>
      <c r="CR7" s="129">
        <f t="shared" si="6"/>
        <v>0</v>
      </c>
      <c r="CS7" s="129">
        <f t="shared" si="6"/>
        <v>0</v>
      </c>
      <c r="CT7" s="129">
        <f t="shared" si="6"/>
        <v>0</v>
      </c>
      <c r="CU7" s="129">
        <f t="shared" si="6"/>
        <v>0</v>
      </c>
      <c r="CV7" s="129">
        <f t="shared" si="6"/>
        <v>0</v>
      </c>
      <c r="CW7" s="129">
        <f t="shared" si="6"/>
        <v>0</v>
      </c>
      <c r="CX7" s="129">
        <f t="shared" si="6"/>
        <v>0</v>
      </c>
      <c r="CY7" s="129">
        <f t="shared" si="6"/>
        <v>0</v>
      </c>
      <c r="CZ7" s="129">
        <f t="shared" si="6"/>
        <v>0</v>
      </c>
      <c r="DA7" s="129">
        <f t="shared" si="6"/>
        <v>0</v>
      </c>
      <c r="DB7" s="129">
        <f t="shared" si="6"/>
        <v>0</v>
      </c>
      <c r="DC7" s="129">
        <f t="shared" si="6"/>
        <v>0</v>
      </c>
      <c r="DD7" s="129">
        <f t="shared" si="6"/>
        <v>0</v>
      </c>
      <c r="DE7" s="129">
        <f t="shared" si="6"/>
        <v>0</v>
      </c>
      <c r="DF7" s="129">
        <f t="shared" si="6"/>
        <v>0</v>
      </c>
      <c r="DG7" s="129">
        <f t="shared" si="6"/>
        <v>0</v>
      </c>
      <c r="DH7" s="129">
        <f t="shared" si="6"/>
        <v>0</v>
      </c>
      <c r="DI7" s="129">
        <f t="shared" si="6"/>
        <v>0</v>
      </c>
      <c r="DJ7" s="129">
        <f t="shared" si="6"/>
        <v>0</v>
      </c>
      <c r="DK7" s="129">
        <f t="shared" si="6"/>
        <v>0</v>
      </c>
      <c r="DL7" s="129">
        <f t="shared" si="6"/>
        <v>0</v>
      </c>
      <c r="DM7" s="129">
        <f t="shared" si="6"/>
        <v>0</v>
      </c>
      <c r="DN7" s="129">
        <f t="shared" si="6"/>
        <v>0</v>
      </c>
      <c r="DO7" s="129">
        <f t="shared" si="6"/>
        <v>0</v>
      </c>
      <c r="DP7" s="129">
        <f t="shared" si="6"/>
        <v>0</v>
      </c>
      <c r="DQ7" s="129">
        <f t="shared" si="6"/>
        <v>0</v>
      </c>
      <c r="DR7" s="129">
        <f t="shared" si="6"/>
        <v>0</v>
      </c>
      <c r="DS7" s="129">
        <f t="shared" si="6"/>
        <v>0</v>
      </c>
      <c r="DT7" s="129">
        <f t="shared" si="6"/>
        <v>0</v>
      </c>
      <c r="DU7" s="129">
        <f t="shared" si="6"/>
        <v>0</v>
      </c>
      <c r="DV7" s="129">
        <f t="shared" si="6"/>
        <v>0</v>
      </c>
      <c r="DW7" s="129">
        <f t="shared" si="6"/>
        <v>0</v>
      </c>
      <c r="DX7" s="129">
        <f t="shared" si="6"/>
        <v>0</v>
      </c>
      <c r="DY7" s="129">
        <f t="shared" si="6"/>
        <v>0</v>
      </c>
      <c r="DZ7" s="129">
        <f t="shared" si="6"/>
        <v>0</v>
      </c>
      <c r="EA7" s="129">
        <f t="shared" si="6"/>
        <v>0</v>
      </c>
      <c r="EB7" s="129">
        <f t="shared" si="6"/>
        <v>0</v>
      </c>
      <c r="EC7" s="129">
        <f t="shared" si="6"/>
        <v>0</v>
      </c>
      <c r="ED7" s="129">
        <f t="shared" si="6"/>
        <v>0</v>
      </c>
      <c r="EE7" s="129">
        <f t="shared" ref="EE7:GP7" si="7">(EE$2&lt;=$C7)*(EF$2&gt;$C7)</f>
        <v>0</v>
      </c>
      <c r="EF7" s="129">
        <f t="shared" si="7"/>
        <v>0</v>
      </c>
      <c r="EG7" s="129">
        <f t="shared" si="7"/>
        <v>0</v>
      </c>
      <c r="EH7" s="129">
        <f t="shared" si="7"/>
        <v>0</v>
      </c>
      <c r="EI7" s="129">
        <f t="shared" si="7"/>
        <v>0</v>
      </c>
      <c r="EJ7" s="129">
        <f t="shared" si="7"/>
        <v>0</v>
      </c>
      <c r="EK7" s="129">
        <f t="shared" si="7"/>
        <v>0</v>
      </c>
      <c r="EL7" s="129">
        <f t="shared" si="7"/>
        <v>0</v>
      </c>
      <c r="EM7" s="129">
        <f t="shared" si="7"/>
        <v>0</v>
      </c>
      <c r="EN7" s="129">
        <f t="shared" si="7"/>
        <v>0</v>
      </c>
      <c r="EO7" s="129">
        <f t="shared" si="7"/>
        <v>0</v>
      </c>
      <c r="EP7" s="129">
        <f t="shared" si="7"/>
        <v>0</v>
      </c>
      <c r="EQ7" s="129">
        <f t="shared" si="7"/>
        <v>0</v>
      </c>
      <c r="ER7" s="129">
        <f t="shared" si="7"/>
        <v>0</v>
      </c>
      <c r="ES7" s="129">
        <f t="shared" si="7"/>
        <v>0</v>
      </c>
      <c r="ET7" s="129">
        <f t="shared" si="7"/>
        <v>0</v>
      </c>
      <c r="EU7" s="129">
        <f t="shared" si="7"/>
        <v>0</v>
      </c>
      <c r="EV7" s="129">
        <f t="shared" si="7"/>
        <v>0</v>
      </c>
      <c r="EW7" s="129">
        <f t="shared" si="7"/>
        <v>0</v>
      </c>
      <c r="EX7" s="129">
        <f t="shared" si="7"/>
        <v>0</v>
      </c>
      <c r="EY7" s="129">
        <f t="shared" si="7"/>
        <v>0</v>
      </c>
      <c r="EZ7" s="129">
        <f t="shared" si="7"/>
        <v>0</v>
      </c>
      <c r="FA7" s="129">
        <f t="shared" si="7"/>
        <v>0</v>
      </c>
      <c r="FB7" s="129">
        <f t="shared" si="7"/>
        <v>0</v>
      </c>
      <c r="FC7" s="129">
        <f t="shared" si="7"/>
        <v>0</v>
      </c>
      <c r="FD7" s="129">
        <f t="shared" si="7"/>
        <v>0</v>
      </c>
      <c r="FE7" s="129">
        <f t="shared" si="7"/>
        <v>0</v>
      </c>
      <c r="FF7" s="129">
        <f t="shared" si="7"/>
        <v>0</v>
      </c>
      <c r="FG7" s="129">
        <f t="shared" si="7"/>
        <v>0</v>
      </c>
      <c r="FH7" s="129">
        <f t="shared" si="7"/>
        <v>0</v>
      </c>
      <c r="FI7" s="129">
        <f t="shared" si="7"/>
        <v>0</v>
      </c>
      <c r="FJ7" s="129">
        <f t="shared" si="7"/>
        <v>0</v>
      </c>
      <c r="FK7" s="129">
        <f t="shared" si="7"/>
        <v>0</v>
      </c>
      <c r="FL7" s="129">
        <f t="shared" si="7"/>
        <v>0</v>
      </c>
      <c r="FM7" s="129">
        <f t="shared" si="7"/>
        <v>0</v>
      </c>
      <c r="FN7" s="129">
        <f t="shared" si="7"/>
        <v>0</v>
      </c>
      <c r="FO7" s="129">
        <f t="shared" si="7"/>
        <v>0</v>
      </c>
      <c r="FP7" s="129">
        <f t="shared" si="7"/>
        <v>0</v>
      </c>
      <c r="FQ7" s="129">
        <f t="shared" si="7"/>
        <v>0</v>
      </c>
      <c r="FR7" s="129">
        <f t="shared" si="7"/>
        <v>0</v>
      </c>
      <c r="FS7" s="129">
        <f t="shared" si="7"/>
        <v>0</v>
      </c>
      <c r="FT7" s="129">
        <f t="shared" si="7"/>
        <v>0</v>
      </c>
      <c r="FU7" s="129">
        <f t="shared" si="7"/>
        <v>0</v>
      </c>
      <c r="FV7" s="129">
        <f t="shared" si="7"/>
        <v>0</v>
      </c>
      <c r="FW7" s="129">
        <f t="shared" si="7"/>
        <v>0</v>
      </c>
      <c r="FX7" s="129">
        <f t="shared" si="7"/>
        <v>0</v>
      </c>
      <c r="FY7" s="129">
        <f t="shared" si="7"/>
        <v>0</v>
      </c>
      <c r="FZ7" s="129">
        <f t="shared" si="7"/>
        <v>0</v>
      </c>
      <c r="GA7" s="129">
        <f t="shared" si="7"/>
        <v>0</v>
      </c>
      <c r="GB7" s="129">
        <f t="shared" si="7"/>
        <v>0</v>
      </c>
      <c r="GC7" s="129">
        <f t="shared" si="7"/>
        <v>0</v>
      </c>
      <c r="GD7" s="129">
        <f t="shared" si="7"/>
        <v>0</v>
      </c>
      <c r="GE7" s="129">
        <f t="shared" si="7"/>
        <v>0</v>
      </c>
      <c r="GF7" s="129">
        <f t="shared" si="7"/>
        <v>0</v>
      </c>
      <c r="GG7" s="129">
        <f t="shared" si="7"/>
        <v>0</v>
      </c>
      <c r="GH7" s="129">
        <f t="shared" si="7"/>
        <v>0</v>
      </c>
      <c r="GI7" s="129">
        <f t="shared" si="7"/>
        <v>0</v>
      </c>
      <c r="GJ7" s="129">
        <f t="shared" si="7"/>
        <v>0</v>
      </c>
      <c r="GK7" s="129">
        <f t="shared" si="7"/>
        <v>0</v>
      </c>
      <c r="GL7" s="129">
        <f t="shared" si="7"/>
        <v>0</v>
      </c>
      <c r="GM7" s="129">
        <f t="shared" si="7"/>
        <v>0</v>
      </c>
      <c r="GN7" s="129">
        <f t="shared" si="7"/>
        <v>0</v>
      </c>
      <c r="GO7" s="129">
        <f t="shared" si="7"/>
        <v>0</v>
      </c>
      <c r="GP7" s="129">
        <f t="shared" si="7"/>
        <v>0</v>
      </c>
      <c r="GQ7" s="129">
        <f t="shared" ref="GQ7:JB7" si="8">(GQ$2&lt;=$C7)*(GR$2&gt;$C7)</f>
        <v>0</v>
      </c>
      <c r="GR7" s="129">
        <f t="shared" si="8"/>
        <v>0</v>
      </c>
      <c r="GS7" s="129">
        <f t="shared" si="8"/>
        <v>0</v>
      </c>
      <c r="GT7" s="129">
        <f t="shared" si="8"/>
        <v>0</v>
      </c>
      <c r="GU7" s="129">
        <f t="shared" si="8"/>
        <v>0</v>
      </c>
      <c r="GV7" s="129">
        <f t="shared" si="8"/>
        <v>0</v>
      </c>
      <c r="GW7" s="129">
        <f t="shared" si="8"/>
        <v>0</v>
      </c>
      <c r="GX7" s="129">
        <f t="shared" si="8"/>
        <v>0</v>
      </c>
      <c r="GY7" s="129">
        <f t="shared" si="8"/>
        <v>0</v>
      </c>
      <c r="GZ7" s="129">
        <f t="shared" si="8"/>
        <v>0</v>
      </c>
      <c r="HA7" s="129">
        <f t="shared" si="8"/>
        <v>0</v>
      </c>
      <c r="HB7" s="129">
        <f t="shared" si="8"/>
        <v>0</v>
      </c>
      <c r="HC7" s="129">
        <f t="shared" si="8"/>
        <v>0</v>
      </c>
      <c r="HD7" s="129">
        <f t="shared" si="8"/>
        <v>0</v>
      </c>
      <c r="HE7" s="129">
        <f t="shared" si="8"/>
        <v>0</v>
      </c>
      <c r="HF7" s="129">
        <f t="shared" si="8"/>
        <v>0</v>
      </c>
      <c r="HG7" s="129">
        <f t="shared" si="8"/>
        <v>0</v>
      </c>
      <c r="HH7" s="129">
        <f t="shared" si="8"/>
        <v>0</v>
      </c>
      <c r="HI7" s="129">
        <f t="shared" si="8"/>
        <v>0</v>
      </c>
      <c r="HJ7" s="129">
        <f t="shared" si="8"/>
        <v>0</v>
      </c>
      <c r="HK7" s="129">
        <f t="shared" si="8"/>
        <v>0</v>
      </c>
      <c r="HL7" s="129">
        <f t="shared" si="8"/>
        <v>0</v>
      </c>
      <c r="HM7" s="129">
        <f t="shared" si="8"/>
        <v>0</v>
      </c>
      <c r="HN7" s="129">
        <f t="shared" si="8"/>
        <v>0</v>
      </c>
      <c r="HO7" s="129">
        <f t="shared" si="8"/>
        <v>0</v>
      </c>
      <c r="HP7" s="129">
        <f t="shared" si="8"/>
        <v>0</v>
      </c>
      <c r="HQ7" s="129">
        <f t="shared" si="8"/>
        <v>0</v>
      </c>
      <c r="HR7" s="129">
        <f t="shared" si="8"/>
        <v>0</v>
      </c>
      <c r="HS7" s="129">
        <f t="shared" si="8"/>
        <v>0</v>
      </c>
      <c r="HT7" s="129">
        <f t="shared" si="8"/>
        <v>0</v>
      </c>
      <c r="HU7" s="129">
        <f t="shared" si="8"/>
        <v>0</v>
      </c>
      <c r="HV7" s="129">
        <f t="shared" si="8"/>
        <v>0</v>
      </c>
      <c r="HW7" s="129">
        <f t="shared" si="8"/>
        <v>0</v>
      </c>
      <c r="HX7" s="129">
        <f t="shared" si="8"/>
        <v>0</v>
      </c>
      <c r="HY7" s="129">
        <f t="shared" si="8"/>
        <v>0</v>
      </c>
      <c r="HZ7" s="129">
        <f t="shared" si="8"/>
        <v>0</v>
      </c>
      <c r="IA7" s="129">
        <f t="shared" si="8"/>
        <v>0</v>
      </c>
      <c r="IB7" s="129">
        <f t="shared" si="8"/>
        <v>0</v>
      </c>
      <c r="IC7" s="129">
        <f t="shared" si="8"/>
        <v>0</v>
      </c>
      <c r="ID7" s="129">
        <f t="shared" si="8"/>
        <v>0</v>
      </c>
      <c r="IE7" s="129">
        <f t="shared" si="8"/>
        <v>0</v>
      </c>
      <c r="IF7" s="129">
        <f t="shared" si="8"/>
        <v>0</v>
      </c>
      <c r="IG7" s="129">
        <f t="shared" si="8"/>
        <v>0</v>
      </c>
      <c r="IH7" s="129">
        <f t="shared" si="8"/>
        <v>0</v>
      </c>
      <c r="II7" s="129">
        <f t="shared" si="8"/>
        <v>0</v>
      </c>
      <c r="IJ7" s="129">
        <f t="shared" si="8"/>
        <v>0</v>
      </c>
      <c r="IK7" s="129">
        <f t="shared" si="8"/>
        <v>0</v>
      </c>
      <c r="IL7" s="129">
        <f t="shared" si="8"/>
        <v>0</v>
      </c>
      <c r="IM7" s="129">
        <f t="shared" si="8"/>
        <v>0</v>
      </c>
      <c r="IN7" s="129">
        <f t="shared" si="8"/>
        <v>0</v>
      </c>
      <c r="IO7" s="129">
        <f t="shared" si="8"/>
        <v>0</v>
      </c>
      <c r="IP7" s="129">
        <f t="shared" si="8"/>
        <v>0</v>
      </c>
      <c r="IQ7" s="129">
        <f t="shared" si="8"/>
        <v>0</v>
      </c>
      <c r="IR7" s="129">
        <f t="shared" si="8"/>
        <v>0</v>
      </c>
      <c r="IS7" s="129">
        <f t="shared" si="8"/>
        <v>0</v>
      </c>
      <c r="IT7" s="129">
        <f t="shared" si="8"/>
        <v>0</v>
      </c>
      <c r="IU7" s="129">
        <f t="shared" si="8"/>
        <v>0</v>
      </c>
      <c r="IV7" s="129">
        <f t="shared" si="8"/>
        <v>0</v>
      </c>
      <c r="IW7" s="129">
        <f t="shared" si="8"/>
        <v>0</v>
      </c>
      <c r="IX7" s="129">
        <f t="shared" si="8"/>
        <v>0</v>
      </c>
      <c r="IY7" s="129">
        <f t="shared" si="8"/>
        <v>0</v>
      </c>
      <c r="IZ7" s="129">
        <f t="shared" si="8"/>
        <v>0</v>
      </c>
      <c r="JA7" s="129">
        <f t="shared" si="8"/>
        <v>0</v>
      </c>
      <c r="JB7" s="129">
        <f t="shared" si="8"/>
        <v>0</v>
      </c>
      <c r="JC7" s="129">
        <f t="shared" ref="JC7:KW7" si="9">(JC$2&lt;=$C7)*(JD$2&gt;$C7)</f>
        <v>0</v>
      </c>
      <c r="JD7" s="129">
        <f t="shared" si="9"/>
        <v>0</v>
      </c>
      <c r="JE7" s="129">
        <f t="shared" si="9"/>
        <v>0</v>
      </c>
      <c r="JF7" s="129">
        <f t="shared" si="9"/>
        <v>0</v>
      </c>
      <c r="JG7" s="129">
        <f t="shared" si="9"/>
        <v>0</v>
      </c>
      <c r="JH7" s="129">
        <f t="shared" si="9"/>
        <v>0</v>
      </c>
      <c r="JI7" s="129">
        <f t="shared" si="9"/>
        <v>0</v>
      </c>
      <c r="JJ7" s="129">
        <f t="shared" si="9"/>
        <v>0</v>
      </c>
      <c r="JK7" s="129">
        <f t="shared" si="9"/>
        <v>0</v>
      </c>
      <c r="JL7" s="129">
        <f t="shared" si="9"/>
        <v>0</v>
      </c>
      <c r="JM7" s="129">
        <f t="shared" si="9"/>
        <v>0</v>
      </c>
      <c r="JN7" s="129">
        <f t="shared" si="9"/>
        <v>0</v>
      </c>
      <c r="JO7" s="129">
        <f t="shared" si="9"/>
        <v>0</v>
      </c>
      <c r="JP7" s="129">
        <f t="shared" si="9"/>
        <v>0</v>
      </c>
      <c r="JQ7" s="129">
        <f t="shared" si="9"/>
        <v>0</v>
      </c>
      <c r="JR7" s="129">
        <f t="shared" si="9"/>
        <v>0</v>
      </c>
      <c r="JS7" s="129">
        <f t="shared" si="9"/>
        <v>0</v>
      </c>
      <c r="JT7" s="129">
        <f t="shared" si="9"/>
        <v>0</v>
      </c>
      <c r="JU7" s="129">
        <f t="shared" si="9"/>
        <v>0</v>
      </c>
      <c r="JV7" s="129">
        <f t="shared" si="9"/>
        <v>0</v>
      </c>
      <c r="JW7" s="129">
        <f t="shared" si="9"/>
        <v>0</v>
      </c>
      <c r="JX7" s="129">
        <f t="shared" si="9"/>
        <v>0</v>
      </c>
      <c r="JY7" s="129">
        <f t="shared" si="9"/>
        <v>0</v>
      </c>
      <c r="JZ7" s="129">
        <f t="shared" si="9"/>
        <v>0</v>
      </c>
      <c r="KA7" s="129">
        <f t="shared" si="9"/>
        <v>0</v>
      </c>
      <c r="KB7" s="129">
        <f t="shared" si="9"/>
        <v>0</v>
      </c>
      <c r="KC7" s="129">
        <f t="shared" si="9"/>
        <v>0</v>
      </c>
      <c r="KD7" s="129">
        <f t="shared" si="9"/>
        <v>0</v>
      </c>
      <c r="KE7" s="129">
        <f t="shared" si="9"/>
        <v>0</v>
      </c>
      <c r="KF7" s="129">
        <f t="shared" si="9"/>
        <v>0</v>
      </c>
      <c r="KG7" s="129">
        <f t="shared" si="9"/>
        <v>0</v>
      </c>
      <c r="KH7" s="129">
        <f t="shared" si="9"/>
        <v>0</v>
      </c>
      <c r="KI7" s="129">
        <f t="shared" si="9"/>
        <v>0</v>
      </c>
      <c r="KJ7" s="129">
        <f t="shared" si="9"/>
        <v>0</v>
      </c>
      <c r="KK7" s="129">
        <f t="shared" si="9"/>
        <v>0</v>
      </c>
      <c r="KL7" s="129">
        <f t="shared" si="9"/>
        <v>0</v>
      </c>
      <c r="KM7" s="129">
        <f t="shared" si="9"/>
        <v>0</v>
      </c>
      <c r="KN7" s="129">
        <f t="shared" si="9"/>
        <v>0</v>
      </c>
      <c r="KO7" s="129">
        <f t="shared" si="9"/>
        <v>0</v>
      </c>
      <c r="KP7" s="129">
        <f t="shared" si="9"/>
        <v>0</v>
      </c>
      <c r="KQ7" s="129">
        <f t="shared" si="9"/>
        <v>0</v>
      </c>
      <c r="KR7" s="129">
        <f t="shared" si="9"/>
        <v>0</v>
      </c>
      <c r="KS7" s="129">
        <f t="shared" si="9"/>
        <v>0</v>
      </c>
      <c r="KT7" s="129">
        <f t="shared" si="9"/>
        <v>0</v>
      </c>
      <c r="KU7" s="129">
        <f t="shared" si="9"/>
        <v>0</v>
      </c>
      <c r="KV7" s="129">
        <f t="shared" si="9"/>
        <v>0</v>
      </c>
      <c r="KW7" s="129">
        <f t="shared" si="9"/>
        <v>0</v>
      </c>
      <c r="KX7" s="125"/>
      <c r="KY7" s="125"/>
      <c r="KZ7" s="125"/>
      <c r="LA7" s="125"/>
      <c r="LB7" s="125"/>
      <c r="LC7" s="125"/>
      <c r="LD7" s="125"/>
      <c r="LE7" s="125"/>
      <c r="LF7" s="125"/>
      <c r="LG7" s="125"/>
      <c r="LH7" s="125"/>
      <c r="LI7" s="125"/>
      <c r="LJ7" s="125"/>
      <c r="LK7" s="125"/>
      <c r="LL7" s="125"/>
      <c r="LM7" s="125"/>
      <c r="LN7" s="125"/>
      <c r="LO7" s="125"/>
      <c r="LP7" s="125"/>
      <c r="LQ7" s="125"/>
      <c r="LR7" s="125"/>
      <c r="LS7" s="125"/>
      <c r="LT7" s="125"/>
      <c r="LU7" s="125"/>
      <c r="LV7" s="125"/>
      <c r="LW7" s="125"/>
      <c r="LX7" s="125"/>
      <c r="LY7" s="125"/>
      <c r="LZ7" s="125"/>
      <c r="MA7" s="125"/>
      <c r="MB7" s="125"/>
      <c r="MC7" s="125"/>
      <c r="MD7" s="125"/>
      <c r="ME7" s="125"/>
      <c r="MF7" s="125"/>
      <c r="MG7" s="125"/>
      <c r="MH7" s="125"/>
      <c r="MI7" s="125"/>
      <c r="MJ7" s="125"/>
      <c r="MK7" s="125"/>
      <c r="ML7" s="125"/>
      <c r="MM7" s="125"/>
      <c r="MN7" s="125"/>
      <c r="MO7" s="125"/>
      <c r="MP7" s="125"/>
      <c r="MQ7" s="125"/>
      <c r="MR7" s="125"/>
      <c r="MS7" s="125"/>
      <c r="MT7" s="125"/>
      <c r="MU7" s="125"/>
      <c r="MV7" s="125"/>
      <c r="MW7" s="125"/>
      <c r="MX7" s="125"/>
      <c r="MY7" s="125"/>
      <c r="MZ7" s="125"/>
      <c r="NA7" s="125"/>
      <c r="NB7" s="125"/>
      <c r="NC7" s="125"/>
      <c r="ND7" s="125"/>
      <c r="NE7" s="125"/>
      <c r="NF7" s="125"/>
      <c r="NG7" s="125"/>
      <c r="NH7" s="125"/>
      <c r="NI7" s="125"/>
      <c r="NJ7" s="125"/>
      <c r="NK7" s="125"/>
      <c r="NL7" s="125"/>
      <c r="NM7" s="125"/>
      <c r="NN7" s="125"/>
      <c r="NO7" s="125"/>
      <c r="NP7" s="125"/>
      <c r="NQ7" s="125"/>
      <c r="NR7" s="125"/>
      <c r="NS7" s="125"/>
      <c r="NT7" s="125"/>
      <c r="NU7" s="125"/>
      <c r="NV7" s="125"/>
      <c r="NW7" s="125"/>
      <c r="NX7" s="125"/>
      <c r="NY7" s="125"/>
      <c r="NZ7" s="125"/>
      <c r="OA7" s="125"/>
      <c r="OB7" s="125"/>
      <c r="OC7" s="125"/>
      <c r="OD7" s="125"/>
      <c r="OE7" s="125"/>
      <c r="OF7" s="125"/>
      <c r="OG7" s="125"/>
      <c r="OH7" s="125"/>
      <c r="OI7" s="125"/>
      <c r="OJ7" s="125"/>
      <c r="OK7" s="125"/>
      <c r="OL7" s="125"/>
      <c r="OM7" s="125"/>
      <c r="ON7" s="125"/>
      <c r="OO7" s="125"/>
      <c r="OP7" s="125"/>
      <c r="OQ7" s="125"/>
      <c r="OR7" s="125"/>
      <c r="OS7" s="125"/>
      <c r="OT7" s="125"/>
      <c r="OU7" s="125"/>
      <c r="OV7" s="125"/>
      <c r="OW7" s="125"/>
      <c r="OX7" s="125"/>
      <c r="OY7" s="125"/>
      <c r="OZ7" s="125"/>
      <c r="PA7" s="125"/>
      <c r="PB7" s="125"/>
      <c r="PC7" s="125"/>
      <c r="PD7" s="125"/>
      <c r="PE7" s="125"/>
      <c r="PF7" s="125"/>
      <c r="PG7" s="125"/>
      <c r="PH7" s="125"/>
      <c r="PI7" s="125"/>
      <c r="PJ7" s="125"/>
      <c r="PK7" s="125"/>
      <c r="PL7" s="125"/>
      <c r="PM7" s="125"/>
      <c r="PN7" s="125"/>
      <c r="PO7" s="125"/>
      <c r="PP7" s="125"/>
      <c r="PQ7" s="125"/>
      <c r="PR7" s="125"/>
      <c r="PS7" s="125"/>
      <c r="PT7" s="125"/>
      <c r="PU7" s="125"/>
      <c r="PV7" s="125"/>
      <c r="PW7" s="125"/>
      <c r="PX7" s="125"/>
      <c r="PY7" s="125"/>
      <c r="PZ7" s="125"/>
      <c r="QA7" s="125"/>
      <c r="QB7" s="125"/>
      <c r="QC7" s="125"/>
      <c r="QD7" s="125"/>
      <c r="QE7" s="125"/>
      <c r="QF7" s="125"/>
      <c r="QG7" s="125"/>
      <c r="QH7" s="125"/>
      <c r="QI7" s="125"/>
      <c r="QJ7" s="125"/>
      <c r="QK7" s="125"/>
      <c r="QL7" s="125"/>
      <c r="QM7" s="125"/>
      <c r="QN7" s="125"/>
      <c r="QO7" s="125"/>
      <c r="QP7" s="125"/>
      <c r="QQ7" s="125"/>
      <c r="QR7" s="125"/>
      <c r="QS7" s="125"/>
      <c r="QT7" s="125"/>
      <c r="QU7" s="125"/>
      <c r="QV7" s="125"/>
      <c r="QW7" s="125"/>
      <c r="QX7" s="125"/>
      <c r="QY7" s="125"/>
      <c r="QZ7" s="125"/>
    </row>
    <row r="8" spans="2:468" x14ac:dyDescent="0.2">
      <c r="B8" s="76" t="s">
        <v>43</v>
      </c>
      <c r="C8" s="127">
        <v>41547</v>
      </c>
      <c r="D8" s="127">
        <v>41882</v>
      </c>
      <c r="E8" s="128">
        <f>SUM(G8:KW8)</f>
        <v>12</v>
      </c>
      <c r="G8" s="129">
        <f t="shared" ref="G8:BR8" si="10">(G$2&lt;=$D8)*(H$2&gt;$C8)</f>
        <v>0</v>
      </c>
      <c r="H8" s="129">
        <f t="shared" si="10"/>
        <v>0</v>
      </c>
      <c r="I8" s="129">
        <f t="shared" si="10"/>
        <v>0</v>
      </c>
      <c r="J8" s="129">
        <f t="shared" si="10"/>
        <v>0</v>
      </c>
      <c r="K8" s="129">
        <f t="shared" si="10"/>
        <v>0</v>
      </c>
      <c r="L8" s="129">
        <f t="shared" si="10"/>
        <v>0</v>
      </c>
      <c r="M8" s="129">
        <f t="shared" si="10"/>
        <v>0</v>
      </c>
      <c r="N8" s="129">
        <f t="shared" si="10"/>
        <v>0</v>
      </c>
      <c r="O8" s="129">
        <f t="shared" si="10"/>
        <v>0</v>
      </c>
      <c r="P8" s="129">
        <f t="shared" si="10"/>
        <v>1</v>
      </c>
      <c r="Q8" s="129">
        <f t="shared" si="10"/>
        <v>1</v>
      </c>
      <c r="R8" s="129">
        <f t="shared" si="10"/>
        <v>1</v>
      </c>
      <c r="S8" s="129">
        <f t="shared" si="10"/>
        <v>1</v>
      </c>
      <c r="T8" s="129">
        <f t="shared" si="10"/>
        <v>1</v>
      </c>
      <c r="U8" s="129">
        <f t="shared" si="10"/>
        <v>1</v>
      </c>
      <c r="V8" s="129">
        <f t="shared" si="10"/>
        <v>1</v>
      </c>
      <c r="W8" s="129">
        <f t="shared" si="10"/>
        <v>1</v>
      </c>
      <c r="X8" s="129">
        <f t="shared" si="10"/>
        <v>1</v>
      </c>
      <c r="Y8" s="129">
        <f t="shared" si="10"/>
        <v>1</v>
      </c>
      <c r="Z8" s="129">
        <f t="shared" si="10"/>
        <v>1</v>
      </c>
      <c r="AA8" s="129">
        <f t="shared" si="10"/>
        <v>1</v>
      </c>
      <c r="AB8" s="129">
        <f t="shared" si="10"/>
        <v>0</v>
      </c>
      <c r="AC8" s="129">
        <f t="shared" si="10"/>
        <v>0</v>
      </c>
      <c r="AD8" s="129">
        <f t="shared" si="10"/>
        <v>0</v>
      </c>
      <c r="AE8" s="129">
        <f t="shared" si="10"/>
        <v>0</v>
      </c>
      <c r="AF8" s="129">
        <f t="shared" si="10"/>
        <v>0</v>
      </c>
      <c r="AG8" s="129">
        <f t="shared" si="10"/>
        <v>0</v>
      </c>
      <c r="AH8" s="129">
        <f t="shared" si="10"/>
        <v>0</v>
      </c>
      <c r="AI8" s="129">
        <f t="shared" si="10"/>
        <v>0</v>
      </c>
      <c r="AJ8" s="129">
        <f t="shared" si="10"/>
        <v>0</v>
      </c>
      <c r="AK8" s="129">
        <f t="shared" si="10"/>
        <v>0</v>
      </c>
      <c r="AL8" s="129">
        <f t="shared" si="10"/>
        <v>0</v>
      </c>
      <c r="AM8" s="129">
        <f t="shared" si="10"/>
        <v>0</v>
      </c>
      <c r="AN8" s="129">
        <f t="shared" si="10"/>
        <v>0</v>
      </c>
      <c r="AO8" s="129">
        <f t="shared" si="10"/>
        <v>0</v>
      </c>
      <c r="AP8" s="129">
        <f t="shared" si="10"/>
        <v>0</v>
      </c>
      <c r="AQ8" s="129">
        <f t="shared" si="10"/>
        <v>0</v>
      </c>
      <c r="AR8" s="129">
        <f t="shared" si="10"/>
        <v>0</v>
      </c>
      <c r="AS8" s="129">
        <f t="shared" si="10"/>
        <v>0</v>
      </c>
      <c r="AT8" s="129">
        <f t="shared" si="10"/>
        <v>0</v>
      </c>
      <c r="AU8" s="129">
        <f t="shared" si="10"/>
        <v>0</v>
      </c>
      <c r="AV8" s="129">
        <f t="shared" si="10"/>
        <v>0</v>
      </c>
      <c r="AW8" s="129">
        <f t="shared" si="10"/>
        <v>0</v>
      </c>
      <c r="AX8" s="129">
        <f t="shared" si="10"/>
        <v>0</v>
      </c>
      <c r="AY8" s="129">
        <f t="shared" si="10"/>
        <v>0</v>
      </c>
      <c r="AZ8" s="129">
        <f t="shared" si="10"/>
        <v>0</v>
      </c>
      <c r="BA8" s="129">
        <f t="shared" si="10"/>
        <v>0</v>
      </c>
      <c r="BB8" s="129">
        <f t="shared" si="10"/>
        <v>0</v>
      </c>
      <c r="BC8" s="129">
        <f t="shared" si="10"/>
        <v>0</v>
      </c>
      <c r="BD8" s="129">
        <f t="shared" si="10"/>
        <v>0</v>
      </c>
      <c r="BE8" s="129">
        <f t="shared" si="10"/>
        <v>0</v>
      </c>
      <c r="BF8" s="129">
        <f t="shared" si="10"/>
        <v>0</v>
      </c>
      <c r="BG8" s="129">
        <f t="shared" si="10"/>
        <v>0</v>
      </c>
      <c r="BH8" s="129">
        <f t="shared" si="10"/>
        <v>0</v>
      </c>
      <c r="BI8" s="129">
        <f t="shared" si="10"/>
        <v>0</v>
      </c>
      <c r="BJ8" s="129">
        <f t="shared" si="10"/>
        <v>0</v>
      </c>
      <c r="BK8" s="129">
        <f t="shared" si="10"/>
        <v>0</v>
      </c>
      <c r="BL8" s="129">
        <f t="shared" si="10"/>
        <v>0</v>
      </c>
      <c r="BM8" s="129">
        <f t="shared" si="10"/>
        <v>0</v>
      </c>
      <c r="BN8" s="129">
        <f t="shared" si="10"/>
        <v>0</v>
      </c>
      <c r="BO8" s="129">
        <f t="shared" si="10"/>
        <v>0</v>
      </c>
      <c r="BP8" s="129">
        <f t="shared" si="10"/>
        <v>0</v>
      </c>
      <c r="BQ8" s="129">
        <f t="shared" si="10"/>
        <v>0</v>
      </c>
      <c r="BR8" s="129">
        <f t="shared" si="10"/>
        <v>0</v>
      </c>
      <c r="BS8" s="129">
        <f t="shared" ref="BS8:ED8" si="11">(BS$2&lt;=$D8)*(BT$2&gt;$C8)</f>
        <v>0</v>
      </c>
      <c r="BT8" s="129">
        <f t="shared" si="11"/>
        <v>0</v>
      </c>
      <c r="BU8" s="129">
        <f t="shared" si="11"/>
        <v>0</v>
      </c>
      <c r="BV8" s="129">
        <f t="shared" si="11"/>
        <v>0</v>
      </c>
      <c r="BW8" s="129">
        <f t="shared" si="11"/>
        <v>0</v>
      </c>
      <c r="BX8" s="129">
        <f t="shared" si="11"/>
        <v>0</v>
      </c>
      <c r="BY8" s="129">
        <f t="shared" si="11"/>
        <v>0</v>
      </c>
      <c r="BZ8" s="129">
        <f t="shared" si="11"/>
        <v>0</v>
      </c>
      <c r="CA8" s="129">
        <f t="shared" si="11"/>
        <v>0</v>
      </c>
      <c r="CB8" s="129">
        <f t="shared" si="11"/>
        <v>0</v>
      </c>
      <c r="CC8" s="129">
        <f t="shared" si="11"/>
        <v>0</v>
      </c>
      <c r="CD8" s="129">
        <f t="shared" si="11"/>
        <v>0</v>
      </c>
      <c r="CE8" s="129">
        <f t="shared" si="11"/>
        <v>0</v>
      </c>
      <c r="CF8" s="129">
        <f t="shared" si="11"/>
        <v>0</v>
      </c>
      <c r="CG8" s="129">
        <f t="shared" si="11"/>
        <v>0</v>
      </c>
      <c r="CH8" s="129">
        <f t="shared" si="11"/>
        <v>0</v>
      </c>
      <c r="CI8" s="129">
        <f t="shared" si="11"/>
        <v>0</v>
      </c>
      <c r="CJ8" s="129">
        <f t="shared" si="11"/>
        <v>0</v>
      </c>
      <c r="CK8" s="129">
        <f t="shared" si="11"/>
        <v>0</v>
      </c>
      <c r="CL8" s="129">
        <f t="shared" si="11"/>
        <v>0</v>
      </c>
      <c r="CM8" s="129">
        <f t="shared" si="11"/>
        <v>0</v>
      </c>
      <c r="CN8" s="129">
        <f t="shared" si="11"/>
        <v>0</v>
      </c>
      <c r="CO8" s="129">
        <f t="shared" si="11"/>
        <v>0</v>
      </c>
      <c r="CP8" s="129">
        <f t="shared" si="11"/>
        <v>0</v>
      </c>
      <c r="CQ8" s="129">
        <f t="shared" si="11"/>
        <v>0</v>
      </c>
      <c r="CR8" s="129">
        <f t="shared" si="11"/>
        <v>0</v>
      </c>
      <c r="CS8" s="129">
        <f t="shared" si="11"/>
        <v>0</v>
      </c>
      <c r="CT8" s="129">
        <f t="shared" si="11"/>
        <v>0</v>
      </c>
      <c r="CU8" s="129">
        <f t="shared" si="11"/>
        <v>0</v>
      </c>
      <c r="CV8" s="129">
        <f t="shared" si="11"/>
        <v>0</v>
      </c>
      <c r="CW8" s="129">
        <f t="shared" si="11"/>
        <v>0</v>
      </c>
      <c r="CX8" s="129">
        <f t="shared" si="11"/>
        <v>0</v>
      </c>
      <c r="CY8" s="129">
        <f t="shared" si="11"/>
        <v>0</v>
      </c>
      <c r="CZ8" s="129">
        <f t="shared" si="11"/>
        <v>0</v>
      </c>
      <c r="DA8" s="129">
        <f t="shared" si="11"/>
        <v>0</v>
      </c>
      <c r="DB8" s="129">
        <f t="shared" si="11"/>
        <v>0</v>
      </c>
      <c r="DC8" s="129">
        <f t="shared" si="11"/>
        <v>0</v>
      </c>
      <c r="DD8" s="129">
        <f t="shared" si="11"/>
        <v>0</v>
      </c>
      <c r="DE8" s="129">
        <f t="shared" si="11"/>
        <v>0</v>
      </c>
      <c r="DF8" s="129">
        <f t="shared" si="11"/>
        <v>0</v>
      </c>
      <c r="DG8" s="129">
        <f t="shared" si="11"/>
        <v>0</v>
      </c>
      <c r="DH8" s="129">
        <f t="shared" si="11"/>
        <v>0</v>
      </c>
      <c r="DI8" s="129">
        <f t="shared" si="11"/>
        <v>0</v>
      </c>
      <c r="DJ8" s="129">
        <f t="shared" si="11"/>
        <v>0</v>
      </c>
      <c r="DK8" s="129">
        <f t="shared" si="11"/>
        <v>0</v>
      </c>
      <c r="DL8" s="129">
        <f t="shared" si="11"/>
        <v>0</v>
      </c>
      <c r="DM8" s="129">
        <f t="shared" si="11"/>
        <v>0</v>
      </c>
      <c r="DN8" s="129">
        <f t="shared" si="11"/>
        <v>0</v>
      </c>
      <c r="DO8" s="129">
        <f t="shared" si="11"/>
        <v>0</v>
      </c>
      <c r="DP8" s="129">
        <f t="shared" si="11"/>
        <v>0</v>
      </c>
      <c r="DQ8" s="129">
        <f t="shared" si="11"/>
        <v>0</v>
      </c>
      <c r="DR8" s="129">
        <f t="shared" si="11"/>
        <v>0</v>
      </c>
      <c r="DS8" s="129">
        <f t="shared" si="11"/>
        <v>0</v>
      </c>
      <c r="DT8" s="129">
        <f t="shared" si="11"/>
        <v>0</v>
      </c>
      <c r="DU8" s="129">
        <f t="shared" si="11"/>
        <v>0</v>
      </c>
      <c r="DV8" s="129">
        <f t="shared" si="11"/>
        <v>0</v>
      </c>
      <c r="DW8" s="129">
        <f t="shared" si="11"/>
        <v>0</v>
      </c>
      <c r="DX8" s="129">
        <f t="shared" si="11"/>
        <v>0</v>
      </c>
      <c r="DY8" s="129">
        <f t="shared" si="11"/>
        <v>0</v>
      </c>
      <c r="DZ8" s="129">
        <f t="shared" si="11"/>
        <v>0</v>
      </c>
      <c r="EA8" s="129">
        <f t="shared" si="11"/>
        <v>0</v>
      </c>
      <c r="EB8" s="129">
        <f t="shared" si="11"/>
        <v>0</v>
      </c>
      <c r="EC8" s="129">
        <f t="shared" si="11"/>
        <v>0</v>
      </c>
      <c r="ED8" s="129">
        <f t="shared" si="11"/>
        <v>0</v>
      </c>
      <c r="EE8" s="129">
        <f t="shared" ref="EE8:GP8" si="12">(EE$2&lt;=$D8)*(EF$2&gt;$C8)</f>
        <v>0</v>
      </c>
      <c r="EF8" s="129">
        <f t="shared" si="12"/>
        <v>0</v>
      </c>
      <c r="EG8" s="129">
        <f t="shared" si="12"/>
        <v>0</v>
      </c>
      <c r="EH8" s="129">
        <f t="shared" si="12"/>
        <v>0</v>
      </c>
      <c r="EI8" s="129">
        <f t="shared" si="12"/>
        <v>0</v>
      </c>
      <c r="EJ8" s="129">
        <f t="shared" si="12"/>
        <v>0</v>
      </c>
      <c r="EK8" s="129">
        <f t="shared" si="12"/>
        <v>0</v>
      </c>
      <c r="EL8" s="129">
        <f t="shared" si="12"/>
        <v>0</v>
      </c>
      <c r="EM8" s="129">
        <f t="shared" si="12"/>
        <v>0</v>
      </c>
      <c r="EN8" s="129">
        <f t="shared" si="12"/>
        <v>0</v>
      </c>
      <c r="EO8" s="129">
        <f t="shared" si="12"/>
        <v>0</v>
      </c>
      <c r="EP8" s="129">
        <f t="shared" si="12"/>
        <v>0</v>
      </c>
      <c r="EQ8" s="129">
        <f t="shared" si="12"/>
        <v>0</v>
      </c>
      <c r="ER8" s="129">
        <f t="shared" si="12"/>
        <v>0</v>
      </c>
      <c r="ES8" s="129">
        <f t="shared" si="12"/>
        <v>0</v>
      </c>
      <c r="ET8" s="129">
        <f t="shared" si="12"/>
        <v>0</v>
      </c>
      <c r="EU8" s="129">
        <f t="shared" si="12"/>
        <v>0</v>
      </c>
      <c r="EV8" s="129">
        <f t="shared" si="12"/>
        <v>0</v>
      </c>
      <c r="EW8" s="129">
        <f t="shared" si="12"/>
        <v>0</v>
      </c>
      <c r="EX8" s="129">
        <f t="shared" si="12"/>
        <v>0</v>
      </c>
      <c r="EY8" s="129">
        <f t="shared" si="12"/>
        <v>0</v>
      </c>
      <c r="EZ8" s="129">
        <f t="shared" si="12"/>
        <v>0</v>
      </c>
      <c r="FA8" s="129">
        <f t="shared" si="12"/>
        <v>0</v>
      </c>
      <c r="FB8" s="129">
        <f t="shared" si="12"/>
        <v>0</v>
      </c>
      <c r="FC8" s="129">
        <f t="shared" si="12"/>
        <v>0</v>
      </c>
      <c r="FD8" s="129">
        <f t="shared" si="12"/>
        <v>0</v>
      </c>
      <c r="FE8" s="129">
        <f t="shared" si="12"/>
        <v>0</v>
      </c>
      <c r="FF8" s="129">
        <f t="shared" si="12"/>
        <v>0</v>
      </c>
      <c r="FG8" s="129">
        <f t="shared" si="12"/>
        <v>0</v>
      </c>
      <c r="FH8" s="129">
        <f t="shared" si="12"/>
        <v>0</v>
      </c>
      <c r="FI8" s="129">
        <f t="shared" si="12"/>
        <v>0</v>
      </c>
      <c r="FJ8" s="129">
        <f t="shared" si="12"/>
        <v>0</v>
      </c>
      <c r="FK8" s="129">
        <f t="shared" si="12"/>
        <v>0</v>
      </c>
      <c r="FL8" s="129">
        <f t="shared" si="12"/>
        <v>0</v>
      </c>
      <c r="FM8" s="129">
        <f t="shared" si="12"/>
        <v>0</v>
      </c>
      <c r="FN8" s="129">
        <f t="shared" si="12"/>
        <v>0</v>
      </c>
      <c r="FO8" s="129">
        <f t="shared" si="12"/>
        <v>0</v>
      </c>
      <c r="FP8" s="129">
        <f t="shared" si="12"/>
        <v>0</v>
      </c>
      <c r="FQ8" s="129">
        <f t="shared" si="12"/>
        <v>0</v>
      </c>
      <c r="FR8" s="129">
        <f t="shared" si="12"/>
        <v>0</v>
      </c>
      <c r="FS8" s="129">
        <f t="shared" si="12"/>
        <v>0</v>
      </c>
      <c r="FT8" s="129">
        <f t="shared" si="12"/>
        <v>0</v>
      </c>
      <c r="FU8" s="129">
        <f t="shared" si="12"/>
        <v>0</v>
      </c>
      <c r="FV8" s="129">
        <f t="shared" si="12"/>
        <v>0</v>
      </c>
      <c r="FW8" s="129">
        <f t="shared" si="12"/>
        <v>0</v>
      </c>
      <c r="FX8" s="129">
        <f t="shared" si="12"/>
        <v>0</v>
      </c>
      <c r="FY8" s="129">
        <f t="shared" si="12"/>
        <v>0</v>
      </c>
      <c r="FZ8" s="129">
        <f t="shared" si="12"/>
        <v>0</v>
      </c>
      <c r="GA8" s="129">
        <f t="shared" si="12"/>
        <v>0</v>
      </c>
      <c r="GB8" s="129">
        <f t="shared" si="12"/>
        <v>0</v>
      </c>
      <c r="GC8" s="129">
        <f t="shared" si="12"/>
        <v>0</v>
      </c>
      <c r="GD8" s="129">
        <f t="shared" si="12"/>
        <v>0</v>
      </c>
      <c r="GE8" s="129">
        <f t="shared" si="12"/>
        <v>0</v>
      </c>
      <c r="GF8" s="129">
        <f t="shared" si="12"/>
        <v>0</v>
      </c>
      <c r="GG8" s="129">
        <f t="shared" si="12"/>
        <v>0</v>
      </c>
      <c r="GH8" s="129">
        <f t="shared" si="12"/>
        <v>0</v>
      </c>
      <c r="GI8" s="129">
        <f t="shared" si="12"/>
        <v>0</v>
      </c>
      <c r="GJ8" s="129">
        <f t="shared" si="12"/>
        <v>0</v>
      </c>
      <c r="GK8" s="129">
        <f t="shared" si="12"/>
        <v>0</v>
      </c>
      <c r="GL8" s="129">
        <f t="shared" si="12"/>
        <v>0</v>
      </c>
      <c r="GM8" s="129">
        <f t="shared" si="12"/>
        <v>0</v>
      </c>
      <c r="GN8" s="129">
        <f t="shared" si="12"/>
        <v>0</v>
      </c>
      <c r="GO8" s="129">
        <f t="shared" si="12"/>
        <v>0</v>
      </c>
      <c r="GP8" s="129">
        <f t="shared" si="12"/>
        <v>0</v>
      </c>
      <c r="GQ8" s="129">
        <f t="shared" ref="GQ8:JB8" si="13">(GQ$2&lt;=$D8)*(GR$2&gt;$C8)</f>
        <v>0</v>
      </c>
      <c r="GR8" s="129">
        <f t="shared" si="13"/>
        <v>0</v>
      </c>
      <c r="GS8" s="129">
        <f t="shared" si="13"/>
        <v>0</v>
      </c>
      <c r="GT8" s="129">
        <f t="shared" si="13"/>
        <v>0</v>
      </c>
      <c r="GU8" s="129">
        <f t="shared" si="13"/>
        <v>0</v>
      </c>
      <c r="GV8" s="129">
        <f t="shared" si="13"/>
        <v>0</v>
      </c>
      <c r="GW8" s="129">
        <f t="shared" si="13"/>
        <v>0</v>
      </c>
      <c r="GX8" s="129">
        <f t="shared" si="13"/>
        <v>0</v>
      </c>
      <c r="GY8" s="129">
        <f t="shared" si="13"/>
        <v>0</v>
      </c>
      <c r="GZ8" s="129">
        <f t="shared" si="13"/>
        <v>0</v>
      </c>
      <c r="HA8" s="129">
        <f t="shared" si="13"/>
        <v>0</v>
      </c>
      <c r="HB8" s="129">
        <f t="shared" si="13"/>
        <v>0</v>
      </c>
      <c r="HC8" s="129">
        <f t="shared" si="13"/>
        <v>0</v>
      </c>
      <c r="HD8" s="129">
        <f t="shared" si="13"/>
        <v>0</v>
      </c>
      <c r="HE8" s="129">
        <f t="shared" si="13"/>
        <v>0</v>
      </c>
      <c r="HF8" s="129">
        <f t="shared" si="13"/>
        <v>0</v>
      </c>
      <c r="HG8" s="129">
        <f t="shared" si="13"/>
        <v>0</v>
      </c>
      <c r="HH8" s="129">
        <f t="shared" si="13"/>
        <v>0</v>
      </c>
      <c r="HI8" s="129">
        <f t="shared" si="13"/>
        <v>0</v>
      </c>
      <c r="HJ8" s="129">
        <f t="shared" si="13"/>
        <v>0</v>
      </c>
      <c r="HK8" s="129">
        <f t="shared" si="13"/>
        <v>0</v>
      </c>
      <c r="HL8" s="129">
        <f t="shared" si="13"/>
        <v>0</v>
      </c>
      <c r="HM8" s="129">
        <f t="shared" si="13"/>
        <v>0</v>
      </c>
      <c r="HN8" s="129">
        <f t="shared" si="13"/>
        <v>0</v>
      </c>
      <c r="HO8" s="129">
        <f t="shared" si="13"/>
        <v>0</v>
      </c>
      <c r="HP8" s="129">
        <f t="shared" si="13"/>
        <v>0</v>
      </c>
      <c r="HQ8" s="129">
        <f t="shared" si="13"/>
        <v>0</v>
      </c>
      <c r="HR8" s="129">
        <f t="shared" si="13"/>
        <v>0</v>
      </c>
      <c r="HS8" s="129">
        <f t="shared" si="13"/>
        <v>0</v>
      </c>
      <c r="HT8" s="129">
        <f t="shared" si="13"/>
        <v>0</v>
      </c>
      <c r="HU8" s="129">
        <f t="shared" si="13"/>
        <v>0</v>
      </c>
      <c r="HV8" s="129">
        <f t="shared" si="13"/>
        <v>0</v>
      </c>
      <c r="HW8" s="129">
        <f t="shared" si="13"/>
        <v>0</v>
      </c>
      <c r="HX8" s="129">
        <f t="shared" si="13"/>
        <v>0</v>
      </c>
      <c r="HY8" s="129">
        <f t="shared" si="13"/>
        <v>0</v>
      </c>
      <c r="HZ8" s="129">
        <f t="shared" si="13"/>
        <v>0</v>
      </c>
      <c r="IA8" s="129">
        <f t="shared" si="13"/>
        <v>0</v>
      </c>
      <c r="IB8" s="129">
        <f t="shared" si="13"/>
        <v>0</v>
      </c>
      <c r="IC8" s="129">
        <f t="shared" si="13"/>
        <v>0</v>
      </c>
      <c r="ID8" s="129">
        <f t="shared" si="13"/>
        <v>0</v>
      </c>
      <c r="IE8" s="129">
        <f t="shared" si="13"/>
        <v>0</v>
      </c>
      <c r="IF8" s="129">
        <f t="shared" si="13"/>
        <v>0</v>
      </c>
      <c r="IG8" s="129">
        <f t="shared" si="13"/>
        <v>0</v>
      </c>
      <c r="IH8" s="129">
        <f t="shared" si="13"/>
        <v>0</v>
      </c>
      <c r="II8" s="129">
        <f t="shared" si="13"/>
        <v>0</v>
      </c>
      <c r="IJ8" s="129">
        <f t="shared" si="13"/>
        <v>0</v>
      </c>
      <c r="IK8" s="129">
        <f t="shared" si="13"/>
        <v>0</v>
      </c>
      <c r="IL8" s="129">
        <f t="shared" si="13"/>
        <v>0</v>
      </c>
      <c r="IM8" s="129">
        <f t="shared" si="13"/>
        <v>0</v>
      </c>
      <c r="IN8" s="129">
        <f t="shared" si="13"/>
        <v>0</v>
      </c>
      <c r="IO8" s="129">
        <f t="shared" si="13"/>
        <v>0</v>
      </c>
      <c r="IP8" s="129">
        <f t="shared" si="13"/>
        <v>0</v>
      </c>
      <c r="IQ8" s="129">
        <f t="shared" si="13"/>
        <v>0</v>
      </c>
      <c r="IR8" s="129">
        <f t="shared" si="13"/>
        <v>0</v>
      </c>
      <c r="IS8" s="129">
        <f t="shared" si="13"/>
        <v>0</v>
      </c>
      <c r="IT8" s="129">
        <f t="shared" si="13"/>
        <v>0</v>
      </c>
      <c r="IU8" s="129">
        <f t="shared" si="13"/>
        <v>0</v>
      </c>
      <c r="IV8" s="129">
        <f t="shared" si="13"/>
        <v>0</v>
      </c>
      <c r="IW8" s="129">
        <f t="shared" si="13"/>
        <v>0</v>
      </c>
      <c r="IX8" s="129">
        <f t="shared" si="13"/>
        <v>0</v>
      </c>
      <c r="IY8" s="129">
        <f t="shared" si="13"/>
        <v>0</v>
      </c>
      <c r="IZ8" s="129">
        <f t="shared" si="13"/>
        <v>0</v>
      </c>
      <c r="JA8" s="129">
        <f t="shared" si="13"/>
        <v>0</v>
      </c>
      <c r="JB8" s="129">
        <f t="shared" si="13"/>
        <v>0</v>
      </c>
      <c r="JC8" s="129">
        <f t="shared" ref="JC8:KW8" si="14">(JC$2&lt;=$D8)*(JD$2&gt;$C8)</f>
        <v>0</v>
      </c>
      <c r="JD8" s="129">
        <f t="shared" si="14"/>
        <v>0</v>
      </c>
      <c r="JE8" s="129">
        <f t="shared" si="14"/>
        <v>0</v>
      </c>
      <c r="JF8" s="129">
        <f t="shared" si="14"/>
        <v>0</v>
      </c>
      <c r="JG8" s="129">
        <f t="shared" si="14"/>
        <v>0</v>
      </c>
      <c r="JH8" s="129">
        <f t="shared" si="14"/>
        <v>0</v>
      </c>
      <c r="JI8" s="129">
        <f t="shared" si="14"/>
        <v>0</v>
      </c>
      <c r="JJ8" s="129">
        <f t="shared" si="14"/>
        <v>0</v>
      </c>
      <c r="JK8" s="129">
        <f t="shared" si="14"/>
        <v>0</v>
      </c>
      <c r="JL8" s="129">
        <f t="shared" si="14"/>
        <v>0</v>
      </c>
      <c r="JM8" s="129">
        <f t="shared" si="14"/>
        <v>0</v>
      </c>
      <c r="JN8" s="129">
        <f t="shared" si="14"/>
        <v>0</v>
      </c>
      <c r="JO8" s="129">
        <f t="shared" si="14"/>
        <v>0</v>
      </c>
      <c r="JP8" s="129">
        <f t="shared" si="14"/>
        <v>0</v>
      </c>
      <c r="JQ8" s="129">
        <f t="shared" si="14"/>
        <v>0</v>
      </c>
      <c r="JR8" s="129">
        <f t="shared" si="14"/>
        <v>0</v>
      </c>
      <c r="JS8" s="129">
        <f t="shared" si="14"/>
        <v>0</v>
      </c>
      <c r="JT8" s="129">
        <f t="shared" si="14"/>
        <v>0</v>
      </c>
      <c r="JU8" s="129">
        <f t="shared" si="14"/>
        <v>0</v>
      </c>
      <c r="JV8" s="129">
        <f t="shared" si="14"/>
        <v>0</v>
      </c>
      <c r="JW8" s="129">
        <f t="shared" si="14"/>
        <v>0</v>
      </c>
      <c r="JX8" s="129">
        <f t="shared" si="14"/>
        <v>0</v>
      </c>
      <c r="JY8" s="129">
        <f t="shared" si="14"/>
        <v>0</v>
      </c>
      <c r="JZ8" s="129">
        <f t="shared" si="14"/>
        <v>0</v>
      </c>
      <c r="KA8" s="129">
        <f t="shared" si="14"/>
        <v>0</v>
      </c>
      <c r="KB8" s="129">
        <f t="shared" si="14"/>
        <v>0</v>
      </c>
      <c r="KC8" s="129">
        <f t="shared" si="14"/>
        <v>0</v>
      </c>
      <c r="KD8" s="129">
        <f t="shared" si="14"/>
        <v>0</v>
      </c>
      <c r="KE8" s="129">
        <f t="shared" si="14"/>
        <v>0</v>
      </c>
      <c r="KF8" s="129">
        <f t="shared" si="14"/>
        <v>0</v>
      </c>
      <c r="KG8" s="129">
        <f t="shared" si="14"/>
        <v>0</v>
      </c>
      <c r="KH8" s="129">
        <f t="shared" si="14"/>
        <v>0</v>
      </c>
      <c r="KI8" s="129">
        <f t="shared" si="14"/>
        <v>0</v>
      </c>
      <c r="KJ8" s="129">
        <f t="shared" si="14"/>
        <v>0</v>
      </c>
      <c r="KK8" s="129">
        <f t="shared" si="14"/>
        <v>0</v>
      </c>
      <c r="KL8" s="129">
        <f t="shared" si="14"/>
        <v>0</v>
      </c>
      <c r="KM8" s="129">
        <f t="shared" si="14"/>
        <v>0</v>
      </c>
      <c r="KN8" s="129">
        <f t="shared" si="14"/>
        <v>0</v>
      </c>
      <c r="KO8" s="129">
        <f t="shared" si="14"/>
        <v>0</v>
      </c>
      <c r="KP8" s="129">
        <f t="shared" si="14"/>
        <v>0</v>
      </c>
      <c r="KQ8" s="129">
        <f t="shared" si="14"/>
        <v>0</v>
      </c>
      <c r="KR8" s="129">
        <f t="shared" si="14"/>
        <v>0</v>
      </c>
      <c r="KS8" s="129">
        <f t="shared" si="14"/>
        <v>0</v>
      </c>
      <c r="KT8" s="129">
        <f t="shared" si="14"/>
        <v>0</v>
      </c>
      <c r="KU8" s="129">
        <f t="shared" si="14"/>
        <v>0</v>
      </c>
      <c r="KV8" s="129">
        <f t="shared" si="14"/>
        <v>0</v>
      </c>
      <c r="KW8" s="129">
        <f t="shared" si="14"/>
        <v>0</v>
      </c>
    </row>
    <row r="9" spans="2:468" x14ac:dyDescent="0.2">
      <c r="B9" s="76" t="s">
        <v>30</v>
      </c>
      <c r="C9" s="127">
        <v>41305</v>
      </c>
      <c r="D9" s="127">
        <v>41882</v>
      </c>
      <c r="E9" s="128">
        <f>SUM(G9:KW9)</f>
        <v>20</v>
      </c>
      <c r="G9" s="129">
        <f t="shared" ref="G9:BR9" si="15">(G$2&lt;=$D9)*(H$2&gt;$C9)</f>
        <v>0</v>
      </c>
      <c r="H9" s="129">
        <f t="shared" si="15"/>
        <v>1</v>
      </c>
      <c r="I9" s="129">
        <f t="shared" si="15"/>
        <v>1</v>
      </c>
      <c r="J9" s="129">
        <f t="shared" si="15"/>
        <v>1</v>
      </c>
      <c r="K9" s="129">
        <f t="shared" si="15"/>
        <v>1</v>
      </c>
      <c r="L9" s="129">
        <f t="shared" si="15"/>
        <v>1</v>
      </c>
      <c r="M9" s="129">
        <f t="shared" si="15"/>
        <v>1</v>
      </c>
      <c r="N9" s="129">
        <f t="shared" si="15"/>
        <v>1</v>
      </c>
      <c r="O9" s="129">
        <f t="shared" si="15"/>
        <v>1</v>
      </c>
      <c r="P9" s="129">
        <f t="shared" si="15"/>
        <v>1</v>
      </c>
      <c r="Q9" s="129">
        <f t="shared" si="15"/>
        <v>1</v>
      </c>
      <c r="R9" s="129">
        <f t="shared" si="15"/>
        <v>1</v>
      </c>
      <c r="S9" s="129">
        <f t="shared" si="15"/>
        <v>1</v>
      </c>
      <c r="T9" s="129">
        <f t="shared" si="15"/>
        <v>1</v>
      </c>
      <c r="U9" s="129">
        <f t="shared" si="15"/>
        <v>1</v>
      </c>
      <c r="V9" s="129">
        <f t="shared" si="15"/>
        <v>1</v>
      </c>
      <c r="W9" s="129">
        <f t="shared" si="15"/>
        <v>1</v>
      </c>
      <c r="X9" s="129">
        <f t="shared" si="15"/>
        <v>1</v>
      </c>
      <c r="Y9" s="129">
        <f t="shared" si="15"/>
        <v>1</v>
      </c>
      <c r="Z9" s="129">
        <f t="shared" si="15"/>
        <v>1</v>
      </c>
      <c r="AA9" s="129">
        <f t="shared" si="15"/>
        <v>1</v>
      </c>
      <c r="AB9" s="129">
        <f t="shared" si="15"/>
        <v>0</v>
      </c>
      <c r="AC9" s="129">
        <f t="shared" si="15"/>
        <v>0</v>
      </c>
      <c r="AD9" s="129">
        <f t="shared" si="15"/>
        <v>0</v>
      </c>
      <c r="AE9" s="129">
        <f t="shared" si="15"/>
        <v>0</v>
      </c>
      <c r="AF9" s="129">
        <f t="shared" si="15"/>
        <v>0</v>
      </c>
      <c r="AG9" s="129">
        <f t="shared" si="15"/>
        <v>0</v>
      </c>
      <c r="AH9" s="129">
        <f t="shared" si="15"/>
        <v>0</v>
      </c>
      <c r="AI9" s="129">
        <f t="shared" si="15"/>
        <v>0</v>
      </c>
      <c r="AJ9" s="129">
        <f t="shared" si="15"/>
        <v>0</v>
      </c>
      <c r="AK9" s="129">
        <f t="shared" si="15"/>
        <v>0</v>
      </c>
      <c r="AL9" s="129">
        <f t="shared" si="15"/>
        <v>0</v>
      </c>
      <c r="AM9" s="129">
        <f t="shared" si="15"/>
        <v>0</v>
      </c>
      <c r="AN9" s="129">
        <f t="shared" si="15"/>
        <v>0</v>
      </c>
      <c r="AO9" s="129">
        <f t="shared" si="15"/>
        <v>0</v>
      </c>
      <c r="AP9" s="129">
        <f t="shared" si="15"/>
        <v>0</v>
      </c>
      <c r="AQ9" s="129">
        <f t="shared" si="15"/>
        <v>0</v>
      </c>
      <c r="AR9" s="129">
        <f t="shared" si="15"/>
        <v>0</v>
      </c>
      <c r="AS9" s="129">
        <f t="shared" si="15"/>
        <v>0</v>
      </c>
      <c r="AT9" s="129">
        <f t="shared" si="15"/>
        <v>0</v>
      </c>
      <c r="AU9" s="129">
        <f t="shared" si="15"/>
        <v>0</v>
      </c>
      <c r="AV9" s="129">
        <f t="shared" si="15"/>
        <v>0</v>
      </c>
      <c r="AW9" s="129">
        <f t="shared" si="15"/>
        <v>0</v>
      </c>
      <c r="AX9" s="129">
        <f t="shared" si="15"/>
        <v>0</v>
      </c>
      <c r="AY9" s="129">
        <f t="shared" si="15"/>
        <v>0</v>
      </c>
      <c r="AZ9" s="129">
        <f t="shared" si="15"/>
        <v>0</v>
      </c>
      <c r="BA9" s="129">
        <f t="shared" si="15"/>
        <v>0</v>
      </c>
      <c r="BB9" s="129">
        <f t="shared" si="15"/>
        <v>0</v>
      </c>
      <c r="BC9" s="129">
        <f t="shared" si="15"/>
        <v>0</v>
      </c>
      <c r="BD9" s="129">
        <f t="shared" si="15"/>
        <v>0</v>
      </c>
      <c r="BE9" s="129">
        <f t="shared" si="15"/>
        <v>0</v>
      </c>
      <c r="BF9" s="129">
        <f t="shared" si="15"/>
        <v>0</v>
      </c>
      <c r="BG9" s="129">
        <f t="shared" si="15"/>
        <v>0</v>
      </c>
      <c r="BH9" s="129">
        <f t="shared" si="15"/>
        <v>0</v>
      </c>
      <c r="BI9" s="129">
        <f t="shared" si="15"/>
        <v>0</v>
      </c>
      <c r="BJ9" s="129">
        <f t="shared" si="15"/>
        <v>0</v>
      </c>
      <c r="BK9" s="129">
        <f t="shared" si="15"/>
        <v>0</v>
      </c>
      <c r="BL9" s="129">
        <f t="shared" si="15"/>
        <v>0</v>
      </c>
      <c r="BM9" s="129">
        <f t="shared" si="15"/>
        <v>0</v>
      </c>
      <c r="BN9" s="129">
        <f t="shared" si="15"/>
        <v>0</v>
      </c>
      <c r="BO9" s="129">
        <f t="shared" si="15"/>
        <v>0</v>
      </c>
      <c r="BP9" s="129">
        <f t="shared" si="15"/>
        <v>0</v>
      </c>
      <c r="BQ9" s="129">
        <f t="shared" si="15"/>
        <v>0</v>
      </c>
      <c r="BR9" s="129">
        <f t="shared" si="15"/>
        <v>0</v>
      </c>
      <c r="BS9" s="129">
        <f t="shared" ref="BS9:ED9" si="16">(BS$2&lt;=$D9)*(BT$2&gt;$C9)</f>
        <v>0</v>
      </c>
      <c r="BT9" s="129">
        <f t="shared" si="16"/>
        <v>0</v>
      </c>
      <c r="BU9" s="129">
        <f t="shared" si="16"/>
        <v>0</v>
      </c>
      <c r="BV9" s="129">
        <f t="shared" si="16"/>
        <v>0</v>
      </c>
      <c r="BW9" s="129">
        <f t="shared" si="16"/>
        <v>0</v>
      </c>
      <c r="BX9" s="129">
        <f t="shared" si="16"/>
        <v>0</v>
      </c>
      <c r="BY9" s="129">
        <f t="shared" si="16"/>
        <v>0</v>
      </c>
      <c r="BZ9" s="129">
        <f t="shared" si="16"/>
        <v>0</v>
      </c>
      <c r="CA9" s="129">
        <f t="shared" si="16"/>
        <v>0</v>
      </c>
      <c r="CB9" s="129">
        <f t="shared" si="16"/>
        <v>0</v>
      </c>
      <c r="CC9" s="129">
        <f t="shared" si="16"/>
        <v>0</v>
      </c>
      <c r="CD9" s="129">
        <f t="shared" si="16"/>
        <v>0</v>
      </c>
      <c r="CE9" s="129">
        <f t="shared" si="16"/>
        <v>0</v>
      </c>
      <c r="CF9" s="129">
        <f t="shared" si="16"/>
        <v>0</v>
      </c>
      <c r="CG9" s="129">
        <f t="shared" si="16"/>
        <v>0</v>
      </c>
      <c r="CH9" s="129">
        <f t="shared" si="16"/>
        <v>0</v>
      </c>
      <c r="CI9" s="129">
        <f t="shared" si="16"/>
        <v>0</v>
      </c>
      <c r="CJ9" s="129">
        <f t="shared" si="16"/>
        <v>0</v>
      </c>
      <c r="CK9" s="129">
        <f t="shared" si="16"/>
        <v>0</v>
      </c>
      <c r="CL9" s="129">
        <f t="shared" si="16"/>
        <v>0</v>
      </c>
      <c r="CM9" s="129">
        <f t="shared" si="16"/>
        <v>0</v>
      </c>
      <c r="CN9" s="129">
        <f t="shared" si="16"/>
        <v>0</v>
      </c>
      <c r="CO9" s="129">
        <f t="shared" si="16"/>
        <v>0</v>
      </c>
      <c r="CP9" s="129">
        <f t="shared" si="16"/>
        <v>0</v>
      </c>
      <c r="CQ9" s="129">
        <f t="shared" si="16"/>
        <v>0</v>
      </c>
      <c r="CR9" s="129">
        <f t="shared" si="16"/>
        <v>0</v>
      </c>
      <c r="CS9" s="129">
        <f t="shared" si="16"/>
        <v>0</v>
      </c>
      <c r="CT9" s="129">
        <f t="shared" si="16"/>
        <v>0</v>
      </c>
      <c r="CU9" s="129">
        <f t="shared" si="16"/>
        <v>0</v>
      </c>
      <c r="CV9" s="129">
        <f t="shared" si="16"/>
        <v>0</v>
      </c>
      <c r="CW9" s="129">
        <f t="shared" si="16"/>
        <v>0</v>
      </c>
      <c r="CX9" s="129">
        <f t="shared" si="16"/>
        <v>0</v>
      </c>
      <c r="CY9" s="129">
        <f t="shared" si="16"/>
        <v>0</v>
      </c>
      <c r="CZ9" s="129">
        <f t="shared" si="16"/>
        <v>0</v>
      </c>
      <c r="DA9" s="129">
        <f t="shared" si="16"/>
        <v>0</v>
      </c>
      <c r="DB9" s="129">
        <f t="shared" si="16"/>
        <v>0</v>
      </c>
      <c r="DC9" s="129">
        <f t="shared" si="16"/>
        <v>0</v>
      </c>
      <c r="DD9" s="129">
        <f t="shared" si="16"/>
        <v>0</v>
      </c>
      <c r="DE9" s="129">
        <f t="shared" si="16"/>
        <v>0</v>
      </c>
      <c r="DF9" s="129">
        <f t="shared" si="16"/>
        <v>0</v>
      </c>
      <c r="DG9" s="129">
        <f t="shared" si="16"/>
        <v>0</v>
      </c>
      <c r="DH9" s="129">
        <f t="shared" si="16"/>
        <v>0</v>
      </c>
      <c r="DI9" s="129">
        <f t="shared" si="16"/>
        <v>0</v>
      </c>
      <c r="DJ9" s="129">
        <f t="shared" si="16"/>
        <v>0</v>
      </c>
      <c r="DK9" s="129">
        <f t="shared" si="16"/>
        <v>0</v>
      </c>
      <c r="DL9" s="129">
        <f t="shared" si="16"/>
        <v>0</v>
      </c>
      <c r="DM9" s="129">
        <f t="shared" si="16"/>
        <v>0</v>
      </c>
      <c r="DN9" s="129">
        <f t="shared" si="16"/>
        <v>0</v>
      </c>
      <c r="DO9" s="129">
        <f t="shared" si="16"/>
        <v>0</v>
      </c>
      <c r="DP9" s="129">
        <f t="shared" si="16"/>
        <v>0</v>
      </c>
      <c r="DQ9" s="129">
        <f t="shared" si="16"/>
        <v>0</v>
      </c>
      <c r="DR9" s="129">
        <f t="shared" si="16"/>
        <v>0</v>
      </c>
      <c r="DS9" s="129">
        <f t="shared" si="16"/>
        <v>0</v>
      </c>
      <c r="DT9" s="129">
        <f t="shared" si="16"/>
        <v>0</v>
      </c>
      <c r="DU9" s="129">
        <f t="shared" si="16"/>
        <v>0</v>
      </c>
      <c r="DV9" s="129">
        <f t="shared" si="16"/>
        <v>0</v>
      </c>
      <c r="DW9" s="129">
        <f t="shared" si="16"/>
        <v>0</v>
      </c>
      <c r="DX9" s="129">
        <f t="shared" si="16"/>
        <v>0</v>
      </c>
      <c r="DY9" s="129">
        <f t="shared" si="16"/>
        <v>0</v>
      </c>
      <c r="DZ9" s="129">
        <f t="shared" si="16"/>
        <v>0</v>
      </c>
      <c r="EA9" s="129">
        <f t="shared" si="16"/>
        <v>0</v>
      </c>
      <c r="EB9" s="129">
        <f t="shared" si="16"/>
        <v>0</v>
      </c>
      <c r="EC9" s="129">
        <f t="shared" si="16"/>
        <v>0</v>
      </c>
      <c r="ED9" s="129">
        <f t="shared" si="16"/>
        <v>0</v>
      </c>
      <c r="EE9" s="129">
        <f t="shared" ref="EE9:GP9" si="17">(EE$2&lt;=$D9)*(EF$2&gt;$C9)</f>
        <v>0</v>
      </c>
      <c r="EF9" s="129">
        <f t="shared" si="17"/>
        <v>0</v>
      </c>
      <c r="EG9" s="129">
        <f t="shared" si="17"/>
        <v>0</v>
      </c>
      <c r="EH9" s="129">
        <f t="shared" si="17"/>
        <v>0</v>
      </c>
      <c r="EI9" s="129">
        <f t="shared" si="17"/>
        <v>0</v>
      </c>
      <c r="EJ9" s="129">
        <f t="shared" si="17"/>
        <v>0</v>
      </c>
      <c r="EK9" s="129">
        <f t="shared" si="17"/>
        <v>0</v>
      </c>
      <c r="EL9" s="129">
        <f t="shared" si="17"/>
        <v>0</v>
      </c>
      <c r="EM9" s="129">
        <f t="shared" si="17"/>
        <v>0</v>
      </c>
      <c r="EN9" s="129">
        <f t="shared" si="17"/>
        <v>0</v>
      </c>
      <c r="EO9" s="129">
        <f t="shared" si="17"/>
        <v>0</v>
      </c>
      <c r="EP9" s="129">
        <f t="shared" si="17"/>
        <v>0</v>
      </c>
      <c r="EQ9" s="129">
        <f t="shared" si="17"/>
        <v>0</v>
      </c>
      <c r="ER9" s="129">
        <f t="shared" si="17"/>
        <v>0</v>
      </c>
      <c r="ES9" s="129">
        <f t="shared" si="17"/>
        <v>0</v>
      </c>
      <c r="ET9" s="129">
        <f t="shared" si="17"/>
        <v>0</v>
      </c>
      <c r="EU9" s="129">
        <f t="shared" si="17"/>
        <v>0</v>
      </c>
      <c r="EV9" s="129">
        <f t="shared" si="17"/>
        <v>0</v>
      </c>
      <c r="EW9" s="129">
        <f t="shared" si="17"/>
        <v>0</v>
      </c>
      <c r="EX9" s="129">
        <f t="shared" si="17"/>
        <v>0</v>
      </c>
      <c r="EY9" s="129">
        <f t="shared" si="17"/>
        <v>0</v>
      </c>
      <c r="EZ9" s="129">
        <f t="shared" si="17"/>
        <v>0</v>
      </c>
      <c r="FA9" s="129">
        <f t="shared" si="17"/>
        <v>0</v>
      </c>
      <c r="FB9" s="129">
        <f t="shared" si="17"/>
        <v>0</v>
      </c>
      <c r="FC9" s="129">
        <f t="shared" si="17"/>
        <v>0</v>
      </c>
      <c r="FD9" s="129">
        <f t="shared" si="17"/>
        <v>0</v>
      </c>
      <c r="FE9" s="129">
        <f t="shared" si="17"/>
        <v>0</v>
      </c>
      <c r="FF9" s="129">
        <f t="shared" si="17"/>
        <v>0</v>
      </c>
      <c r="FG9" s="129">
        <f t="shared" si="17"/>
        <v>0</v>
      </c>
      <c r="FH9" s="129">
        <f t="shared" si="17"/>
        <v>0</v>
      </c>
      <c r="FI9" s="129">
        <f t="shared" si="17"/>
        <v>0</v>
      </c>
      <c r="FJ9" s="129">
        <f t="shared" si="17"/>
        <v>0</v>
      </c>
      <c r="FK9" s="129">
        <f t="shared" si="17"/>
        <v>0</v>
      </c>
      <c r="FL9" s="129">
        <f t="shared" si="17"/>
        <v>0</v>
      </c>
      <c r="FM9" s="129">
        <f t="shared" si="17"/>
        <v>0</v>
      </c>
      <c r="FN9" s="129">
        <f t="shared" si="17"/>
        <v>0</v>
      </c>
      <c r="FO9" s="129">
        <f t="shared" si="17"/>
        <v>0</v>
      </c>
      <c r="FP9" s="129">
        <f t="shared" si="17"/>
        <v>0</v>
      </c>
      <c r="FQ9" s="129">
        <f t="shared" si="17"/>
        <v>0</v>
      </c>
      <c r="FR9" s="129">
        <f t="shared" si="17"/>
        <v>0</v>
      </c>
      <c r="FS9" s="129">
        <f t="shared" si="17"/>
        <v>0</v>
      </c>
      <c r="FT9" s="129">
        <f t="shared" si="17"/>
        <v>0</v>
      </c>
      <c r="FU9" s="129">
        <f t="shared" si="17"/>
        <v>0</v>
      </c>
      <c r="FV9" s="129">
        <f t="shared" si="17"/>
        <v>0</v>
      </c>
      <c r="FW9" s="129">
        <f t="shared" si="17"/>
        <v>0</v>
      </c>
      <c r="FX9" s="129">
        <f t="shared" si="17"/>
        <v>0</v>
      </c>
      <c r="FY9" s="129">
        <f t="shared" si="17"/>
        <v>0</v>
      </c>
      <c r="FZ9" s="129">
        <f t="shared" si="17"/>
        <v>0</v>
      </c>
      <c r="GA9" s="129">
        <f t="shared" si="17"/>
        <v>0</v>
      </c>
      <c r="GB9" s="129">
        <f t="shared" si="17"/>
        <v>0</v>
      </c>
      <c r="GC9" s="129">
        <f t="shared" si="17"/>
        <v>0</v>
      </c>
      <c r="GD9" s="129">
        <f t="shared" si="17"/>
        <v>0</v>
      </c>
      <c r="GE9" s="129">
        <f t="shared" si="17"/>
        <v>0</v>
      </c>
      <c r="GF9" s="129">
        <f t="shared" si="17"/>
        <v>0</v>
      </c>
      <c r="GG9" s="129">
        <f t="shared" si="17"/>
        <v>0</v>
      </c>
      <c r="GH9" s="129">
        <f t="shared" si="17"/>
        <v>0</v>
      </c>
      <c r="GI9" s="129">
        <f t="shared" si="17"/>
        <v>0</v>
      </c>
      <c r="GJ9" s="129">
        <f t="shared" si="17"/>
        <v>0</v>
      </c>
      <c r="GK9" s="129">
        <f t="shared" si="17"/>
        <v>0</v>
      </c>
      <c r="GL9" s="129">
        <f t="shared" si="17"/>
        <v>0</v>
      </c>
      <c r="GM9" s="129">
        <f t="shared" si="17"/>
        <v>0</v>
      </c>
      <c r="GN9" s="129">
        <f t="shared" si="17"/>
        <v>0</v>
      </c>
      <c r="GO9" s="129">
        <f t="shared" si="17"/>
        <v>0</v>
      </c>
      <c r="GP9" s="129">
        <f t="shared" si="17"/>
        <v>0</v>
      </c>
      <c r="GQ9" s="129">
        <f t="shared" ref="GQ9:JB9" si="18">(GQ$2&lt;=$D9)*(GR$2&gt;$C9)</f>
        <v>0</v>
      </c>
      <c r="GR9" s="129">
        <f t="shared" si="18"/>
        <v>0</v>
      </c>
      <c r="GS9" s="129">
        <f t="shared" si="18"/>
        <v>0</v>
      </c>
      <c r="GT9" s="129">
        <f t="shared" si="18"/>
        <v>0</v>
      </c>
      <c r="GU9" s="129">
        <f t="shared" si="18"/>
        <v>0</v>
      </c>
      <c r="GV9" s="129">
        <f t="shared" si="18"/>
        <v>0</v>
      </c>
      <c r="GW9" s="129">
        <f t="shared" si="18"/>
        <v>0</v>
      </c>
      <c r="GX9" s="129">
        <f t="shared" si="18"/>
        <v>0</v>
      </c>
      <c r="GY9" s="129">
        <f t="shared" si="18"/>
        <v>0</v>
      </c>
      <c r="GZ9" s="129">
        <f t="shared" si="18"/>
        <v>0</v>
      </c>
      <c r="HA9" s="129">
        <f t="shared" si="18"/>
        <v>0</v>
      </c>
      <c r="HB9" s="129">
        <f t="shared" si="18"/>
        <v>0</v>
      </c>
      <c r="HC9" s="129">
        <f t="shared" si="18"/>
        <v>0</v>
      </c>
      <c r="HD9" s="129">
        <f t="shared" si="18"/>
        <v>0</v>
      </c>
      <c r="HE9" s="129">
        <f t="shared" si="18"/>
        <v>0</v>
      </c>
      <c r="HF9" s="129">
        <f t="shared" si="18"/>
        <v>0</v>
      </c>
      <c r="HG9" s="129">
        <f t="shared" si="18"/>
        <v>0</v>
      </c>
      <c r="HH9" s="129">
        <f t="shared" si="18"/>
        <v>0</v>
      </c>
      <c r="HI9" s="129">
        <f t="shared" si="18"/>
        <v>0</v>
      </c>
      <c r="HJ9" s="129">
        <f t="shared" si="18"/>
        <v>0</v>
      </c>
      <c r="HK9" s="129">
        <f t="shared" si="18"/>
        <v>0</v>
      </c>
      <c r="HL9" s="129">
        <f t="shared" si="18"/>
        <v>0</v>
      </c>
      <c r="HM9" s="129">
        <f t="shared" si="18"/>
        <v>0</v>
      </c>
      <c r="HN9" s="129">
        <f t="shared" si="18"/>
        <v>0</v>
      </c>
      <c r="HO9" s="129">
        <f t="shared" si="18"/>
        <v>0</v>
      </c>
      <c r="HP9" s="129">
        <f t="shared" si="18"/>
        <v>0</v>
      </c>
      <c r="HQ9" s="129">
        <f t="shared" si="18"/>
        <v>0</v>
      </c>
      <c r="HR9" s="129">
        <f t="shared" si="18"/>
        <v>0</v>
      </c>
      <c r="HS9" s="129">
        <f t="shared" si="18"/>
        <v>0</v>
      </c>
      <c r="HT9" s="129">
        <f t="shared" si="18"/>
        <v>0</v>
      </c>
      <c r="HU9" s="129">
        <f t="shared" si="18"/>
        <v>0</v>
      </c>
      <c r="HV9" s="129">
        <f t="shared" si="18"/>
        <v>0</v>
      </c>
      <c r="HW9" s="129">
        <f t="shared" si="18"/>
        <v>0</v>
      </c>
      <c r="HX9" s="129">
        <f t="shared" si="18"/>
        <v>0</v>
      </c>
      <c r="HY9" s="129">
        <f t="shared" si="18"/>
        <v>0</v>
      </c>
      <c r="HZ9" s="129">
        <f t="shared" si="18"/>
        <v>0</v>
      </c>
      <c r="IA9" s="129">
        <f t="shared" si="18"/>
        <v>0</v>
      </c>
      <c r="IB9" s="129">
        <f t="shared" si="18"/>
        <v>0</v>
      </c>
      <c r="IC9" s="129">
        <f t="shared" si="18"/>
        <v>0</v>
      </c>
      <c r="ID9" s="129">
        <f t="shared" si="18"/>
        <v>0</v>
      </c>
      <c r="IE9" s="129">
        <f t="shared" si="18"/>
        <v>0</v>
      </c>
      <c r="IF9" s="129">
        <f t="shared" si="18"/>
        <v>0</v>
      </c>
      <c r="IG9" s="129">
        <f t="shared" si="18"/>
        <v>0</v>
      </c>
      <c r="IH9" s="129">
        <f t="shared" si="18"/>
        <v>0</v>
      </c>
      <c r="II9" s="129">
        <f t="shared" si="18"/>
        <v>0</v>
      </c>
      <c r="IJ9" s="129">
        <f t="shared" si="18"/>
        <v>0</v>
      </c>
      <c r="IK9" s="129">
        <f t="shared" si="18"/>
        <v>0</v>
      </c>
      <c r="IL9" s="129">
        <f t="shared" si="18"/>
        <v>0</v>
      </c>
      <c r="IM9" s="129">
        <f t="shared" si="18"/>
        <v>0</v>
      </c>
      <c r="IN9" s="129">
        <f t="shared" si="18"/>
        <v>0</v>
      </c>
      <c r="IO9" s="129">
        <f t="shared" si="18"/>
        <v>0</v>
      </c>
      <c r="IP9" s="129">
        <f t="shared" si="18"/>
        <v>0</v>
      </c>
      <c r="IQ9" s="129">
        <f t="shared" si="18"/>
        <v>0</v>
      </c>
      <c r="IR9" s="129">
        <f t="shared" si="18"/>
        <v>0</v>
      </c>
      <c r="IS9" s="129">
        <f t="shared" si="18"/>
        <v>0</v>
      </c>
      <c r="IT9" s="129">
        <f t="shared" si="18"/>
        <v>0</v>
      </c>
      <c r="IU9" s="129">
        <f t="shared" si="18"/>
        <v>0</v>
      </c>
      <c r="IV9" s="129">
        <f t="shared" si="18"/>
        <v>0</v>
      </c>
      <c r="IW9" s="129">
        <f t="shared" si="18"/>
        <v>0</v>
      </c>
      <c r="IX9" s="129">
        <f t="shared" si="18"/>
        <v>0</v>
      </c>
      <c r="IY9" s="129">
        <f t="shared" si="18"/>
        <v>0</v>
      </c>
      <c r="IZ9" s="129">
        <f t="shared" si="18"/>
        <v>0</v>
      </c>
      <c r="JA9" s="129">
        <f t="shared" si="18"/>
        <v>0</v>
      </c>
      <c r="JB9" s="129">
        <f t="shared" si="18"/>
        <v>0</v>
      </c>
      <c r="JC9" s="129">
        <f t="shared" ref="JC9:KW9" si="19">(JC$2&lt;=$D9)*(JD$2&gt;$C9)</f>
        <v>0</v>
      </c>
      <c r="JD9" s="129">
        <f t="shared" si="19"/>
        <v>0</v>
      </c>
      <c r="JE9" s="129">
        <f t="shared" si="19"/>
        <v>0</v>
      </c>
      <c r="JF9" s="129">
        <f t="shared" si="19"/>
        <v>0</v>
      </c>
      <c r="JG9" s="129">
        <f t="shared" si="19"/>
        <v>0</v>
      </c>
      <c r="JH9" s="129">
        <f t="shared" si="19"/>
        <v>0</v>
      </c>
      <c r="JI9" s="129">
        <f t="shared" si="19"/>
        <v>0</v>
      </c>
      <c r="JJ9" s="129">
        <f t="shared" si="19"/>
        <v>0</v>
      </c>
      <c r="JK9" s="129">
        <f t="shared" si="19"/>
        <v>0</v>
      </c>
      <c r="JL9" s="129">
        <f t="shared" si="19"/>
        <v>0</v>
      </c>
      <c r="JM9" s="129">
        <f t="shared" si="19"/>
        <v>0</v>
      </c>
      <c r="JN9" s="129">
        <f t="shared" si="19"/>
        <v>0</v>
      </c>
      <c r="JO9" s="129">
        <f t="shared" si="19"/>
        <v>0</v>
      </c>
      <c r="JP9" s="129">
        <f t="shared" si="19"/>
        <v>0</v>
      </c>
      <c r="JQ9" s="129">
        <f t="shared" si="19"/>
        <v>0</v>
      </c>
      <c r="JR9" s="129">
        <f t="shared" si="19"/>
        <v>0</v>
      </c>
      <c r="JS9" s="129">
        <f t="shared" si="19"/>
        <v>0</v>
      </c>
      <c r="JT9" s="129">
        <f t="shared" si="19"/>
        <v>0</v>
      </c>
      <c r="JU9" s="129">
        <f t="shared" si="19"/>
        <v>0</v>
      </c>
      <c r="JV9" s="129">
        <f t="shared" si="19"/>
        <v>0</v>
      </c>
      <c r="JW9" s="129">
        <f t="shared" si="19"/>
        <v>0</v>
      </c>
      <c r="JX9" s="129">
        <f t="shared" si="19"/>
        <v>0</v>
      </c>
      <c r="JY9" s="129">
        <f t="shared" si="19"/>
        <v>0</v>
      </c>
      <c r="JZ9" s="129">
        <f t="shared" si="19"/>
        <v>0</v>
      </c>
      <c r="KA9" s="129">
        <f t="shared" si="19"/>
        <v>0</v>
      </c>
      <c r="KB9" s="129">
        <f t="shared" si="19"/>
        <v>0</v>
      </c>
      <c r="KC9" s="129">
        <f t="shared" si="19"/>
        <v>0</v>
      </c>
      <c r="KD9" s="129">
        <f t="shared" si="19"/>
        <v>0</v>
      </c>
      <c r="KE9" s="129">
        <f t="shared" si="19"/>
        <v>0</v>
      </c>
      <c r="KF9" s="129">
        <f t="shared" si="19"/>
        <v>0</v>
      </c>
      <c r="KG9" s="129">
        <f t="shared" si="19"/>
        <v>0</v>
      </c>
      <c r="KH9" s="129">
        <f t="shared" si="19"/>
        <v>0</v>
      </c>
      <c r="KI9" s="129">
        <f t="shared" si="19"/>
        <v>0</v>
      </c>
      <c r="KJ9" s="129">
        <f t="shared" si="19"/>
        <v>0</v>
      </c>
      <c r="KK9" s="129">
        <f t="shared" si="19"/>
        <v>0</v>
      </c>
      <c r="KL9" s="129">
        <f t="shared" si="19"/>
        <v>0</v>
      </c>
      <c r="KM9" s="129">
        <f t="shared" si="19"/>
        <v>0</v>
      </c>
      <c r="KN9" s="129">
        <f t="shared" si="19"/>
        <v>0</v>
      </c>
      <c r="KO9" s="129">
        <f t="shared" si="19"/>
        <v>0</v>
      </c>
      <c r="KP9" s="129">
        <f t="shared" si="19"/>
        <v>0</v>
      </c>
      <c r="KQ9" s="129">
        <f t="shared" si="19"/>
        <v>0</v>
      </c>
      <c r="KR9" s="129">
        <f t="shared" si="19"/>
        <v>0</v>
      </c>
      <c r="KS9" s="129">
        <f t="shared" si="19"/>
        <v>0</v>
      </c>
      <c r="KT9" s="129">
        <f t="shared" si="19"/>
        <v>0</v>
      </c>
      <c r="KU9" s="129">
        <f t="shared" si="19"/>
        <v>0</v>
      </c>
      <c r="KV9" s="129">
        <f t="shared" si="19"/>
        <v>0</v>
      </c>
      <c r="KW9" s="129">
        <f t="shared" si="19"/>
        <v>0</v>
      </c>
    </row>
    <row r="10" spans="2:468" x14ac:dyDescent="0.2">
      <c r="B10" s="76" t="s">
        <v>65</v>
      </c>
      <c r="C10" s="127">
        <v>41305</v>
      </c>
      <c r="D10" s="127">
        <v>41882</v>
      </c>
      <c r="G10" s="129">
        <f t="shared" ref="G10:BR10" si="20">(G$2&lt;=$D10)*(H$2&gt;$C10)</f>
        <v>0</v>
      </c>
      <c r="H10" s="129">
        <f t="shared" si="20"/>
        <v>1</v>
      </c>
      <c r="I10" s="129">
        <f t="shared" si="20"/>
        <v>1</v>
      </c>
      <c r="J10" s="129">
        <f t="shared" si="20"/>
        <v>1</v>
      </c>
      <c r="K10" s="129">
        <f t="shared" si="20"/>
        <v>1</v>
      </c>
      <c r="L10" s="129">
        <f t="shared" si="20"/>
        <v>1</v>
      </c>
      <c r="M10" s="129">
        <f t="shared" si="20"/>
        <v>1</v>
      </c>
      <c r="N10" s="129">
        <f t="shared" si="20"/>
        <v>1</v>
      </c>
      <c r="O10" s="129">
        <f t="shared" si="20"/>
        <v>1</v>
      </c>
      <c r="P10" s="129">
        <f t="shared" si="20"/>
        <v>1</v>
      </c>
      <c r="Q10" s="129">
        <f t="shared" si="20"/>
        <v>1</v>
      </c>
      <c r="R10" s="129">
        <f t="shared" si="20"/>
        <v>1</v>
      </c>
      <c r="S10" s="129">
        <f t="shared" si="20"/>
        <v>1</v>
      </c>
      <c r="T10" s="129">
        <f t="shared" si="20"/>
        <v>1</v>
      </c>
      <c r="U10" s="129">
        <f t="shared" si="20"/>
        <v>1</v>
      </c>
      <c r="V10" s="129">
        <f t="shared" si="20"/>
        <v>1</v>
      </c>
      <c r="W10" s="129">
        <f t="shared" si="20"/>
        <v>1</v>
      </c>
      <c r="X10" s="129">
        <f t="shared" si="20"/>
        <v>1</v>
      </c>
      <c r="Y10" s="129">
        <f t="shared" si="20"/>
        <v>1</v>
      </c>
      <c r="Z10" s="129">
        <f t="shared" si="20"/>
        <v>1</v>
      </c>
      <c r="AA10" s="129">
        <f t="shared" si="20"/>
        <v>1</v>
      </c>
      <c r="AB10" s="129">
        <f t="shared" si="20"/>
        <v>0</v>
      </c>
      <c r="AC10" s="129">
        <f t="shared" si="20"/>
        <v>0</v>
      </c>
      <c r="AD10" s="129">
        <f t="shared" si="20"/>
        <v>0</v>
      </c>
      <c r="AE10" s="129">
        <f t="shared" si="20"/>
        <v>0</v>
      </c>
      <c r="AF10" s="129">
        <f t="shared" si="20"/>
        <v>0</v>
      </c>
      <c r="AG10" s="129">
        <f t="shared" si="20"/>
        <v>0</v>
      </c>
      <c r="AH10" s="129">
        <f t="shared" si="20"/>
        <v>0</v>
      </c>
      <c r="AI10" s="129">
        <f t="shared" si="20"/>
        <v>0</v>
      </c>
      <c r="AJ10" s="129">
        <f t="shared" si="20"/>
        <v>0</v>
      </c>
      <c r="AK10" s="129">
        <f t="shared" si="20"/>
        <v>0</v>
      </c>
      <c r="AL10" s="129">
        <f t="shared" si="20"/>
        <v>0</v>
      </c>
      <c r="AM10" s="129">
        <f t="shared" si="20"/>
        <v>0</v>
      </c>
      <c r="AN10" s="129">
        <f t="shared" si="20"/>
        <v>0</v>
      </c>
      <c r="AO10" s="129">
        <f t="shared" si="20"/>
        <v>0</v>
      </c>
      <c r="AP10" s="129">
        <f t="shared" si="20"/>
        <v>0</v>
      </c>
      <c r="AQ10" s="129">
        <f t="shared" si="20"/>
        <v>0</v>
      </c>
      <c r="AR10" s="129">
        <f t="shared" si="20"/>
        <v>0</v>
      </c>
      <c r="AS10" s="129">
        <f t="shared" si="20"/>
        <v>0</v>
      </c>
      <c r="AT10" s="129">
        <f t="shared" si="20"/>
        <v>0</v>
      </c>
      <c r="AU10" s="129">
        <f t="shared" si="20"/>
        <v>0</v>
      </c>
      <c r="AV10" s="129">
        <f t="shared" si="20"/>
        <v>0</v>
      </c>
      <c r="AW10" s="129">
        <f t="shared" si="20"/>
        <v>0</v>
      </c>
      <c r="AX10" s="129">
        <f t="shared" si="20"/>
        <v>0</v>
      </c>
      <c r="AY10" s="129">
        <f t="shared" si="20"/>
        <v>0</v>
      </c>
      <c r="AZ10" s="129">
        <f t="shared" si="20"/>
        <v>0</v>
      </c>
      <c r="BA10" s="129">
        <f t="shared" si="20"/>
        <v>0</v>
      </c>
      <c r="BB10" s="129">
        <f t="shared" si="20"/>
        <v>0</v>
      </c>
      <c r="BC10" s="129">
        <f t="shared" si="20"/>
        <v>0</v>
      </c>
      <c r="BD10" s="129">
        <f t="shared" si="20"/>
        <v>0</v>
      </c>
      <c r="BE10" s="129">
        <f t="shared" si="20"/>
        <v>0</v>
      </c>
      <c r="BF10" s="129">
        <f t="shared" si="20"/>
        <v>0</v>
      </c>
      <c r="BG10" s="129">
        <f t="shared" si="20"/>
        <v>0</v>
      </c>
      <c r="BH10" s="129">
        <f t="shared" si="20"/>
        <v>0</v>
      </c>
      <c r="BI10" s="129">
        <f t="shared" si="20"/>
        <v>0</v>
      </c>
      <c r="BJ10" s="129">
        <f t="shared" si="20"/>
        <v>0</v>
      </c>
      <c r="BK10" s="129">
        <f t="shared" si="20"/>
        <v>0</v>
      </c>
      <c r="BL10" s="129">
        <f t="shared" si="20"/>
        <v>0</v>
      </c>
      <c r="BM10" s="129">
        <f t="shared" si="20"/>
        <v>0</v>
      </c>
      <c r="BN10" s="129">
        <f t="shared" si="20"/>
        <v>0</v>
      </c>
      <c r="BO10" s="129">
        <f t="shared" si="20"/>
        <v>0</v>
      </c>
      <c r="BP10" s="129">
        <f t="shared" si="20"/>
        <v>0</v>
      </c>
      <c r="BQ10" s="129">
        <f t="shared" si="20"/>
        <v>0</v>
      </c>
      <c r="BR10" s="129">
        <f t="shared" si="20"/>
        <v>0</v>
      </c>
      <c r="BS10" s="129">
        <f t="shared" ref="BS10:ED10" si="21">(BS$2&lt;=$D10)*(BT$2&gt;$C10)</f>
        <v>0</v>
      </c>
      <c r="BT10" s="129">
        <f t="shared" si="21"/>
        <v>0</v>
      </c>
      <c r="BU10" s="129">
        <f t="shared" si="21"/>
        <v>0</v>
      </c>
      <c r="BV10" s="129">
        <f t="shared" si="21"/>
        <v>0</v>
      </c>
      <c r="BW10" s="129">
        <f t="shared" si="21"/>
        <v>0</v>
      </c>
      <c r="BX10" s="129">
        <f t="shared" si="21"/>
        <v>0</v>
      </c>
      <c r="BY10" s="129">
        <f t="shared" si="21"/>
        <v>0</v>
      </c>
      <c r="BZ10" s="129">
        <f t="shared" si="21"/>
        <v>0</v>
      </c>
      <c r="CA10" s="129">
        <f t="shared" si="21"/>
        <v>0</v>
      </c>
      <c r="CB10" s="129">
        <f t="shared" si="21"/>
        <v>0</v>
      </c>
      <c r="CC10" s="129">
        <f t="shared" si="21"/>
        <v>0</v>
      </c>
      <c r="CD10" s="129">
        <f t="shared" si="21"/>
        <v>0</v>
      </c>
      <c r="CE10" s="129">
        <f t="shared" si="21"/>
        <v>0</v>
      </c>
      <c r="CF10" s="129">
        <f t="shared" si="21"/>
        <v>0</v>
      </c>
      <c r="CG10" s="129">
        <f t="shared" si="21"/>
        <v>0</v>
      </c>
      <c r="CH10" s="129">
        <f t="shared" si="21"/>
        <v>0</v>
      </c>
      <c r="CI10" s="129">
        <f t="shared" si="21"/>
        <v>0</v>
      </c>
      <c r="CJ10" s="129">
        <f t="shared" si="21"/>
        <v>0</v>
      </c>
      <c r="CK10" s="129">
        <f t="shared" si="21"/>
        <v>0</v>
      </c>
      <c r="CL10" s="129">
        <f t="shared" si="21"/>
        <v>0</v>
      </c>
      <c r="CM10" s="129">
        <f t="shared" si="21"/>
        <v>0</v>
      </c>
      <c r="CN10" s="129">
        <f t="shared" si="21"/>
        <v>0</v>
      </c>
      <c r="CO10" s="129">
        <f t="shared" si="21"/>
        <v>0</v>
      </c>
      <c r="CP10" s="129">
        <f t="shared" si="21"/>
        <v>0</v>
      </c>
      <c r="CQ10" s="129">
        <f t="shared" si="21"/>
        <v>0</v>
      </c>
      <c r="CR10" s="129">
        <f t="shared" si="21"/>
        <v>0</v>
      </c>
      <c r="CS10" s="129">
        <f t="shared" si="21"/>
        <v>0</v>
      </c>
      <c r="CT10" s="129">
        <f t="shared" si="21"/>
        <v>0</v>
      </c>
      <c r="CU10" s="129">
        <f t="shared" si="21"/>
        <v>0</v>
      </c>
      <c r="CV10" s="129">
        <f t="shared" si="21"/>
        <v>0</v>
      </c>
      <c r="CW10" s="129">
        <f t="shared" si="21"/>
        <v>0</v>
      </c>
      <c r="CX10" s="129">
        <f t="shared" si="21"/>
        <v>0</v>
      </c>
      <c r="CY10" s="129">
        <f t="shared" si="21"/>
        <v>0</v>
      </c>
      <c r="CZ10" s="129">
        <f t="shared" si="21"/>
        <v>0</v>
      </c>
      <c r="DA10" s="129">
        <f t="shared" si="21"/>
        <v>0</v>
      </c>
      <c r="DB10" s="129">
        <f t="shared" si="21"/>
        <v>0</v>
      </c>
      <c r="DC10" s="129">
        <f t="shared" si="21"/>
        <v>0</v>
      </c>
      <c r="DD10" s="129">
        <f t="shared" si="21"/>
        <v>0</v>
      </c>
      <c r="DE10" s="129">
        <f t="shared" si="21"/>
        <v>0</v>
      </c>
      <c r="DF10" s="129">
        <f t="shared" si="21"/>
        <v>0</v>
      </c>
      <c r="DG10" s="129">
        <f t="shared" si="21"/>
        <v>0</v>
      </c>
      <c r="DH10" s="129">
        <f t="shared" si="21"/>
        <v>0</v>
      </c>
      <c r="DI10" s="129">
        <f t="shared" si="21"/>
        <v>0</v>
      </c>
      <c r="DJ10" s="129">
        <f t="shared" si="21"/>
        <v>0</v>
      </c>
      <c r="DK10" s="129">
        <f t="shared" si="21"/>
        <v>0</v>
      </c>
      <c r="DL10" s="129">
        <f t="shared" si="21"/>
        <v>0</v>
      </c>
      <c r="DM10" s="129">
        <f t="shared" si="21"/>
        <v>0</v>
      </c>
      <c r="DN10" s="129">
        <f t="shared" si="21"/>
        <v>0</v>
      </c>
      <c r="DO10" s="129">
        <f t="shared" si="21"/>
        <v>0</v>
      </c>
      <c r="DP10" s="129">
        <f t="shared" si="21"/>
        <v>0</v>
      </c>
      <c r="DQ10" s="129">
        <f t="shared" si="21"/>
        <v>0</v>
      </c>
      <c r="DR10" s="129">
        <f t="shared" si="21"/>
        <v>0</v>
      </c>
      <c r="DS10" s="129">
        <f t="shared" si="21"/>
        <v>0</v>
      </c>
      <c r="DT10" s="129">
        <f t="shared" si="21"/>
        <v>0</v>
      </c>
      <c r="DU10" s="129">
        <f t="shared" si="21"/>
        <v>0</v>
      </c>
      <c r="DV10" s="129">
        <f t="shared" si="21"/>
        <v>0</v>
      </c>
      <c r="DW10" s="129">
        <f t="shared" si="21"/>
        <v>0</v>
      </c>
      <c r="DX10" s="129">
        <f t="shared" si="21"/>
        <v>0</v>
      </c>
      <c r="DY10" s="129">
        <f t="shared" si="21"/>
        <v>0</v>
      </c>
      <c r="DZ10" s="129">
        <f t="shared" si="21"/>
        <v>0</v>
      </c>
      <c r="EA10" s="129">
        <f t="shared" si="21"/>
        <v>0</v>
      </c>
      <c r="EB10" s="129">
        <f t="shared" si="21"/>
        <v>0</v>
      </c>
      <c r="EC10" s="129">
        <f t="shared" si="21"/>
        <v>0</v>
      </c>
      <c r="ED10" s="129">
        <f t="shared" si="21"/>
        <v>0</v>
      </c>
      <c r="EE10" s="129">
        <f t="shared" ref="EE10:GP10" si="22">(EE$2&lt;=$D10)*(EF$2&gt;$C10)</f>
        <v>0</v>
      </c>
      <c r="EF10" s="129">
        <f t="shared" si="22"/>
        <v>0</v>
      </c>
      <c r="EG10" s="129">
        <f t="shared" si="22"/>
        <v>0</v>
      </c>
      <c r="EH10" s="129">
        <f t="shared" si="22"/>
        <v>0</v>
      </c>
      <c r="EI10" s="129">
        <f t="shared" si="22"/>
        <v>0</v>
      </c>
      <c r="EJ10" s="129">
        <f t="shared" si="22"/>
        <v>0</v>
      </c>
      <c r="EK10" s="129">
        <f t="shared" si="22"/>
        <v>0</v>
      </c>
      <c r="EL10" s="129">
        <f t="shared" si="22"/>
        <v>0</v>
      </c>
      <c r="EM10" s="129">
        <f t="shared" si="22"/>
        <v>0</v>
      </c>
      <c r="EN10" s="129">
        <f t="shared" si="22"/>
        <v>0</v>
      </c>
      <c r="EO10" s="129">
        <f t="shared" si="22"/>
        <v>0</v>
      </c>
      <c r="EP10" s="129">
        <f t="shared" si="22"/>
        <v>0</v>
      </c>
      <c r="EQ10" s="129">
        <f t="shared" si="22"/>
        <v>0</v>
      </c>
      <c r="ER10" s="129">
        <f t="shared" si="22"/>
        <v>0</v>
      </c>
      <c r="ES10" s="129">
        <f t="shared" si="22"/>
        <v>0</v>
      </c>
      <c r="ET10" s="129">
        <f t="shared" si="22"/>
        <v>0</v>
      </c>
      <c r="EU10" s="129">
        <f t="shared" si="22"/>
        <v>0</v>
      </c>
      <c r="EV10" s="129">
        <f t="shared" si="22"/>
        <v>0</v>
      </c>
      <c r="EW10" s="129">
        <f t="shared" si="22"/>
        <v>0</v>
      </c>
      <c r="EX10" s="129">
        <f t="shared" si="22"/>
        <v>0</v>
      </c>
      <c r="EY10" s="129">
        <f t="shared" si="22"/>
        <v>0</v>
      </c>
      <c r="EZ10" s="129">
        <f t="shared" si="22"/>
        <v>0</v>
      </c>
      <c r="FA10" s="129">
        <f t="shared" si="22"/>
        <v>0</v>
      </c>
      <c r="FB10" s="129">
        <f t="shared" si="22"/>
        <v>0</v>
      </c>
      <c r="FC10" s="129">
        <f t="shared" si="22"/>
        <v>0</v>
      </c>
      <c r="FD10" s="129">
        <f t="shared" si="22"/>
        <v>0</v>
      </c>
      <c r="FE10" s="129">
        <f t="shared" si="22"/>
        <v>0</v>
      </c>
      <c r="FF10" s="129">
        <f t="shared" si="22"/>
        <v>0</v>
      </c>
      <c r="FG10" s="129">
        <f t="shared" si="22"/>
        <v>0</v>
      </c>
      <c r="FH10" s="129">
        <f t="shared" si="22"/>
        <v>0</v>
      </c>
      <c r="FI10" s="129">
        <f t="shared" si="22"/>
        <v>0</v>
      </c>
      <c r="FJ10" s="129">
        <f t="shared" si="22"/>
        <v>0</v>
      </c>
      <c r="FK10" s="129">
        <f t="shared" si="22"/>
        <v>0</v>
      </c>
      <c r="FL10" s="129">
        <f t="shared" si="22"/>
        <v>0</v>
      </c>
      <c r="FM10" s="129">
        <f t="shared" si="22"/>
        <v>0</v>
      </c>
      <c r="FN10" s="129">
        <f t="shared" si="22"/>
        <v>0</v>
      </c>
      <c r="FO10" s="129">
        <f t="shared" si="22"/>
        <v>0</v>
      </c>
      <c r="FP10" s="129">
        <f t="shared" si="22"/>
        <v>0</v>
      </c>
      <c r="FQ10" s="129">
        <f t="shared" si="22"/>
        <v>0</v>
      </c>
      <c r="FR10" s="129">
        <f t="shared" si="22"/>
        <v>0</v>
      </c>
      <c r="FS10" s="129">
        <f t="shared" si="22"/>
        <v>0</v>
      </c>
      <c r="FT10" s="129">
        <f t="shared" si="22"/>
        <v>0</v>
      </c>
      <c r="FU10" s="129">
        <f t="shared" si="22"/>
        <v>0</v>
      </c>
      <c r="FV10" s="129">
        <f t="shared" si="22"/>
        <v>0</v>
      </c>
      <c r="FW10" s="129">
        <f t="shared" si="22"/>
        <v>0</v>
      </c>
      <c r="FX10" s="129">
        <f t="shared" si="22"/>
        <v>0</v>
      </c>
      <c r="FY10" s="129">
        <f t="shared" si="22"/>
        <v>0</v>
      </c>
      <c r="FZ10" s="129">
        <f t="shared" si="22"/>
        <v>0</v>
      </c>
      <c r="GA10" s="129">
        <f t="shared" si="22"/>
        <v>0</v>
      </c>
      <c r="GB10" s="129">
        <f t="shared" si="22"/>
        <v>0</v>
      </c>
      <c r="GC10" s="129">
        <f t="shared" si="22"/>
        <v>0</v>
      </c>
      <c r="GD10" s="129">
        <f t="shared" si="22"/>
        <v>0</v>
      </c>
      <c r="GE10" s="129">
        <f t="shared" si="22"/>
        <v>0</v>
      </c>
      <c r="GF10" s="129">
        <f t="shared" si="22"/>
        <v>0</v>
      </c>
      <c r="GG10" s="129">
        <f t="shared" si="22"/>
        <v>0</v>
      </c>
      <c r="GH10" s="129">
        <f t="shared" si="22"/>
        <v>0</v>
      </c>
      <c r="GI10" s="129">
        <f t="shared" si="22"/>
        <v>0</v>
      </c>
      <c r="GJ10" s="129">
        <f t="shared" si="22"/>
        <v>0</v>
      </c>
      <c r="GK10" s="129">
        <f t="shared" si="22"/>
        <v>0</v>
      </c>
      <c r="GL10" s="129">
        <f t="shared" si="22"/>
        <v>0</v>
      </c>
      <c r="GM10" s="129">
        <f t="shared" si="22"/>
        <v>0</v>
      </c>
      <c r="GN10" s="129">
        <f t="shared" si="22"/>
        <v>0</v>
      </c>
      <c r="GO10" s="129">
        <f t="shared" si="22"/>
        <v>0</v>
      </c>
      <c r="GP10" s="129">
        <f t="shared" si="22"/>
        <v>0</v>
      </c>
      <c r="GQ10" s="129">
        <f t="shared" ref="GQ10:JB10" si="23">(GQ$2&lt;=$D10)*(GR$2&gt;$C10)</f>
        <v>0</v>
      </c>
      <c r="GR10" s="129">
        <f t="shared" si="23"/>
        <v>0</v>
      </c>
      <c r="GS10" s="129">
        <f t="shared" si="23"/>
        <v>0</v>
      </c>
      <c r="GT10" s="129">
        <f t="shared" si="23"/>
        <v>0</v>
      </c>
      <c r="GU10" s="129">
        <f t="shared" si="23"/>
        <v>0</v>
      </c>
      <c r="GV10" s="129">
        <f t="shared" si="23"/>
        <v>0</v>
      </c>
      <c r="GW10" s="129">
        <f t="shared" si="23"/>
        <v>0</v>
      </c>
      <c r="GX10" s="129">
        <f t="shared" si="23"/>
        <v>0</v>
      </c>
      <c r="GY10" s="129">
        <f t="shared" si="23"/>
        <v>0</v>
      </c>
      <c r="GZ10" s="129">
        <f t="shared" si="23"/>
        <v>0</v>
      </c>
      <c r="HA10" s="129">
        <f t="shared" si="23"/>
        <v>0</v>
      </c>
      <c r="HB10" s="129">
        <f t="shared" si="23"/>
        <v>0</v>
      </c>
      <c r="HC10" s="129">
        <f t="shared" si="23"/>
        <v>0</v>
      </c>
      <c r="HD10" s="129">
        <f t="shared" si="23"/>
        <v>0</v>
      </c>
      <c r="HE10" s="129">
        <f t="shared" si="23"/>
        <v>0</v>
      </c>
      <c r="HF10" s="129">
        <f t="shared" si="23"/>
        <v>0</v>
      </c>
      <c r="HG10" s="129">
        <f t="shared" si="23"/>
        <v>0</v>
      </c>
      <c r="HH10" s="129">
        <f t="shared" si="23"/>
        <v>0</v>
      </c>
      <c r="HI10" s="129">
        <f t="shared" si="23"/>
        <v>0</v>
      </c>
      <c r="HJ10" s="129">
        <f t="shared" si="23"/>
        <v>0</v>
      </c>
      <c r="HK10" s="129">
        <f t="shared" si="23"/>
        <v>0</v>
      </c>
      <c r="HL10" s="129">
        <f t="shared" si="23"/>
        <v>0</v>
      </c>
      <c r="HM10" s="129">
        <f t="shared" si="23"/>
        <v>0</v>
      </c>
      <c r="HN10" s="129">
        <f t="shared" si="23"/>
        <v>0</v>
      </c>
      <c r="HO10" s="129">
        <f t="shared" si="23"/>
        <v>0</v>
      </c>
      <c r="HP10" s="129">
        <f t="shared" si="23"/>
        <v>0</v>
      </c>
      <c r="HQ10" s="129">
        <f t="shared" si="23"/>
        <v>0</v>
      </c>
      <c r="HR10" s="129">
        <f t="shared" si="23"/>
        <v>0</v>
      </c>
      <c r="HS10" s="129">
        <f t="shared" si="23"/>
        <v>0</v>
      </c>
      <c r="HT10" s="129">
        <f t="shared" si="23"/>
        <v>0</v>
      </c>
      <c r="HU10" s="129">
        <f t="shared" si="23"/>
        <v>0</v>
      </c>
      <c r="HV10" s="129">
        <f t="shared" si="23"/>
        <v>0</v>
      </c>
      <c r="HW10" s="129">
        <f t="shared" si="23"/>
        <v>0</v>
      </c>
      <c r="HX10" s="129">
        <f t="shared" si="23"/>
        <v>0</v>
      </c>
      <c r="HY10" s="129">
        <f t="shared" si="23"/>
        <v>0</v>
      </c>
      <c r="HZ10" s="129">
        <f t="shared" si="23"/>
        <v>0</v>
      </c>
      <c r="IA10" s="129">
        <f t="shared" si="23"/>
        <v>0</v>
      </c>
      <c r="IB10" s="129">
        <f t="shared" si="23"/>
        <v>0</v>
      </c>
      <c r="IC10" s="129">
        <f t="shared" si="23"/>
        <v>0</v>
      </c>
      <c r="ID10" s="129">
        <f t="shared" si="23"/>
        <v>0</v>
      </c>
      <c r="IE10" s="129">
        <f t="shared" si="23"/>
        <v>0</v>
      </c>
      <c r="IF10" s="129">
        <f t="shared" si="23"/>
        <v>0</v>
      </c>
      <c r="IG10" s="129">
        <f t="shared" si="23"/>
        <v>0</v>
      </c>
      <c r="IH10" s="129">
        <f t="shared" si="23"/>
        <v>0</v>
      </c>
      <c r="II10" s="129">
        <f t="shared" si="23"/>
        <v>0</v>
      </c>
      <c r="IJ10" s="129">
        <f t="shared" si="23"/>
        <v>0</v>
      </c>
      <c r="IK10" s="129">
        <f t="shared" si="23"/>
        <v>0</v>
      </c>
      <c r="IL10" s="129">
        <f t="shared" si="23"/>
        <v>0</v>
      </c>
      <c r="IM10" s="129">
        <f t="shared" si="23"/>
        <v>0</v>
      </c>
      <c r="IN10" s="129">
        <f t="shared" si="23"/>
        <v>0</v>
      </c>
      <c r="IO10" s="129">
        <f t="shared" si="23"/>
        <v>0</v>
      </c>
      <c r="IP10" s="129">
        <f t="shared" si="23"/>
        <v>0</v>
      </c>
      <c r="IQ10" s="129">
        <f t="shared" si="23"/>
        <v>0</v>
      </c>
      <c r="IR10" s="129">
        <f t="shared" si="23"/>
        <v>0</v>
      </c>
      <c r="IS10" s="129">
        <f t="shared" si="23"/>
        <v>0</v>
      </c>
      <c r="IT10" s="129">
        <f t="shared" si="23"/>
        <v>0</v>
      </c>
      <c r="IU10" s="129">
        <f t="shared" si="23"/>
        <v>0</v>
      </c>
      <c r="IV10" s="129">
        <f t="shared" si="23"/>
        <v>0</v>
      </c>
      <c r="IW10" s="129">
        <f t="shared" si="23"/>
        <v>0</v>
      </c>
      <c r="IX10" s="129">
        <f t="shared" si="23"/>
        <v>0</v>
      </c>
      <c r="IY10" s="129">
        <f t="shared" si="23"/>
        <v>0</v>
      </c>
      <c r="IZ10" s="129">
        <f t="shared" si="23"/>
        <v>0</v>
      </c>
      <c r="JA10" s="129">
        <f t="shared" si="23"/>
        <v>0</v>
      </c>
      <c r="JB10" s="129">
        <f t="shared" si="23"/>
        <v>0</v>
      </c>
      <c r="JC10" s="129">
        <f t="shared" ref="JC10:KW10" si="24">(JC$2&lt;=$D10)*(JD$2&gt;$C10)</f>
        <v>0</v>
      </c>
      <c r="JD10" s="129">
        <f t="shared" si="24"/>
        <v>0</v>
      </c>
      <c r="JE10" s="129">
        <f t="shared" si="24"/>
        <v>0</v>
      </c>
      <c r="JF10" s="129">
        <f t="shared" si="24"/>
        <v>0</v>
      </c>
      <c r="JG10" s="129">
        <f t="shared" si="24"/>
        <v>0</v>
      </c>
      <c r="JH10" s="129">
        <f t="shared" si="24"/>
        <v>0</v>
      </c>
      <c r="JI10" s="129">
        <f t="shared" si="24"/>
        <v>0</v>
      </c>
      <c r="JJ10" s="129">
        <f t="shared" si="24"/>
        <v>0</v>
      </c>
      <c r="JK10" s="129">
        <f t="shared" si="24"/>
        <v>0</v>
      </c>
      <c r="JL10" s="129">
        <f t="shared" si="24"/>
        <v>0</v>
      </c>
      <c r="JM10" s="129">
        <f t="shared" si="24"/>
        <v>0</v>
      </c>
      <c r="JN10" s="129">
        <f t="shared" si="24"/>
        <v>0</v>
      </c>
      <c r="JO10" s="129">
        <f t="shared" si="24"/>
        <v>0</v>
      </c>
      <c r="JP10" s="129">
        <f t="shared" si="24"/>
        <v>0</v>
      </c>
      <c r="JQ10" s="129">
        <f t="shared" si="24"/>
        <v>0</v>
      </c>
      <c r="JR10" s="129">
        <f t="shared" si="24"/>
        <v>0</v>
      </c>
      <c r="JS10" s="129">
        <f t="shared" si="24"/>
        <v>0</v>
      </c>
      <c r="JT10" s="129">
        <f t="shared" si="24"/>
        <v>0</v>
      </c>
      <c r="JU10" s="129">
        <f t="shared" si="24"/>
        <v>0</v>
      </c>
      <c r="JV10" s="129">
        <f t="shared" si="24"/>
        <v>0</v>
      </c>
      <c r="JW10" s="129">
        <f t="shared" si="24"/>
        <v>0</v>
      </c>
      <c r="JX10" s="129">
        <f t="shared" si="24"/>
        <v>0</v>
      </c>
      <c r="JY10" s="129">
        <f t="shared" si="24"/>
        <v>0</v>
      </c>
      <c r="JZ10" s="129">
        <f t="shared" si="24"/>
        <v>0</v>
      </c>
      <c r="KA10" s="129">
        <f t="shared" si="24"/>
        <v>0</v>
      </c>
      <c r="KB10" s="129">
        <f t="shared" si="24"/>
        <v>0</v>
      </c>
      <c r="KC10" s="129">
        <f t="shared" si="24"/>
        <v>0</v>
      </c>
      <c r="KD10" s="129">
        <f t="shared" si="24"/>
        <v>0</v>
      </c>
      <c r="KE10" s="129">
        <f t="shared" si="24"/>
        <v>0</v>
      </c>
      <c r="KF10" s="129">
        <f t="shared" si="24"/>
        <v>0</v>
      </c>
      <c r="KG10" s="129">
        <f t="shared" si="24"/>
        <v>0</v>
      </c>
      <c r="KH10" s="129">
        <f t="shared" si="24"/>
        <v>0</v>
      </c>
      <c r="KI10" s="129">
        <f t="shared" si="24"/>
        <v>0</v>
      </c>
      <c r="KJ10" s="129">
        <f t="shared" si="24"/>
        <v>0</v>
      </c>
      <c r="KK10" s="129">
        <f t="shared" si="24"/>
        <v>0</v>
      </c>
      <c r="KL10" s="129">
        <f t="shared" si="24"/>
        <v>0</v>
      </c>
      <c r="KM10" s="129">
        <f t="shared" si="24"/>
        <v>0</v>
      </c>
      <c r="KN10" s="129">
        <f t="shared" si="24"/>
        <v>0</v>
      </c>
      <c r="KO10" s="129">
        <f t="shared" si="24"/>
        <v>0</v>
      </c>
      <c r="KP10" s="129">
        <f t="shared" si="24"/>
        <v>0</v>
      </c>
      <c r="KQ10" s="129">
        <f t="shared" si="24"/>
        <v>0</v>
      </c>
      <c r="KR10" s="129">
        <f t="shared" si="24"/>
        <v>0</v>
      </c>
      <c r="KS10" s="129">
        <f t="shared" si="24"/>
        <v>0</v>
      </c>
      <c r="KT10" s="129">
        <f t="shared" si="24"/>
        <v>0</v>
      </c>
      <c r="KU10" s="129">
        <f t="shared" si="24"/>
        <v>0</v>
      </c>
      <c r="KV10" s="129">
        <f t="shared" si="24"/>
        <v>0</v>
      </c>
      <c r="KW10" s="129">
        <f t="shared" si="24"/>
        <v>0</v>
      </c>
    </row>
    <row r="12" spans="2:468" x14ac:dyDescent="0.2">
      <c r="B12" s="64" t="s">
        <v>25</v>
      </c>
      <c r="C12" s="64"/>
      <c r="D12" s="64"/>
      <c r="E12" s="64"/>
      <c r="F12" s="64"/>
      <c r="G12" s="120"/>
      <c r="H12" s="120"/>
      <c r="I12" s="120"/>
      <c r="J12" s="120"/>
      <c r="K12" s="120"/>
      <c r="L12" s="120"/>
      <c r="M12" s="120"/>
      <c r="N12" s="120"/>
      <c r="O12" s="120"/>
      <c r="P12" s="120"/>
      <c r="Q12" s="120"/>
      <c r="R12" s="120"/>
      <c r="S12" s="120"/>
      <c r="T12" s="120"/>
      <c r="U12" s="120"/>
      <c r="V12" s="120"/>
      <c r="W12" s="120"/>
      <c r="X12" s="120"/>
      <c r="Y12" s="120"/>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0"/>
      <c r="BD12" s="120"/>
      <c r="BE12" s="120"/>
      <c r="BF12" s="120"/>
      <c r="BG12" s="120"/>
      <c r="BH12" s="120"/>
      <c r="BI12" s="120"/>
      <c r="BJ12" s="120"/>
      <c r="BK12" s="120"/>
      <c r="BL12" s="120"/>
      <c r="BM12" s="120"/>
      <c r="BN12" s="120"/>
      <c r="BO12" s="120"/>
      <c r="BP12" s="120"/>
      <c r="BQ12" s="120"/>
      <c r="BR12" s="120"/>
      <c r="BS12" s="120"/>
      <c r="BT12" s="120"/>
      <c r="BU12" s="120"/>
      <c r="BV12" s="120"/>
      <c r="BW12" s="120"/>
      <c r="BX12" s="120"/>
      <c r="BY12" s="120"/>
      <c r="BZ12" s="120"/>
      <c r="CA12" s="120"/>
      <c r="CB12" s="120"/>
      <c r="CC12" s="120"/>
      <c r="CD12" s="120"/>
      <c r="CE12" s="120"/>
      <c r="CF12" s="120"/>
      <c r="CG12" s="120"/>
      <c r="CH12" s="120"/>
      <c r="CI12" s="120"/>
      <c r="CJ12" s="120"/>
      <c r="CK12" s="120"/>
      <c r="CL12" s="120"/>
      <c r="CM12" s="120"/>
      <c r="CN12" s="120"/>
      <c r="CO12" s="120"/>
      <c r="CP12" s="120"/>
      <c r="CQ12" s="120"/>
      <c r="CR12" s="120"/>
      <c r="CS12" s="120"/>
      <c r="CT12" s="120"/>
      <c r="CU12" s="120"/>
      <c r="CV12" s="120"/>
      <c r="CW12" s="120"/>
      <c r="CX12" s="120"/>
      <c r="CY12" s="120"/>
      <c r="CZ12" s="120"/>
      <c r="DA12" s="120"/>
      <c r="DB12" s="120"/>
      <c r="DC12" s="120"/>
      <c r="DD12" s="120"/>
      <c r="DE12" s="120"/>
      <c r="DF12" s="120"/>
      <c r="DG12" s="120"/>
      <c r="DH12" s="120"/>
      <c r="DI12" s="120"/>
      <c r="DJ12" s="120"/>
      <c r="DK12" s="120"/>
      <c r="DL12" s="120"/>
      <c r="DM12" s="120"/>
      <c r="DN12" s="120"/>
      <c r="DO12" s="120"/>
      <c r="DP12" s="120"/>
      <c r="DQ12" s="120"/>
      <c r="DR12" s="120"/>
      <c r="DS12" s="120"/>
      <c r="DT12" s="120"/>
      <c r="DU12" s="120"/>
      <c r="DV12" s="120"/>
      <c r="DW12" s="120"/>
      <c r="DX12" s="120"/>
      <c r="DY12" s="120"/>
      <c r="DZ12" s="120"/>
      <c r="EA12" s="120"/>
      <c r="EB12" s="120"/>
      <c r="EC12" s="120"/>
      <c r="ED12" s="120"/>
      <c r="EE12" s="120"/>
      <c r="EF12" s="120"/>
      <c r="EG12" s="120"/>
      <c r="EH12" s="120"/>
      <c r="EI12" s="120"/>
      <c r="EJ12" s="120"/>
      <c r="EK12" s="120"/>
      <c r="EL12" s="120"/>
      <c r="EM12" s="120"/>
      <c r="EN12" s="120"/>
      <c r="EO12" s="120"/>
      <c r="EP12" s="120"/>
      <c r="EQ12" s="120"/>
      <c r="ER12" s="120"/>
      <c r="ES12" s="120"/>
      <c r="ET12" s="120"/>
      <c r="EU12" s="120"/>
      <c r="EV12" s="120"/>
      <c r="EW12" s="120"/>
      <c r="EX12" s="120"/>
      <c r="EY12" s="120"/>
      <c r="EZ12" s="120"/>
      <c r="FA12" s="120"/>
      <c r="FB12" s="120"/>
      <c r="FC12" s="120"/>
      <c r="FD12" s="120"/>
      <c r="FE12" s="120"/>
      <c r="FF12" s="120"/>
      <c r="FG12" s="120"/>
      <c r="FH12" s="120"/>
      <c r="FI12" s="120"/>
      <c r="FJ12" s="120"/>
      <c r="FK12" s="120"/>
      <c r="FL12" s="120"/>
      <c r="FM12" s="120"/>
      <c r="FN12" s="120"/>
      <c r="FO12" s="120"/>
      <c r="FP12" s="120"/>
      <c r="FQ12" s="120"/>
      <c r="FR12" s="120"/>
      <c r="FS12" s="120"/>
      <c r="FT12" s="120"/>
      <c r="FU12" s="120"/>
      <c r="FV12" s="120"/>
      <c r="FW12" s="120"/>
      <c r="FX12" s="120"/>
      <c r="FY12" s="120"/>
      <c r="FZ12" s="120"/>
      <c r="GA12" s="120"/>
      <c r="GB12" s="120"/>
      <c r="GC12" s="120"/>
      <c r="GD12" s="120"/>
      <c r="GE12" s="120"/>
      <c r="GF12" s="120"/>
      <c r="GG12" s="120"/>
      <c r="GH12" s="120"/>
      <c r="GI12" s="120"/>
      <c r="GJ12" s="120"/>
      <c r="GK12" s="120"/>
      <c r="GL12" s="120"/>
      <c r="GM12" s="120"/>
      <c r="GN12" s="120"/>
      <c r="GO12" s="120"/>
      <c r="GP12" s="120"/>
      <c r="GQ12" s="120"/>
      <c r="GR12" s="120"/>
      <c r="GS12" s="120"/>
      <c r="GT12" s="120"/>
      <c r="GU12" s="120"/>
      <c r="GV12" s="120"/>
      <c r="GW12" s="120"/>
      <c r="GX12" s="120"/>
      <c r="GY12" s="120"/>
      <c r="GZ12" s="120"/>
      <c r="HA12" s="120"/>
      <c r="HB12" s="120"/>
      <c r="HC12" s="120"/>
      <c r="HD12" s="120"/>
      <c r="HE12" s="120"/>
      <c r="HF12" s="120"/>
      <c r="HG12" s="120"/>
      <c r="HH12" s="120"/>
      <c r="HI12" s="120"/>
      <c r="HJ12" s="120"/>
      <c r="HK12" s="120"/>
      <c r="HL12" s="120"/>
      <c r="HM12" s="120"/>
      <c r="HN12" s="120"/>
      <c r="HO12" s="120"/>
      <c r="HP12" s="120"/>
      <c r="HQ12" s="120"/>
      <c r="HR12" s="120"/>
      <c r="HS12" s="120"/>
      <c r="HT12" s="120"/>
      <c r="HU12" s="120"/>
      <c r="HV12" s="120"/>
      <c r="HW12" s="120"/>
      <c r="HX12" s="120"/>
      <c r="HY12" s="120"/>
      <c r="HZ12" s="120"/>
      <c r="IA12" s="120"/>
      <c r="IB12" s="120"/>
      <c r="IC12" s="120"/>
      <c r="ID12" s="120"/>
      <c r="IE12" s="120"/>
      <c r="IF12" s="120"/>
      <c r="IG12" s="120"/>
      <c r="IH12" s="120"/>
      <c r="II12" s="120"/>
      <c r="IJ12" s="120"/>
      <c r="IK12" s="120"/>
      <c r="IL12" s="120"/>
      <c r="IM12" s="120"/>
      <c r="IN12" s="120"/>
      <c r="IO12" s="120"/>
      <c r="IP12" s="120"/>
      <c r="IQ12" s="120"/>
      <c r="IR12" s="120"/>
      <c r="IS12" s="120"/>
      <c r="IT12" s="120"/>
      <c r="IU12" s="120"/>
      <c r="IV12" s="120"/>
      <c r="IW12" s="120"/>
      <c r="IX12" s="120"/>
      <c r="IY12" s="120"/>
      <c r="IZ12" s="120"/>
      <c r="JA12" s="120"/>
      <c r="JB12" s="120"/>
      <c r="JC12" s="120"/>
      <c r="JD12" s="120"/>
      <c r="JE12" s="120"/>
      <c r="JF12" s="120"/>
      <c r="JG12" s="120"/>
      <c r="JH12" s="120"/>
      <c r="JI12" s="120"/>
      <c r="JJ12" s="120"/>
      <c r="JK12" s="120"/>
      <c r="JL12" s="120"/>
      <c r="JM12" s="120"/>
      <c r="JN12" s="120"/>
      <c r="JO12" s="120"/>
      <c r="JP12" s="120"/>
      <c r="JQ12" s="120"/>
      <c r="JR12" s="120"/>
      <c r="JS12" s="120"/>
      <c r="JT12" s="120"/>
      <c r="JU12" s="120"/>
      <c r="JV12" s="120"/>
      <c r="JW12" s="120"/>
      <c r="JX12" s="120"/>
      <c r="JY12" s="120"/>
      <c r="JZ12" s="120"/>
      <c r="KA12" s="120"/>
      <c r="KB12" s="120"/>
      <c r="KC12" s="120"/>
      <c r="KD12" s="120"/>
      <c r="KE12" s="120"/>
      <c r="KF12" s="120"/>
      <c r="KG12" s="120"/>
      <c r="KH12" s="120"/>
      <c r="KI12" s="120"/>
      <c r="KJ12" s="120"/>
      <c r="KK12" s="120"/>
      <c r="KL12" s="120"/>
      <c r="KM12" s="120"/>
      <c r="KN12" s="120"/>
      <c r="KO12" s="120"/>
      <c r="KP12" s="120"/>
      <c r="KQ12" s="120"/>
      <c r="KR12" s="120"/>
      <c r="KS12" s="120"/>
      <c r="KT12" s="120"/>
      <c r="KU12" s="120"/>
      <c r="KV12" s="120"/>
      <c r="KW12" s="120"/>
    </row>
    <row r="14" spans="2:468" x14ac:dyDescent="0.2">
      <c r="B14" s="76" t="s">
        <v>28</v>
      </c>
      <c r="C14" s="137">
        <f>'Assumptions and Key Inputs'!D19</f>
        <v>75000</v>
      </c>
      <c r="D14" s="130" t="s">
        <v>50</v>
      </c>
      <c r="E14" s="128">
        <f>SUM(G14:KW14)</f>
        <v>75000</v>
      </c>
      <c r="G14" s="110">
        <f t="shared" ref="G14:BR14" si="25">G7*($C$14/$E$7)</f>
        <v>0</v>
      </c>
      <c r="H14" s="110">
        <f t="shared" si="25"/>
        <v>0</v>
      </c>
      <c r="I14" s="110">
        <f t="shared" si="25"/>
        <v>0</v>
      </c>
      <c r="J14" s="110">
        <f t="shared" si="25"/>
        <v>0</v>
      </c>
      <c r="K14" s="110">
        <f t="shared" si="25"/>
        <v>0</v>
      </c>
      <c r="L14" s="110">
        <f t="shared" si="25"/>
        <v>0</v>
      </c>
      <c r="M14" s="110">
        <f t="shared" si="25"/>
        <v>0</v>
      </c>
      <c r="N14" s="110">
        <f t="shared" si="25"/>
        <v>0</v>
      </c>
      <c r="O14" s="110">
        <f t="shared" si="25"/>
        <v>75000</v>
      </c>
      <c r="P14" s="110">
        <f t="shared" si="25"/>
        <v>0</v>
      </c>
      <c r="Q14" s="110">
        <f t="shared" si="25"/>
        <v>0</v>
      </c>
      <c r="R14" s="110">
        <f t="shared" si="25"/>
        <v>0</v>
      </c>
      <c r="S14" s="110">
        <f t="shared" si="25"/>
        <v>0</v>
      </c>
      <c r="T14" s="110">
        <f t="shared" si="25"/>
        <v>0</v>
      </c>
      <c r="U14" s="110">
        <f t="shared" si="25"/>
        <v>0</v>
      </c>
      <c r="V14" s="110">
        <f t="shared" si="25"/>
        <v>0</v>
      </c>
      <c r="W14" s="110">
        <f t="shared" si="25"/>
        <v>0</v>
      </c>
      <c r="X14" s="110">
        <f t="shared" si="25"/>
        <v>0</v>
      </c>
      <c r="Y14" s="110">
        <f t="shared" si="25"/>
        <v>0</v>
      </c>
      <c r="Z14" s="110">
        <f t="shared" si="25"/>
        <v>0</v>
      </c>
      <c r="AA14" s="110">
        <f t="shared" si="25"/>
        <v>0</v>
      </c>
      <c r="AB14" s="110">
        <f t="shared" si="25"/>
        <v>0</v>
      </c>
      <c r="AC14" s="110">
        <f t="shared" si="25"/>
        <v>0</v>
      </c>
      <c r="AD14" s="110">
        <f t="shared" si="25"/>
        <v>0</v>
      </c>
      <c r="AE14" s="110">
        <f t="shared" si="25"/>
        <v>0</v>
      </c>
      <c r="AF14" s="110">
        <f t="shared" si="25"/>
        <v>0</v>
      </c>
      <c r="AG14" s="110">
        <f t="shared" si="25"/>
        <v>0</v>
      </c>
      <c r="AH14" s="110">
        <f t="shared" si="25"/>
        <v>0</v>
      </c>
      <c r="AI14" s="110">
        <f t="shared" si="25"/>
        <v>0</v>
      </c>
      <c r="AJ14" s="110">
        <f t="shared" si="25"/>
        <v>0</v>
      </c>
      <c r="AK14" s="110">
        <f t="shared" si="25"/>
        <v>0</v>
      </c>
      <c r="AL14" s="110">
        <f t="shared" si="25"/>
        <v>0</v>
      </c>
      <c r="AM14" s="110">
        <f t="shared" si="25"/>
        <v>0</v>
      </c>
      <c r="AN14" s="110">
        <f t="shared" si="25"/>
        <v>0</v>
      </c>
      <c r="AO14" s="110">
        <f t="shared" si="25"/>
        <v>0</v>
      </c>
      <c r="AP14" s="110">
        <f t="shared" si="25"/>
        <v>0</v>
      </c>
      <c r="AQ14" s="110">
        <f t="shared" si="25"/>
        <v>0</v>
      </c>
      <c r="AR14" s="110">
        <f t="shared" si="25"/>
        <v>0</v>
      </c>
      <c r="AS14" s="110">
        <f t="shared" si="25"/>
        <v>0</v>
      </c>
      <c r="AT14" s="110">
        <f t="shared" si="25"/>
        <v>0</v>
      </c>
      <c r="AU14" s="110">
        <f t="shared" si="25"/>
        <v>0</v>
      </c>
      <c r="AV14" s="110">
        <f t="shared" si="25"/>
        <v>0</v>
      </c>
      <c r="AW14" s="110">
        <f t="shared" si="25"/>
        <v>0</v>
      </c>
      <c r="AX14" s="110">
        <f t="shared" si="25"/>
        <v>0</v>
      </c>
      <c r="AY14" s="110">
        <f t="shared" si="25"/>
        <v>0</v>
      </c>
      <c r="AZ14" s="110">
        <f t="shared" si="25"/>
        <v>0</v>
      </c>
      <c r="BA14" s="110">
        <f t="shared" si="25"/>
        <v>0</v>
      </c>
      <c r="BB14" s="110">
        <f t="shared" si="25"/>
        <v>0</v>
      </c>
      <c r="BC14" s="110">
        <f t="shared" si="25"/>
        <v>0</v>
      </c>
      <c r="BD14" s="110">
        <f t="shared" si="25"/>
        <v>0</v>
      </c>
      <c r="BE14" s="110">
        <f t="shared" si="25"/>
        <v>0</v>
      </c>
      <c r="BF14" s="110">
        <f t="shared" si="25"/>
        <v>0</v>
      </c>
      <c r="BG14" s="110">
        <f t="shared" si="25"/>
        <v>0</v>
      </c>
      <c r="BH14" s="110">
        <f t="shared" si="25"/>
        <v>0</v>
      </c>
      <c r="BI14" s="110">
        <f t="shared" si="25"/>
        <v>0</v>
      </c>
      <c r="BJ14" s="110">
        <f t="shared" si="25"/>
        <v>0</v>
      </c>
      <c r="BK14" s="110">
        <f t="shared" si="25"/>
        <v>0</v>
      </c>
      <c r="BL14" s="110">
        <f t="shared" si="25"/>
        <v>0</v>
      </c>
      <c r="BM14" s="110">
        <f t="shared" si="25"/>
        <v>0</v>
      </c>
      <c r="BN14" s="110">
        <f t="shared" si="25"/>
        <v>0</v>
      </c>
      <c r="BO14" s="110">
        <f t="shared" si="25"/>
        <v>0</v>
      </c>
      <c r="BP14" s="110">
        <f t="shared" si="25"/>
        <v>0</v>
      </c>
      <c r="BQ14" s="110">
        <f t="shared" si="25"/>
        <v>0</v>
      </c>
      <c r="BR14" s="110">
        <f t="shared" si="25"/>
        <v>0</v>
      </c>
      <c r="BS14" s="110">
        <f t="shared" ref="BS14:ED14" si="26">BS7*($C$14/$E$7)</f>
        <v>0</v>
      </c>
      <c r="BT14" s="110">
        <f t="shared" si="26"/>
        <v>0</v>
      </c>
      <c r="BU14" s="110">
        <f t="shared" si="26"/>
        <v>0</v>
      </c>
      <c r="BV14" s="110">
        <f t="shared" si="26"/>
        <v>0</v>
      </c>
      <c r="BW14" s="110">
        <f t="shared" si="26"/>
        <v>0</v>
      </c>
      <c r="BX14" s="110">
        <f t="shared" si="26"/>
        <v>0</v>
      </c>
      <c r="BY14" s="110">
        <f t="shared" si="26"/>
        <v>0</v>
      </c>
      <c r="BZ14" s="110">
        <f t="shared" si="26"/>
        <v>0</v>
      </c>
      <c r="CA14" s="110">
        <f t="shared" si="26"/>
        <v>0</v>
      </c>
      <c r="CB14" s="110">
        <f t="shared" si="26"/>
        <v>0</v>
      </c>
      <c r="CC14" s="110">
        <f t="shared" si="26"/>
        <v>0</v>
      </c>
      <c r="CD14" s="110">
        <f t="shared" si="26"/>
        <v>0</v>
      </c>
      <c r="CE14" s="110">
        <f t="shared" si="26"/>
        <v>0</v>
      </c>
      <c r="CF14" s="110">
        <f t="shared" si="26"/>
        <v>0</v>
      </c>
      <c r="CG14" s="110">
        <f t="shared" si="26"/>
        <v>0</v>
      </c>
      <c r="CH14" s="110">
        <f t="shared" si="26"/>
        <v>0</v>
      </c>
      <c r="CI14" s="110">
        <f t="shared" si="26"/>
        <v>0</v>
      </c>
      <c r="CJ14" s="110">
        <f t="shared" si="26"/>
        <v>0</v>
      </c>
      <c r="CK14" s="110">
        <f t="shared" si="26"/>
        <v>0</v>
      </c>
      <c r="CL14" s="110">
        <f t="shared" si="26"/>
        <v>0</v>
      </c>
      <c r="CM14" s="110">
        <f t="shared" si="26"/>
        <v>0</v>
      </c>
      <c r="CN14" s="110">
        <f t="shared" si="26"/>
        <v>0</v>
      </c>
      <c r="CO14" s="110">
        <f t="shared" si="26"/>
        <v>0</v>
      </c>
      <c r="CP14" s="110">
        <f t="shared" si="26"/>
        <v>0</v>
      </c>
      <c r="CQ14" s="110">
        <f t="shared" si="26"/>
        <v>0</v>
      </c>
      <c r="CR14" s="110">
        <f t="shared" si="26"/>
        <v>0</v>
      </c>
      <c r="CS14" s="110">
        <f t="shared" si="26"/>
        <v>0</v>
      </c>
      <c r="CT14" s="110">
        <f t="shared" si="26"/>
        <v>0</v>
      </c>
      <c r="CU14" s="110">
        <f t="shared" si="26"/>
        <v>0</v>
      </c>
      <c r="CV14" s="110">
        <f t="shared" si="26"/>
        <v>0</v>
      </c>
      <c r="CW14" s="110">
        <f t="shared" si="26"/>
        <v>0</v>
      </c>
      <c r="CX14" s="110">
        <f t="shared" si="26"/>
        <v>0</v>
      </c>
      <c r="CY14" s="110">
        <f t="shared" si="26"/>
        <v>0</v>
      </c>
      <c r="CZ14" s="110">
        <f t="shared" si="26"/>
        <v>0</v>
      </c>
      <c r="DA14" s="110">
        <f t="shared" si="26"/>
        <v>0</v>
      </c>
      <c r="DB14" s="110">
        <f t="shared" si="26"/>
        <v>0</v>
      </c>
      <c r="DC14" s="110">
        <f t="shared" si="26"/>
        <v>0</v>
      </c>
      <c r="DD14" s="110">
        <f t="shared" si="26"/>
        <v>0</v>
      </c>
      <c r="DE14" s="110">
        <f t="shared" si="26"/>
        <v>0</v>
      </c>
      <c r="DF14" s="110">
        <f t="shared" si="26"/>
        <v>0</v>
      </c>
      <c r="DG14" s="110">
        <f t="shared" si="26"/>
        <v>0</v>
      </c>
      <c r="DH14" s="110">
        <f t="shared" si="26"/>
        <v>0</v>
      </c>
      <c r="DI14" s="110">
        <f t="shared" si="26"/>
        <v>0</v>
      </c>
      <c r="DJ14" s="110">
        <f t="shared" si="26"/>
        <v>0</v>
      </c>
      <c r="DK14" s="110">
        <f t="shared" si="26"/>
        <v>0</v>
      </c>
      <c r="DL14" s="110">
        <f t="shared" si="26"/>
        <v>0</v>
      </c>
      <c r="DM14" s="110">
        <f t="shared" si="26"/>
        <v>0</v>
      </c>
      <c r="DN14" s="110">
        <f t="shared" si="26"/>
        <v>0</v>
      </c>
      <c r="DO14" s="110">
        <f t="shared" si="26"/>
        <v>0</v>
      </c>
      <c r="DP14" s="110">
        <f t="shared" si="26"/>
        <v>0</v>
      </c>
      <c r="DQ14" s="110">
        <f t="shared" si="26"/>
        <v>0</v>
      </c>
      <c r="DR14" s="110">
        <f t="shared" si="26"/>
        <v>0</v>
      </c>
      <c r="DS14" s="110">
        <f t="shared" si="26"/>
        <v>0</v>
      </c>
      <c r="DT14" s="110">
        <f t="shared" si="26"/>
        <v>0</v>
      </c>
      <c r="DU14" s="110">
        <f t="shared" si="26"/>
        <v>0</v>
      </c>
      <c r="DV14" s="110">
        <f t="shared" si="26"/>
        <v>0</v>
      </c>
      <c r="DW14" s="110">
        <f t="shared" si="26"/>
        <v>0</v>
      </c>
      <c r="DX14" s="110">
        <f t="shared" si="26"/>
        <v>0</v>
      </c>
      <c r="DY14" s="110">
        <f t="shared" si="26"/>
        <v>0</v>
      </c>
      <c r="DZ14" s="110">
        <f t="shared" si="26"/>
        <v>0</v>
      </c>
      <c r="EA14" s="110">
        <f t="shared" si="26"/>
        <v>0</v>
      </c>
      <c r="EB14" s="110">
        <f t="shared" si="26"/>
        <v>0</v>
      </c>
      <c r="EC14" s="110">
        <f t="shared" si="26"/>
        <v>0</v>
      </c>
      <c r="ED14" s="110">
        <f t="shared" si="26"/>
        <v>0</v>
      </c>
      <c r="EE14" s="110">
        <f t="shared" ref="EE14:GP14" si="27">EE7*($C$14/$E$7)</f>
        <v>0</v>
      </c>
      <c r="EF14" s="110">
        <f t="shared" si="27"/>
        <v>0</v>
      </c>
      <c r="EG14" s="110">
        <f t="shared" si="27"/>
        <v>0</v>
      </c>
      <c r="EH14" s="110">
        <f t="shared" si="27"/>
        <v>0</v>
      </c>
      <c r="EI14" s="110">
        <f t="shared" si="27"/>
        <v>0</v>
      </c>
      <c r="EJ14" s="110">
        <f t="shared" si="27"/>
        <v>0</v>
      </c>
      <c r="EK14" s="110">
        <f t="shared" si="27"/>
        <v>0</v>
      </c>
      <c r="EL14" s="110">
        <f t="shared" si="27"/>
        <v>0</v>
      </c>
      <c r="EM14" s="110">
        <f t="shared" si="27"/>
        <v>0</v>
      </c>
      <c r="EN14" s="110">
        <f t="shared" si="27"/>
        <v>0</v>
      </c>
      <c r="EO14" s="110">
        <f t="shared" si="27"/>
        <v>0</v>
      </c>
      <c r="EP14" s="110">
        <f t="shared" si="27"/>
        <v>0</v>
      </c>
      <c r="EQ14" s="110">
        <f t="shared" si="27"/>
        <v>0</v>
      </c>
      <c r="ER14" s="110">
        <f t="shared" si="27"/>
        <v>0</v>
      </c>
      <c r="ES14" s="110">
        <f t="shared" si="27"/>
        <v>0</v>
      </c>
      <c r="ET14" s="110">
        <f t="shared" si="27"/>
        <v>0</v>
      </c>
      <c r="EU14" s="110">
        <f t="shared" si="27"/>
        <v>0</v>
      </c>
      <c r="EV14" s="110">
        <f t="shared" si="27"/>
        <v>0</v>
      </c>
      <c r="EW14" s="110">
        <f t="shared" si="27"/>
        <v>0</v>
      </c>
      <c r="EX14" s="110">
        <f t="shared" si="27"/>
        <v>0</v>
      </c>
      <c r="EY14" s="110">
        <f t="shared" si="27"/>
        <v>0</v>
      </c>
      <c r="EZ14" s="110">
        <f t="shared" si="27"/>
        <v>0</v>
      </c>
      <c r="FA14" s="110">
        <f t="shared" si="27"/>
        <v>0</v>
      </c>
      <c r="FB14" s="110">
        <f t="shared" si="27"/>
        <v>0</v>
      </c>
      <c r="FC14" s="110">
        <f t="shared" si="27"/>
        <v>0</v>
      </c>
      <c r="FD14" s="110">
        <f t="shared" si="27"/>
        <v>0</v>
      </c>
      <c r="FE14" s="110">
        <f t="shared" si="27"/>
        <v>0</v>
      </c>
      <c r="FF14" s="110">
        <f t="shared" si="27"/>
        <v>0</v>
      </c>
      <c r="FG14" s="110">
        <f t="shared" si="27"/>
        <v>0</v>
      </c>
      <c r="FH14" s="110">
        <f t="shared" si="27"/>
        <v>0</v>
      </c>
      <c r="FI14" s="110">
        <f t="shared" si="27"/>
        <v>0</v>
      </c>
      <c r="FJ14" s="110">
        <f t="shared" si="27"/>
        <v>0</v>
      </c>
      <c r="FK14" s="110">
        <f t="shared" si="27"/>
        <v>0</v>
      </c>
      <c r="FL14" s="110">
        <f t="shared" si="27"/>
        <v>0</v>
      </c>
      <c r="FM14" s="110">
        <f t="shared" si="27"/>
        <v>0</v>
      </c>
      <c r="FN14" s="110">
        <f t="shared" si="27"/>
        <v>0</v>
      </c>
      <c r="FO14" s="110">
        <f t="shared" si="27"/>
        <v>0</v>
      </c>
      <c r="FP14" s="110">
        <f t="shared" si="27"/>
        <v>0</v>
      </c>
      <c r="FQ14" s="110">
        <f t="shared" si="27"/>
        <v>0</v>
      </c>
      <c r="FR14" s="110">
        <f t="shared" si="27"/>
        <v>0</v>
      </c>
      <c r="FS14" s="110">
        <f t="shared" si="27"/>
        <v>0</v>
      </c>
      <c r="FT14" s="110">
        <f t="shared" si="27"/>
        <v>0</v>
      </c>
      <c r="FU14" s="110">
        <f t="shared" si="27"/>
        <v>0</v>
      </c>
      <c r="FV14" s="110">
        <f t="shared" si="27"/>
        <v>0</v>
      </c>
      <c r="FW14" s="110">
        <f t="shared" si="27"/>
        <v>0</v>
      </c>
      <c r="FX14" s="110">
        <f t="shared" si="27"/>
        <v>0</v>
      </c>
      <c r="FY14" s="110">
        <f t="shared" si="27"/>
        <v>0</v>
      </c>
      <c r="FZ14" s="110">
        <f t="shared" si="27"/>
        <v>0</v>
      </c>
      <c r="GA14" s="110">
        <f t="shared" si="27"/>
        <v>0</v>
      </c>
      <c r="GB14" s="110">
        <f t="shared" si="27"/>
        <v>0</v>
      </c>
      <c r="GC14" s="110">
        <f t="shared" si="27"/>
        <v>0</v>
      </c>
      <c r="GD14" s="110">
        <f t="shared" si="27"/>
        <v>0</v>
      </c>
      <c r="GE14" s="110">
        <f t="shared" si="27"/>
        <v>0</v>
      </c>
      <c r="GF14" s="110">
        <f t="shared" si="27"/>
        <v>0</v>
      </c>
      <c r="GG14" s="110">
        <f t="shared" si="27"/>
        <v>0</v>
      </c>
      <c r="GH14" s="110">
        <f t="shared" si="27"/>
        <v>0</v>
      </c>
      <c r="GI14" s="110">
        <f t="shared" si="27"/>
        <v>0</v>
      </c>
      <c r="GJ14" s="110">
        <f t="shared" si="27"/>
        <v>0</v>
      </c>
      <c r="GK14" s="110">
        <f t="shared" si="27"/>
        <v>0</v>
      </c>
      <c r="GL14" s="110">
        <f t="shared" si="27"/>
        <v>0</v>
      </c>
      <c r="GM14" s="110">
        <f t="shared" si="27"/>
        <v>0</v>
      </c>
      <c r="GN14" s="110">
        <f t="shared" si="27"/>
        <v>0</v>
      </c>
      <c r="GO14" s="110">
        <f t="shared" si="27"/>
        <v>0</v>
      </c>
      <c r="GP14" s="110">
        <f t="shared" si="27"/>
        <v>0</v>
      </c>
      <c r="GQ14" s="110">
        <f t="shared" ref="GQ14:JB14" si="28">GQ7*($C$14/$E$7)</f>
        <v>0</v>
      </c>
      <c r="GR14" s="110">
        <f t="shared" si="28"/>
        <v>0</v>
      </c>
      <c r="GS14" s="110">
        <f t="shared" si="28"/>
        <v>0</v>
      </c>
      <c r="GT14" s="110">
        <f t="shared" si="28"/>
        <v>0</v>
      </c>
      <c r="GU14" s="110">
        <f t="shared" si="28"/>
        <v>0</v>
      </c>
      <c r="GV14" s="110">
        <f t="shared" si="28"/>
        <v>0</v>
      </c>
      <c r="GW14" s="110">
        <f t="shared" si="28"/>
        <v>0</v>
      </c>
      <c r="GX14" s="110">
        <f t="shared" si="28"/>
        <v>0</v>
      </c>
      <c r="GY14" s="110">
        <f t="shared" si="28"/>
        <v>0</v>
      </c>
      <c r="GZ14" s="110">
        <f t="shared" si="28"/>
        <v>0</v>
      </c>
      <c r="HA14" s="110">
        <f t="shared" si="28"/>
        <v>0</v>
      </c>
      <c r="HB14" s="110">
        <f t="shared" si="28"/>
        <v>0</v>
      </c>
      <c r="HC14" s="110">
        <f t="shared" si="28"/>
        <v>0</v>
      </c>
      <c r="HD14" s="110">
        <f t="shared" si="28"/>
        <v>0</v>
      </c>
      <c r="HE14" s="110">
        <f t="shared" si="28"/>
        <v>0</v>
      </c>
      <c r="HF14" s="110">
        <f t="shared" si="28"/>
        <v>0</v>
      </c>
      <c r="HG14" s="110">
        <f t="shared" si="28"/>
        <v>0</v>
      </c>
      <c r="HH14" s="110">
        <f t="shared" si="28"/>
        <v>0</v>
      </c>
      <c r="HI14" s="110">
        <f t="shared" si="28"/>
        <v>0</v>
      </c>
      <c r="HJ14" s="110">
        <f t="shared" si="28"/>
        <v>0</v>
      </c>
      <c r="HK14" s="110">
        <f t="shared" si="28"/>
        <v>0</v>
      </c>
      <c r="HL14" s="110">
        <f t="shared" si="28"/>
        <v>0</v>
      </c>
      <c r="HM14" s="110">
        <f t="shared" si="28"/>
        <v>0</v>
      </c>
      <c r="HN14" s="110">
        <f t="shared" si="28"/>
        <v>0</v>
      </c>
      <c r="HO14" s="110">
        <f t="shared" si="28"/>
        <v>0</v>
      </c>
      <c r="HP14" s="110">
        <f t="shared" si="28"/>
        <v>0</v>
      </c>
      <c r="HQ14" s="110">
        <f t="shared" si="28"/>
        <v>0</v>
      </c>
      <c r="HR14" s="110">
        <f t="shared" si="28"/>
        <v>0</v>
      </c>
      <c r="HS14" s="110">
        <f t="shared" si="28"/>
        <v>0</v>
      </c>
      <c r="HT14" s="110">
        <f t="shared" si="28"/>
        <v>0</v>
      </c>
      <c r="HU14" s="110">
        <f t="shared" si="28"/>
        <v>0</v>
      </c>
      <c r="HV14" s="110">
        <f t="shared" si="28"/>
        <v>0</v>
      </c>
      <c r="HW14" s="110">
        <f t="shared" si="28"/>
        <v>0</v>
      </c>
      <c r="HX14" s="110">
        <f t="shared" si="28"/>
        <v>0</v>
      </c>
      <c r="HY14" s="110">
        <f t="shared" si="28"/>
        <v>0</v>
      </c>
      <c r="HZ14" s="110">
        <f t="shared" si="28"/>
        <v>0</v>
      </c>
      <c r="IA14" s="110">
        <f t="shared" si="28"/>
        <v>0</v>
      </c>
      <c r="IB14" s="110">
        <f t="shared" si="28"/>
        <v>0</v>
      </c>
      <c r="IC14" s="110">
        <f t="shared" si="28"/>
        <v>0</v>
      </c>
      <c r="ID14" s="110">
        <f t="shared" si="28"/>
        <v>0</v>
      </c>
      <c r="IE14" s="110">
        <f t="shared" si="28"/>
        <v>0</v>
      </c>
      <c r="IF14" s="110">
        <f t="shared" si="28"/>
        <v>0</v>
      </c>
      <c r="IG14" s="110">
        <f t="shared" si="28"/>
        <v>0</v>
      </c>
      <c r="IH14" s="110">
        <f t="shared" si="28"/>
        <v>0</v>
      </c>
      <c r="II14" s="110">
        <f t="shared" si="28"/>
        <v>0</v>
      </c>
      <c r="IJ14" s="110">
        <f t="shared" si="28"/>
        <v>0</v>
      </c>
      <c r="IK14" s="110">
        <f t="shared" si="28"/>
        <v>0</v>
      </c>
      <c r="IL14" s="110">
        <f t="shared" si="28"/>
        <v>0</v>
      </c>
      <c r="IM14" s="110">
        <f t="shared" si="28"/>
        <v>0</v>
      </c>
      <c r="IN14" s="110">
        <f t="shared" si="28"/>
        <v>0</v>
      </c>
      <c r="IO14" s="110">
        <f t="shared" si="28"/>
        <v>0</v>
      </c>
      <c r="IP14" s="110">
        <f t="shared" si="28"/>
        <v>0</v>
      </c>
      <c r="IQ14" s="110">
        <f t="shared" si="28"/>
        <v>0</v>
      </c>
      <c r="IR14" s="110">
        <f t="shared" si="28"/>
        <v>0</v>
      </c>
      <c r="IS14" s="110">
        <f t="shared" si="28"/>
        <v>0</v>
      </c>
      <c r="IT14" s="110">
        <f t="shared" si="28"/>
        <v>0</v>
      </c>
      <c r="IU14" s="110">
        <f t="shared" si="28"/>
        <v>0</v>
      </c>
      <c r="IV14" s="110">
        <f t="shared" si="28"/>
        <v>0</v>
      </c>
      <c r="IW14" s="110">
        <f t="shared" si="28"/>
        <v>0</v>
      </c>
      <c r="IX14" s="110">
        <f t="shared" si="28"/>
        <v>0</v>
      </c>
      <c r="IY14" s="110">
        <f t="shared" si="28"/>
        <v>0</v>
      </c>
      <c r="IZ14" s="110">
        <f t="shared" si="28"/>
        <v>0</v>
      </c>
      <c r="JA14" s="110">
        <f t="shared" si="28"/>
        <v>0</v>
      </c>
      <c r="JB14" s="110">
        <f t="shared" si="28"/>
        <v>0</v>
      </c>
      <c r="JC14" s="110">
        <f t="shared" ref="JC14:KW14" si="29">JC7*($C$14/$E$7)</f>
        <v>0</v>
      </c>
      <c r="JD14" s="110">
        <f t="shared" si="29"/>
        <v>0</v>
      </c>
      <c r="JE14" s="110">
        <f t="shared" si="29"/>
        <v>0</v>
      </c>
      <c r="JF14" s="110">
        <f t="shared" si="29"/>
        <v>0</v>
      </c>
      <c r="JG14" s="110">
        <f t="shared" si="29"/>
        <v>0</v>
      </c>
      <c r="JH14" s="110">
        <f t="shared" si="29"/>
        <v>0</v>
      </c>
      <c r="JI14" s="110">
        <f t="shared" si="29"/>
        <v>0</v>
      </c>
      <c r="JJ14" s="110">
        <f t="shared" si="29"/>
        <v>0</v>
      </c>
      <c r="JK14" s="110">
        <f t="shared" si="29"/>
        <v>0</v>
      </c>
      <c r="JL14" s="110">
        <f t="shared" si="29"/>
        <v>0</v>
      </c>
      <c r="JM14" s="110">
        <f t="shared" si="29"/>
        <v>0</v>
      </c>
      <c r="JN14" s="110">
        <f t="shared" si="29"/>
        <v>0</v>
      </c>
      <c r="JO14" s="110">
        <f t="shared" si="29"/>
        <v>0</v>
      </c>
      <c r="JP14" s="110">
        <f t="shared" si="29"/>
        <v>0</v>
      </c>
      <c r="JQ14" s="110">
        <f t="shared" si="29"/>
        <v>0</v>
      </c>
      <c r="JR14" s="110">
        <f t="shared" si="29"/>
        <v>0</v>
      </c>
      <c r="JS14" s="110">
        <f t="shared" si="29"/>
        <v>0</v>
      </c>
      <c r="JT14" s="110">
        <f t="shared" si="29"/>
        <v>0</v>
      </c>
      <c r="JU14" s="110">
        <f t="shared" si="29"/>
        <v>0</v>
      </c>
      <c r="JV14" s="110">
        <f t="shared" si="29"/>
        <v>0</v>
      </c>
      <c r="JW14" s="110">
        <f t="shared" si="29"/>
        <v>0</v>
      </c>
      <c r="JX14" s="110">
        <f t="shared" si="29"/>
        <v>0</v>
      </c>
      <c r="JY14" s="110">
        <f t="shared" si="29"/>
        <v>0</v>
      </c>
      <c r="JZ14" s="110">
        <f t="shared" si="29"/>
        <v>0</v>
      </c>
      <c r="KA14" s="110">
        <f t="shared" si="29"/>
        <v>0</v>
      </c>
      <c r="KB14" s="110">
        <f t="shared" si="29"/>
        <v>0</v>
      </c>
      <c r="KC14" s="110">
        <f t="shared" si="29"/>
        <v>0</v>
      </c>
      <c r="KD14" s="110">
        <f t="shared" si="29"/>
        <v>0</v>
      </c>
      <c r="KE14" s="110">
        <f t="shared" si="29"/>
        <v>0</v>
      </c>
      <c r="KF14" s="110">
        <f t="shared" si="29"/>
        <v>0</v>
      </c>
      <c r="KG14" s="110">
        <f t="shared" si="29"/>
        <v>0</v>
      </c>
      <c r="KH14" s="110">
        <f t="shared" si="29"/>
        <v>0</v>
      </c>
      <c r="KI14" s="110">
        <f t="shared" si="29"/>
        <v>0</v>
      </c>
      <c r="KJ14" s="110">
        <f t="shared" si="29"/>
        <v>0</v>
      </c>
      <c r="KK14" s="110">
        <f t="shared" si="29"/>
        <v>0</v>
      </c>
      <c r="KL14" s="110">
        <f t="shared" si="29"/>
        <v>0</v>
      </c>
      <c r="KM14" s="110">
        <f t="shared" si="29"/>
        <v>0</v>
      </c>
      <c r="KN14" s="110">
        <f t="shared" si="29"/>
        <v>0</v>
      </c>
      <c r="KO14" s="110">
        <f t="shared" si="29"/>
        <v>0</v>
      </c>
      <c r="KP14" s="110">
        <f t="shared" si="29"/>
        <v>0</v>
      </c>
      <c r="KQ14" s="110">
        <f t="shared" si="29"/>
        <v>0</v>
      </c>
      <c r="KR14" s="110">
        <f t="shared" si="29"/>
        <v>0</v>
      </c>
      <c r="KS14" s="110">
        <f t="shared" si="29"/>
        <v>0</v>
      </c>
      <c r="KT14" s="110">
        <f t="shared" si="29"/>
        <v>0</v>
      </c>
      <c r="KU14" s="110">
        <f t="shared" si="29"/>
        <v>0</v>
      </c>
      <c r="KV14" s="110">
        <f t="shared" si="29"/>
        <v>0</v>
      </c>
      <c r="KW14" s="110">
        <f t="shared" si="29"/>
        <v>0</v>
      </c>
    </row>
    <row r="15" spans="2:468" x14ac:dyDescent="0.2">
      <c r="B15" s="76" t="s">
        <v>29</v>
      </c>
      <c r="C15" s="137">
        <f>'Assumptions and Key Inputs'!D18</f>
        <v>2501550</v>
      </c>
      <c r="D15" s="130" t="s">
        <v>50</v>
      </c>
      <c r="E15" s="128">
        <f>SUM(G15:KW15)</f>
        <v>2501550</v>
      </c>
      <c r="G15" s="110">
        <f t="shared" ref="G15:BR15" si="30">G8*($C$15/$E$8)</f>
        <v>0</v>
      </c>
      <c r="H15" s="110">
        <f t="shared" si="30"/>
        <v>0</v>
      </c>
      <c r="I15" s="110">
        <f t="shared" si="30"/>
        <v>0</v>
      </c>
      <c r="J15" s="110">
        <f t="shared" si="30"/>
        <v>0</v>
      </c>
      <c r="K15" s="110">
        <f t="shared" si="30"/>
        <v>0</v>
      </c>
      <c r="L15" s="110">
        <f t="shared" si="30"/>
        <v>0</v>
      </c>
      <c r="M15" s="110">
        <f t="shared" si="30"/>
        <v>0</v>
      </c>
      <c r="N15" s="110">
        <f t="shared" si="30"/>
        <v>0</v>
      </c>
      <c r="O15" s="110">
        <f t="shared" si="30"/>
        <v>0</v>
      </c>
      <c r="P15" s="110">
        <f t="shared" si="30"/>
        <v>208462.5</v>
      </c>
      <c r="Q15" s="110">
        <f t="shared" si="30"/>
        <v>208462.5</v>
      </c>
      <c r="R15" s="110">
        <f t="shared" si="30"/>
        <v>208462.5</v>
      </c>
      <c r="S15" s="110">
        <f t="shared" si="30"/>
        <v>208462.5</v>
      </c>
      <c r="T15" s="110">
        <f t="shared" si="30"/>
        <v>208462.5</v>
      </c>
      <c r="U15" s="110">
        <f t="shared" si="30"/>
        <v>208462.5</v>
      </c>
      <c r="V15" s="110">
        <f t="shared" si="30"/>
        <v>208462.5</v>
      </c>
      <c r="W15" s="110">
        <f t="shared" si="30"/>
        <v>208462.5</v>
      </c>
      <c r="X15" s="110">
        <f t="shared" si="30"/>
        <v>208462.5</v>
      </c>
      <c r="Y15" s="110">
        <f t="shared" si="30"/>
        <v>208462.5</v>
      </c>
      <c r="Z15" s="110">
        <f t="shared" si="30"/>
        <v>208462.5</v>
      </c>
      <c r="AA15" s="110">
        <f t="shared" si="30"/>
        <v>208462.5</v>
      </c>
      <c r="AB15" s="110">
        <f t="shared" si="30"/>
        <v>0</v>
      </c>
      <c r="AC15" s="110">
        <f t="shared" si="30"/>
        <v>0</v>
      </c>
      <c r="AD15" s="110">
        <f t="shared" si="30"/>
        <v>0</v>
      </c>
      <c r="AE15" s="110">
        <f t="shared" si="30"/>
        <v>0</v>
      </c>
      <c r="AF15" s="110">
        <f t="shared" si="30"/>
        <v>0</v>
      </c>
      <c r="AG15" s="110">
        <f t="shared" si="30"/>
        <v>0</v>
      </c>
      <c r="AH15" s="110">
        <f t="shared" si="30"/>
        <v>0</v>
      </c>
      <c r="AI15" s="110">
        <f t="shared" si="30"/>
        <v>0</v>
      </c>
      <c r="AJ15" s="110">
        <f t="shared" si="30"/>
        <v>0</v>
      </c>
      <c r="AK15" s="110">
        <f t="shared" si="30"/>
        <v>0</v>
      </c>
      <c r="AL15" s="110">
        <f t="shared" si="30"/>
        <v>0</v>
      </c>
      <c r="AM15" s="110">
        <f t="shared" si="30"/>
        <v>0</v>
      </c>
      <c r="AN15" s="110">
        <f t="shared" si="30"/>
        <v>0</v>
      </c>
      <c r="AO15" s="110">
        <f t="shared" si="30"/>
        <v>0</v>
      </c>
      <c r="AP15" s="110">
        <f t="shared" si="30"/>
        <v>0</v>
      </c>
      <c r="AQ15" s="110">
        <f t="shared" si="30"/>
        <v>0</v>
      </c>
      <c r="AR15" s="110">
        <f t="shared" si="30"/>
        <v>0</v>
      </c>
      <c r="AS15" s="110">
        <f t="shared" si="30"/>
        <v>0</v>
      </c>
      <c r="AT15" s="110">
        <f t="shared" si="30"/>
        <v>0</v>
      </c>
      <c r="AU15" s="110">
        <f t="shared" si="30"/>
        <v>0</v>
      </c>
      <c r="AV15" s="110">
        <f t="shared" si="30"/>
        <v>0</v>
      </c>
      <c r="AW15" s="110">
        <f t="shared" si="30"/>
        <v>0</v>
      </c>
      <c r="AX15" s="110">
        <f t="shared" si="30"/>
        <v>0</v>
      </c>
      <c r="AY15" s="110">
        <f t="shared" si="30"/>
        <v>0</v>
      </c>
      <c r="AZ15" s="110">
        <f t="shared" si="30"/>
        <v>0</v>
      </c>
      <c r="BA15" s="110">
        <f t="shared" si="30"/>
        <v>0</v>
      </c>
      <c r="BB15" s="110">
        <f t="shared" si="30"/>
        <v>0</v>
      </c>
      <c r="BC15" s="110">
        <f t="shared" si="30"/>
        <v>0</v>
      </c>
      <c r="BD15" s="110">
        <f t="shared" si="30"/>
        <v>0</v>
      </c>
      <c r="BE15" s="110">
        <f t="shared" si="30"/>
        <v>0</v>
      </c>
      <c r="BF15" s="110">
        <f t="shared" si="30"/>
        <v>0</v>
      </c>
      <c r="BG15" s="110">
        <f t="shared" si="30"/>
        <v>0</v>
      </c>
      <c r="BH15" s="110">
        <f t="shared" si="30"/>
        <v>0</v>
      </c>
      <c r="BI15" s="110">
        <f t="shared" si="30"/>
        <v>0</v>
      </c>
      <c r="BJ15" s="110">
        <f t="shared" si="30"/>
        <v>0</v>
      </c>
      <c r="BK15" s="110">
        <f t="shared" si="30"/>
        <v>0</v>
      </c>
      <c r="BL15" s="110">
        <f t="shared" si="30"/>
        <v>0</v>
      </c>
      <c r="BM15" s="110">
        <f t="shared" si="30"/>
        <v>0</v>
      </c>
      <c r="BN15" s="110">
        <f t="shared" si="30"/>
        <v>0</v>
      </c>
      <c r="BO15" s="110">
        <f t="shared" si="30"/>
        <v>0</v>
      </c>
      <c r="BP15" s="110">
        <f t="shared" si="30"/>
        <v>0</v>
      </c>
      <c r="BQ15" s="110">
        <f t="shared" si="30"/>
        <v>0</v>
      </c>
      <c r="BR15" s="110">
        <f t="shared" si="30"/>
        <v>0</v>
      </c>
      <c r="BS15" s="110">
        <f t="shared" ref="BS15:ED15" si="31">BS8*($C$15/$E$8)</f>
        <v>0</v>
      </c>
      <c r="BT15" s="110">
        <f t="shared" si="31"/>
        <v>0</v>
      </c>
      <c r="BU15" s="110">
        <f t="shared" si="31"/>
        <v>0</v>
      </c>
      <c r="BV15" s="110">
        <f t="shared" si="31"/>
        <v>0</v>
      </c>
      <c r="BW15" s="110">
        <f t="shared" si="31"/>
        <v>0</v>
      </c>
      <c r="BX15" s="110">
        <f t="shared" si="31"/>
        <v>0</v>
      </c>
      <c r="BY15" s="110">
        <f t="shared" si="31"/>
        <v>0</v>
      </c>
      <c r="BZ15" s="110">
        <f t="shared" si="31"/>
        <v>0</v>
      </c>
      <c r="CA15" s="110">
        <f t="shared" si="31"/>
        <v>0</v>
      </c>
      <c r="CB15" s="110">
        <f t="shared" si="31"/>
        <v>0</v>
      </c>
      <c r="CC15" s="110">
        <f t="shared" si="31"/>
        <v>0</v>
      </c>
      <c r="CD15" s="110">
        <f t="shared" si="31"/>
        <v>0</v>
      </c>
      <c r="CE15" s="110">
        <f t="shared" si="31"/>
        <v>0</v>
      </c>
      <c r="CF15" s="110">
        <f t="shared" si="31"/>
        <v>0</v>
      </c>
      <c r="CG15" s="110">
        <f t="shared" si="31"/>
        <v>0</v>
      </c>
      <c r="CH15" s="110">
        <f t="shared" si="31"/>
        <v>0</v>
      </c>
      <c r="CI15" s="110">
        <f t="shared" si="31"/>
        <v>0</v>
      </c>
      <c r="CJ15" s="110">
        <f t="shared" si="31"/>
        <v>0</v>
      </c>
      <c r="CK15" s="110">
        <f t="shared" si="31"/>
        <v>0</v>
      </c>
      <c r="CL15" s="110">
        <f t="shared" si="31"/>
        <v>0</v>
      </c>
      <c r="CM15" s="110">
        <f t="shared" si="31"/>
        <v>0</v>
      </c>
      <c r="CN15" s="110">
        <f t="shared" si="31"/>
        <v>0</v>
      </c>
      <c r="CO15" s="110">
        <f t="shared" si="31"/>
        <v>0</v>
      </c>
      <c r="CP15" s="110">
        <f t="shared" si="31"/>
        <v>0</v>
      </c>
      <c r="CQ15" s="110">
        <f t="shared" si="31"/>
        <v>0</v>
      </c>
      <c r="CR15" s="110">
        <f t="shared" si="31"/>
        <v>0</v>
      </c>
      <c r="CS15" s="110">
        <f t="shared" si="31"/>
        <v>0</v>
      </c>
      <c r="CT15" s="110">
        <f t="shared" si="31"/>
        <v>0</v>
      </c>
      <c r="CU15" s="110">
        <f t="shared" si="31"/>
        <v>0</v>
      </c>
      <c r="CV15" s="110">
        <f t="shared" si="31"/>
        <v>0</v>
      </c>
      <c r="CW15" s="110">
        <f t="shared" si="31"/>
        <v>0</v>
      </c>
      <c r="CX15" s="110">
        <f t="shared" si="31"/>
        <v>0</v>
      </c>
      <c r="CY15" s="110">
        <f t="shared" si="31"/>
        <v>0</v>
      </c>
      <c r="CZ15" s="110">
        <f t="shared" si="31"/>
        <v>0</v>
      </c>
      <c r="DA15" s="110">
        <f t="shared" si="31"/>
        <v>0</v>
      </c>
      <c r="DB15" s="110">
        <f t="shared" si="31"/>
        <v>0</v>
      </c>
      <c r="DC15" s="110">
        <f t="shared" si="31"/>
        <v>0</v>
      </c>
      <c r="DD15" s="110">
        <f t="shared" si="31"/>
        <v>0</v>
      </c>
      <c r="DE15" s="110">
        <f t="shared" si="31"/>
        <v>0</v>
      </c>
      <c r="DF15" s="110">
        <f t="shared" si="31"/>
        <v>0</v>
      </c>
      <c r="DG15" s="110">
        <f t="shared" si="31"/>
        <v>0</v>
      </c>
      <c r="DH15" s="110">
        <f t="shared" si="31"/>
        <v>0</v>
      </c>
      <c r="DI15" s="110">
        <f t="shared" si="31"/>
        <v>0</v>
      </c>
      <c r="DJ15" s="110">
        <f t="shared" si="31"/>
        <v>0</v>
      </c>
      <c r="DK15" s="110">
        <f t="shared" si="31"/>
        <v>0</v>
      </c>
      <c r="DL15" s="110">
        <f t="shared" si="31"/>
        <v>0</v>
      </c>
      <c r="DM15" s="110">
        <f t="shared" si="31"/>
        <v>0</v>
      </c>
      <c r="DN15" s="110">
        <f t="shared" si="31"/>
        <v>0</v>
      </c>
      <c r="DO15" s="110">
        <f t="shared" si="31"/>
        <v>0</v>
      </c>
      <c r="DP15" s="110">
        <f t="shared" si="31"/>
        <v>0</v>
      </c>
      <c r="DQ15" s="110">
        <f t="shared" si="31"/>
        <v>0</v>
      </c>
      <c r="DR15" s="110">
        <f t="shared" si="31"/>
        <v>0</v>
      </c>
      <c r="DS15" s="110">
        <f t="shared" si="31"/>
        <v>0</v>
      </c>
      <c r="DT15" s="110">
        <f t="shared" si="31"/>
        <v>0</v>
      </c>
      <c r="DU15" s="110">
        <f t="shared" si="31"/>
        <v>0</v>
      </c>
      <c r="DV15" s="110">
        <f t="shared" si="31"/>
        <v>0</v>
      </c>
      <c r="DW15" s="110">
        <f t="shared" si="31"/>
        <v>0</v>
      </c>
      <c r="DX15" s="110">
        <f t="shared" si="31"/>
        <v>0</v>
      </c>
      <c r="DY15" s="110">
        <f t="shared" si="31"/>
        <v>0</v>
      </c>
      <c r="DZ15" s="110">
        <f t="shared" si="31"/>
        <v>0</v>
      </c>
      <c r="EA15" s="110">
        <f t="shared" si="31"/>
        <v>0</v>
      </c>
      <c r="EB15" s="110">
        <f t="shared" si="31"/>
        <v>0</v>
      </c>
      <c r="EC15" s="110">
        <f t="shared" si="31"/>
        <v>0</v>
      </c>
      <c r="ED15" s="110">
        <f t="shared" si="31"/>
        <v>0</v>
      </c>
      <c r="EE15" s="110">
        <f t="shared" ref="EE15:GP15" si="32">EE8*($C$15/$E$8)</f>
        <v>0</v>
      </c>
      <c r="EF15" s="110">
        <f t="shared" si="32"/>
        <v>0</v>
      </c>
      <c r="EG15" s="110">
        <f t="shared" si="32"/>
        <v>0</v>
      </c>
      <c r="EH15" s="110">
        <f t="shared" si="32"/>
        <v>0</v>
      </c>
      <c r="EI15" s="110">
        <f t="shared" si="32"/>
        <v>0</v>
      </c>
      <c r="EJ15" s="110">
        <f t="shared" si="32"/>
        <v>0</v>
      </c>
      <c r="EK15" s="110">
        <f t="shared" si="32"/>
        <v>0</v>
      </c>
      <c r="EL15" s="110">
        <f t="shared" si="32"/>
        <v>0</v>
      </c>
      <c r="EM15" s="110">
        <f t="shared" si="32"/>
        <v>0</v>
      </c>
      <c r="EN15" s="110">
        <f t="shared" si="32"/>
        <v>0</v>
      </c>
      <c r="EO15" s="110">
        <f t="shared" si="32"/>
        <v>0</v>
      </c>
      <c r="EP15" s="110">
        <f t="shared" si="32"/>
        <v>0</v>
      </c>
      <c r="EQ15" s="110">
        <f t="shared" si="32"/>
        <v>0</v>
      </c>
      <c r="ER15" s="110">
        <f t="shared" si="32"/>
        <v>0</v>
      </c>
      <c r="ES15" s="110">
        <f t="shared" si="32"/>
        <v>0</v>
      </c>
      <c r="ET15" s="110">
        <f t="shared" si="32"/>
        <v>0</v>
      </c>
      <c r="EU15" s="110">
        <f t="shared" si="32"/>
        <v>0</v>
      </c>
      <c r="EV15" s="110">
        <f t="shared" si="32"/>
        <v>0</v>
      </c>
      <c r="EW15" s="110">
        <f t="shared" si="32"/>
        <v>0</v>
      </c>
      <c r="EX15" s="110">
        <f t="shared" si="32"/>
        <v>0</v>
      </c>
      <c r="EY15" s="110">
        <f t="shared" si="32"/>
        <v>0</v>
      </c>
      <c r="EZ15" s="110">
        <f t="shared" si="32"/>
        <v>0</v>
      </c>
      <c r="FA15" s="110">
        <f t="shared" si="32"/>
        <v>0</v>
      </c>
      <c r="FB15" s="110">
        <f t="shared" si="32"/>
        <v>0</v>
      </c>
      <c r="FC15" s="110">
        <f t="shared" si="32"/>
        <v>0</v>
      </c>
      <c r="FD15" s="110">
        <f t="shared" si="32"/>
        <v>0</v>
      </c>
      <c r="FE15" s="110">
        <f t="shared" si="32"/>
        <v>0</v>
      </c>
      <c r="FF15" s="110">
        <f t="shared" si="32"/>
        <v>0</v>
      </c>
      <c r="FG15" s="110">
        <f t="shared" si="32"/>
        <v>0</v>
      </c>
      <c r="FH15" s="110">
        <f t="shared" si="32"/>
        <v>0</v>
      </c>
      <c r="FI15" s="110">
        <f t="shared" si="32"/>
        <v>0</v>
      </c>
      <c r="FJ15" s="110">
        <f t="shared" si="32"/>
        <v>0</v>
      </c>
      <c r="FK15" s="110">
        <f t="shared" si="32"/>
        <v>0</v>
      </c>
      <c r="FL15" s="110">
        <f t="shared" si="32"/>
        <v>0</v>
      </c>
      <c r="FM15" s="110">
        <f t="shared" si="32"/>
        <v>0</v>
      </c>
      <c r="FN15" s="110">
        <f t="shared" si="32"/>
        <v>0</v>
      </c>
      <c r="FO15" s="110">
        <f t="shared" si="32"/>
        <v>0</v>
      </c>
      <c r="FP15" s="110">
        <f t="shared" si="32"/>
        <v>0</v>
      </c>
      <c r="FQ15" s="110">
        <f t="shared" si="32"/>
        <v>0</v>
      </c>
      <c r="FR15" s="110">
        <f t="shared" si="32"/>
        <v>0</v>
      </c>
      <c r="FS15" s="110">
        <f t="shared" si="32"/>
        <v>0</v>
      </c>
      <c r="FT15" s="110">
        <f t="shared" si="32"/>
        <v>0</v>
      </c>
      <c r="FU15" s="110">
        <f t="shared" si="32"/>
        <v>0</v>
      </c>
      <c r="FV15" s="110">
        <f t="shared" si="32"/>
        <v>0</v>
      </c>
      <c r="FW15" s="110">
        <f t="shared" si="32"/>
        <v>0</v>
      </c>
      <c r="FX15" s="110">
        <f t="shared" si="32"/>
        <v>0</v>
      </c>
      <c r="FY15" s="110">
        <f t="shared" si="32"/>
        <v>0</v>
      </c>
      <c r="FZ15" s="110">
        <f t="shared" si="32"/>
        <v>0</v>
      </c>
      <c r="GA15" s="110">
        <f t="shared" si="32"/>
        <v>0</v>
      </c>
      <c r="GB15" s="110">
        <f t="shared" si="32"/>
        <v>0</v>
      </c>
      <c r="GC15" s="110">
        <f t="shared" si="32"/>
        <v>0</v>
      </c>
      <c r="GD15" s="110">
        <f t="shared" si="32"/>
        <v>0</v>
      </c>
      <c r="GE15" s="110">
        <f t="shared" si="32"/>
        <v>0</v>
      </c>
      <c r="GF15" s="110">
        <f t="shared" si="32"/>
        <v>0</v>
      </c>
      <c r="GG15" s="110">
        <f t="shared" si="32"/>
        <v>0</v>
      </c>
      <c r="GH15" s="110">
        <f t="shared" si="32"/>
        <v>0</v>
      </c>
      <c r="GI15" s="110">
        <f t="shared" si="32"/>
        <v>0</v>
      </c>
      <c r="GJ15" s="110">
        <f t="shared" si="32"/>
        <v>0</v>
      </c>
      <c r="GK15" s="110">
        <f t="shared" si="32"/>
        <v>0</v>
      </c>
      <c r="GL15" s="110">
        <f t="shared" si="32"/>
        <v>0</v>
      </c>
      <c r="GM15" s="110">
        <f t="shared" si="32"/>
        <v>0</v>
      </c>
      <c r="GN15" s="110">
        <f t="shared" si="32"/>
        <v>0</v>
      </c>
      <c r="GO15" s="110">
        <f t="shared" si="32"/>
        <v>0</v>
      </c>
      <c r="GP15" s="110">
        <f t="shared" si="32"/>
        <v>0</v>
      </c>
      <c r="GQ15" s="110">
        <f t="shared" ref="GQ15:JB15" si="33">GQ8*($C$15/$E$8)</f>
        <v>0</v>
      </c>
      <c r="GR15" s="110">
        <f t="shared" si="33"/>
        <v>0</v>
      </c>
      <c r="GS15" s="110">
        <f t="shared" si="33"/>
        <v>0</v>
      </c>
      <c r="GT15" s="110">
        <f t="shared" si="33"/>
        <v>0</v>
      </c>
      <c r="GU15" s="110">
        <f t="shared" si="33"/>
        <v>0</v>
      </c>
      <c r="GV15" s="110">
        <f t="shared" si="33"/>
        <v>0</v>
      </c>
      <c r="GW15" s="110">
        <f t="shared" si="33"/>
        <v>0</v>
      </c>
      <c r="GX15" s="110">
        <f t="shared" si="33"/>
        <v>0</v>
      </c>
      <c r="GY15" s="110">
        <f t="shared" si="33"/>
        <v>0</v>
      </c>
      <c r="GZ15" s="110">
        <f t="shared" si="33"/>
        <v>0</v>
      </c>
      <c r="HA15" s="110">
        <f t="shared" si="33"/>
        <v>0</v>
      </c>
      <c r="HB15" s="110">
        <f t="shared" si="33"/>
        <v>0</v>
      </c>
      <c r="HC15" s="110">
        <f t="shared" si="33"/>
        <v>0</v>
      </c>
      <c r="HD15" s="110">
        <f t="shared" si="33"/>
        <v>0</v>
      </c>
      <c r="HE15" s="110">
        <f t="shared" si="33"/>
        <v>0</v>
      </c>
      <c r="HF15" s="110">
        <f t="shared" si="33"/>
        <v>0</v>
      </c>
      <c r="HG15" s="110">
        <f t="shared" si="33"/>
        <v>0</v>
      </c>
      <c r="HH15" s="110">
        <f t="shared" si="33"/>
        <v>0</v>
      </c>
      <c r="HI15" s="110">
        <f t="shared" si="33"/>
        <v>0</v>
      </c>
      <c r="HJ15" s="110">
        <f t="shared" si="33"/>
        <v>0</v>
      </c>
      <c r="HK15" s="110">
        <f t="shared" si="33"/>
        <v>0</v>
      </c>
      <c r="HL15" s="110">
        <f t="shared" si="33"/>
        <v>0</v>
      </c>
      <c r="HM15" s="110">
        <f t="shared" si="33"/>
        <v>0</v>
      </c>
      <c r="HN15" s="110">
        <f t="shared" si="33"/>
        <v>0</v>
      </c>
      <c r="HO15" s="110">
        <f t="shared" si="33"/>
        <v>0</v>
      </c>
      <c r="HP15" s="110">
        <f t="shared" si="33"/>
        <v>0</v>
      </c>
      <c r="HQ15" s="110">
        <f t="shared" si="33"/>
        <v>0</v>
      </c>
      <c r="HR15" s="110">
        <f t="shared" si="33"/>
        <v>0</v>
      </c>
      <c r="HS15" s="110">
        <f t="shared" si="33"/>
        <v>0</v>
      </c>
      <c r="HT15" s="110">
        <f t="shared" si="33"/>
        <v>0</v>
      </c>
      <c r="HU15" s="110">
        <f t="shared" si="33"/>
        <v>0</v>
      </c>
      <c r="HV15" s="110">
        <f t="shared" si="33"/>
        <v>0</v>
      </c>
      <c r="HW15" s="110">
        <f t="shared" si="33"/>
        <v>0</v>
      </c>
      <c r="HX15" s="110">
        <f t="shared" si="33"/>
        <v>0</v>
      </c>
      <c r="HY15" s="110">
        <f t="shared" si="33"/>
        <v>0</v>
      </c>
      <c r="HZ15" s="110">
        <f t="shared" si="33"/>
        <v>0</v>
      </c>
      <c r="IA15" s="110">
        <f t="shared" si="33"/>
        <v>0</v>
      </c>
      <c r="IB15" s="110">
        <f t="shared" si="33"/>
        <v>0</v>
      </c>
      <c r="IC15" s="110">
        <f t="shared" si="33"/>
        <v>0</v>
      </c>
      <c r="ID15" s="110">
        <f t="shared" si="33"/>
        <v>0</v>
      </c>
      <c r="IE15" s="110">
        <f t="shared" si="33"/>
        <v>0</v>
      </c>
      <c r="IF15" s="110">
        <f t="shared" si="33"/>
        <v>0</v>
      </c>
      <c r="IG15" s="110">
        <f t="shared" si="33"/>
        <v>0</v>
      </c>
      <c r="IH15" s="110">
        <f t="shared" si="33"/>
        <v>0</v>
      </c>
      <c r="II15" s="110">
        <f t="shared" si="33"/>
        <v>0</v>
      </c>
      <c r="IJ15" s="110">
        <f t="shared" si="33"/>
        <v>0</v>
      </c>
      <c r="IK15" s="110">
        <f t="shared" si="33"/>
        <v>0</v>
      </c>
      <c r="IL15" s="110">
        <f t="shared" si="33"/>
        <v>0</v>
      </c>
      <c r="IM15" s="110">
        <f t="shared" si="33"/>
        <v>0</v>
      </c>
      <c r="IN15" s="110">
        <f t="shared" si="33"/>
        <v>0</v>
      </c>
      <c r="IO15" s="110">
        <f t="shared" si="33"/>
        <v>0</v>
      </c>
      <c r="IP15" s="110">
        <f t="shared" si="33"/>
        <v>0</v>
      </c>
      <c r="IQ15" s="110">
        <f t="shared" si="33"/>
        <v>0</v>
      </c>
      <c r="IR15" s="110">
        <f t="shared" si="33"/>
        <v>0</v>
      </c>
      <c r="IS15" s="110">
        <f t="shared" si="33"/>
        <v>0</v>
      </c>
      <c r="IT15" s="110">
        <f t="shared" si="33"/>
        <v>0</v>
      </c>
      <c r="IU15" s="110">
        <f t="shared" si="33"/>
        <v>0</v>
      </c>
      <c r="IV15" s="110">
        <f t="shared" si="33"/>
        <v>0</v>
      </c>
      <c r="IW15" s="110">
        <f t="shared" si="33"/>
        <v>0</v>
      </c>
      <c r="IX15" s="110">
        <f t="shared" si="33"/>
        <v>0</v>
      </c>
      <c r="IY15" s="110">
        <f t="shared" si="33"/>
        <v>0</v>
      </c>
      <c r="IZ15" s="110">
        <f t="shared" si="33"/>
        <v>0</v>
      </c>
      <c r="JA15" s="110">
        <f t="shared" si="33"/>
        <v>0</v>
      </c>
      <c r="JB15" s="110">
        <f t="shared" si="33"/>
        <v>0</v>
      </c>
      <c r="JC15" s="110">
        <f t="shared" ref="JC15:KW15" si="34">JC8*($C$15/$E$8)</f>
        <v>0</v>
      </c>
      <c r="JD15" s="110">
        <f t="shared" si="34"/>
        <v>0</v>
      </c>
      <c r="JE15" s="110">
        <f t="shared" si="34"/>
        <v>0</v>
      </c>
      <c r="JF15" s="110">
        <f t="shared" si="34"/>
        <v>0</v>
      </c>
      <c r="JG15" s="110">
        <f t="shared" si="34"/>
        <v>0</v>
      </c>
      <c r="JH15" s="110">
        <f t="shared" si="34"/>
        <v>0</v>
      </c>
      <c r="JI15" s="110">
        <f t="shared" si="34"/>
        <v>0</v>
      </c>
      <c r="JJ15" s="110">
        <f t="shared" si="34"/>
        <v>0</v>
      </c>
      <c r="JK15" s="110">
        <f t="shared" si="34"/>
        <v>0</v>
      </c>
      <c r="JL15" s="110">
        <f t="shared" si="34"/>
        <v>0</v>
      </c>
      <c r="JM15" s="110">
        <f t="shared" si="34"/>
        <v>0</v>
      </c>
      <c r="JN15" s="110">
        <f t="shared" si="34"/>
        <v>0</v>
      </c>
      <c r="JO15" s="110">
        <f t="shared" si="34"/>
        <v>0</v>
      </c>
      <c r="JP15" s="110">
        <f t="shared" si="34"/>
        <v>0</v>
      </c>
      <c r="JQ15" s="110">
        <f t="shared" si="34"/>
        <v>0</v>
      </c>
      <c r="JR15" s="110">
        <f t="shared" si="34"/>
        <v>0</v>
      </c>
      <c r="JS15" s="110">
        <f t="shared" si="34"/>
        <v>0</v>
      </c>
      <c r="JT15" s="110">
        <f t="shared" si="34"/>
        <v>0</v>
      </c>
      <c r="JU15" s="110">
        <f t="shared" si="34"/>
        <v>0</v>
      </c>
      <c r="JV15" s="110">
        <f t="shared" si="34"/>
        <v>0</v>
      </c>
      <c r="JW15" s="110">
        <f t="shared" si="34"/>
        <v>0</v>
      </c>
      <c r="JX15" s="110">
        <f t="shared" si="34"/>
        <v>0</v>
      </c>
      <c r="JY15" s="110">
        <f t="shared" si="34"/>
        <v>0</v>
      </c>
      <c r="JZ15" s="110">
        <f t="shared" si="34"/>
        <v>0</v>
      </c>
      <c r="KA15" s="110">
        <f t="shared" si="34"/>
        <v>0</v>
      </c>
      <c r="KB15" s="110">
        <f t="shared" si="34"/>
        <v>0</v>
      </c>
      <c r="KC15" s="110">
        <f t="shared" si="34"/>
        <v>0</v>
      </c>
      <c r="KD15" s="110">
        <f t="shared" si="34"/>
        <v>0</v>
      </c>
      <c r="KE15" s="110">
        <f t="shared" si="34"/>
        <v>0</v>
      </c>
      <c r="KF15" s="110">
        <f t="shared" si="34"/>
        <v>0</v>
      </c>
      <c r="KG15" s="110">
        <f t="shared" si="34"/>
        <v>0</v>
      </c>
      <c r="KH15" s="110">
        <f t="shared" si="34"/>
        <v>0</v>
      </c>
      <c r="KI15" s="110">
        <f t="shared" si="34"/>
        <v>0</v>
      </c>
      <c r="KJ15" s="110">
        <f t="shared" si="34"/>
        <v>0</v>
      </c>
      <c r="KK15" s="110">
        <f t="shared" si="34"/>
        <v>0</v>
      </c>
      <c r="KL15" s="110">
        <f t="shared" si="34"/>
        <v>0</v>
      </c>
      <c r="KM15" s="110">
        <f t="shared" si="34"/>
        <v>0</v>
      </c>
      <c r="KN15" s="110">
        <f t="shared" si="34"/>
        <v>0</v>
      </c>
      <c r="KO15" s="110">
        <f t="shared" si="34"/>
        <v>0</v>
      </c>
      <c r="KP15" s="110">
        <f t="shared" si="34"/>
        <v>0</v>
      </c>
      <c r="KQ15" s="110">
        <f t="shared" si="34"/>
        <v>0</v>
      </c>
      <c r="KR15" s="110">
        <f t="shared" si="34"/>
        <v>0</v>
      </c>
      <c r="KS15" s="110">
        <f t="shared" si="34"/>
        <v>0</v>
      </c>
      <c r="KT15" s="110">
        <f t="shared" si="34"/>
        <v>0</v>
      </c>
      <c r="KU15" s="110">
        <f t="shared" si="34"/>
        <v>0</v>
      </c>
      <c r="KV15" s="110">
        <f t="shared" si="34"/>
        <v>0</v>
      </c>
      <c r="KW15" s="110">
        <f t="shared" si="34"/>
        <v>0</v>
      </c>
    </row>
    <row r="16" spans="2:468" x14ac:dyDescent="0.2">
      <c r="B16" s="76" t="s">
        <v>30</v>
      </c>
      <c r="C16" s="138">
        <f>'Assumptions and Key Inputs'!D20</f>
        <v>81300.375</v>
      </c>
      <c r="D16" s="130" t="s">
        <v>50</v>
      </c>
      <c r="E16" s="128">
        <f>SUM(G16:KW16)</f>
        <v>81300.375000000029</v>
      </c>
      <c r="G16" s="110">
        <f t="shared" ref="G16:BR16" si="35">G9*($C$16/$E$9)</f>
        <v>0</v>
      </c>
      <c r="H16" s="110">
        <f t="shared" si="35"/>
        <v>4065.0187500000002</v>
      </c>
      <c r="I16" s="110">
        <f t="shared" si="35"/>
        <v>4065.0187500000002</v>
      </c>
      <c r="J16" s="110">
        <f t="shared" si="35"/>
        <v>4065.0187500000002</v>
      </c>
      <c r="K16" s="110">
        <f t="shared" si="35"/>
        <v>4065.0187500000002</v>
      </c>
      <c r="L16" s="110">
        <f t="shared" si="35"/>
        <v>4065.0187500000002</v>
      </c>
      <c r="M16" s="110">
        <f t="shared" si="35"/>
        <v>4065.0187500000002</v>
      </c>
      <c r="N16" s="110">
        <f t="shared" si="35"/>
        <v>4065.0187500000002</v>
      </c>
      <c r="O16" s="110">
        <f t="shared" si="35"/>
        <v>4065.0187500000002</v>
      </c>
      <c r="P16" s="110">
        <f t="shared" si="35"/>
        <v>4065.0187500000002</v>
      </c>
      <c r="Q16" s="110">
        <f t="shared" si="35"/>
        <v>4065.0187500000002</v>
      </c>
      <c r="R16" s="110">
        <f t="shared" si="35"/>
        <v>4065.0187500000002</v>
      </c>
      <c r="S16" s="110">
        <f t="shared" si="35"/>
        <v>4065.0187500000002</v>
      </c>
      <c r="T16" s="110">
        <f t="shared" si="35"/>
        <v>4065.0187500000002</v>
      </c>
      <c r="U16" s="110">
        <f t="shared" si="35"/>
        <v>4065.0187500000002</v>
      </c>
      <c r="V16" s="110">
        <f t="shared" si="35"/>
        <v>4065.0187500000002</v>
      </c>
      <c r="W16" s="110">
        <f t="shared" si="35"/>
        <v>4065.0187500000002</v>
      </c>
      <c r="X16" s="110">
        <f t="shared" si="35"/>
        <v>4065.0187500000002</v>
      </c>
      <c r="Y16" s="110">
        <f t="shared" si="35"/>
        <v>4065.0187500000002</v>
      </c>
      <c r="Z16" s="110">
        <f t="shared" si="35"/>
        <v>4065.0187500000002</v>
      </c>
      <c r="AA16" s="110">
        <f t="shared" si="35"/>
        <v>4065.0187500000002</v>
      </c>
      <c r="AB16" s="110">
        <f t="shared" si="35"/>
        <v>0</v>
      </c>
      <c r="AC16" s="110">
        <f t="shared" si="35"/>
        <v>0</v>
      </c>
      <c r="AD16" s="110">
        <f t="shared" si="35"/>
        <v>0</v>
      </c>
      <c r="AE16" s="110">
        <f t="shared" si="35"/>
        <v>0</v>
      </c>
      <c r="AF16" s="110">
        <f t="shared" si="35"/>
        <v>0</v>
      </c>
      <c r="AG16" s="110">
        <f t="shared" si="35"/>
        <v>0</v>
      </c>
      <c r="AH16" s="110">
        <f t="shared" si="35"/>
        <v>0</v>
      </c>
      <c r="AI16" s="110">
        <f t="shared" si="35"/>
        <v>0</v>
      </c>
      <c r="AJ16" s="110">
        <f t="shared" si="35"/>
        <v>0</v>
      </c>
      <c r="AK16" s="110">
        <f t="shared" si="35"/>
        <v>0</v>
      </c>
      <c r="AL16" s="110">
        <f t="shared" si="35"/>
        <v>0</v>
      </c>
      <c r="AM16" s="110">
        <f t="shared" si="35"/>
        <v>0</v>
      </c>
      <c r="AN16" s="110">
        <f t="shared" si="35"/>
        <v>0</v>
      </c>
      <c r="AO16" s="110">
        <f t="shared" si="35"/>
        <v>0</v>
      </c>
      <c r="AP16" s="110">
        <f t="shared" si="35"/>
        <v>0</v>
      </c>
      <c r="AQ16" s="110">
        <f t="shared" si="35"/>
        <v>0</v>
      </c>
      <c r="AR16" s="110">
        <f t="shared" si="35"/>
        <v>0</v>
      </c>
      <c r="AS16" s="110">
        <f t="shared" si="35"/>
        <v>0</v>
      </c>
      <c r="AT16" s="110">
        <f t="shared" si="35"/>
        <v>0</v>
      </c>
      <c r="AU16" s="110">
        <f t="shared" si="35"/>
        <v>0</v>
      </c>
      <c r="AV16" s="110">
        <f t="shared" si="35"/>
        <v>0</v>
      </c>
      <c r="AW16" s="110">
        <f t="shared" si="35"/>
        <v>0</v>
      </c>
      <c r="AX16" s="110">
        <f t="shared" si="35"/>
        <v>0</v>
      </c>
      <c r="AY16" s="110">
        <f t="shared" si="35"/>
        <v>0</v>
      </c>
      <c r="AZ16" s="110">
        <f t="shared" si="35"/>
        <v>0</v>
      </c>
      <c r="BA16" s="110">
        <f t="shared" si="35"/>
        <v>0</v>
      </c>
      <c r="BB16" s="110">
        <f t="shared" si="35"/>
        <v>0</v>
      </c>
      <c r="BC16" s="110">
        <f t="shared" si="35"/>
        <v>0</v>
      </c>
      <c r="BD16" s="110">
        <f t="shared" si="35"/>
        <v>0</v>
      </c>
      <c r="BE16" s="110">
        <f t="shared" si="35"/>
        <v>0</v>
      </c>
      <c r="BF16" s="110">
        <f t="shared" si="35"/>
        <v>0</v>
      </c>
      <c r="BG16" s="110">
        <f t="shared" si="35"/>
        <v>0</v>
      </c>
      <c r="BH16" s="110">
        <f t="shared" si="35"/>
        <v>0</v>
      </c>
      <c r="BI16" s="110">
        <f t="shared" si="35"/>
        <v>0</v>
      </c>
      <c r="BJ16" s="110">
        <f t="shared" si="35"/>
        <v>0</v>
      </c>
      <c r="BK16" s="110">
        <f t="shared" si="35"/>
        <v>0</v>
      </c>
      <c r="BL16" s="110">
        <f t="shared" si="35"/>
        <v>0</v>
      </c>
      <c r="BM16" s="110">
        <f t="shared" si="35"/>
        <v>0</v>
      </c>
      <c r="BN16" s="110">
        <f t="shared" si="35"/>
        <v>0</v>
      </c>
      <c r="BO16" s="110">
        <f t="shared" si="35"/>
        <v>0</v>
      </c>
      <c r="BP16" s="110">
        <f t="shared" si="35"/>
        <v>0</v>
      </c>
      <c r="BQ16" s="110">
        <f t="shared" si="35"/>
        <v>0</v>
      </c>
      <c r="BR16" s="110">
        <f t="shared" si="35"/>
        <v>0</v>
      </c>
      <c r="BS16" s="110">
        <f t="shared" ref="BS16:ED16" si="36">BS9*($C$16/$E$9)</f>
        <v>0</v>
      </c>
      <c r="BT16" s="110">
        <f t="shared" si="36"/>
        <v>0</v>
      </c>
      <c r="BU16" s="110">
        <f t="shared" si="36"/>
        <v>0</v>
      </c>
      <c r="BV16" s="110">
        <f t="shared" si="36"/>
        <v>0</v>
      </c>
      <c r="BW16" s="110">
        <f t="shared" si="36"/>
        <v>0</v>
      </c>
      <c r="BX16" s="110">
        <f t="shared" si="36"/>
        <v>0</v>
      </c>
      <c r="BY16" s="110">
        <f t="shared" si="36"/>
        <v>0</v>
      </c>
      <c r="BZ16" s="110">
        <f t="shared" si="36"/>
        <v>0</v>
      </c>
      <c r="CA16" s="110">
        <f t="shared" si="36"/>
        <v>0</v>
      </c>
      <c r="CB16" s="110">
        <f t="shared" si="36"/>
        <v>0</v>
      </c>
      <c r="CC16" s="110">
        <f t="shared" si="36"/>
        <v>0</v>
      </c>
      <c r="CD16" s="110">
        <f t="shared" si="36"/>
        <v>0</v>
      </c>
      <c r="CE16" s="110">
        <f t="shared" si="36"/>
        <v>0</v>
      </c>
      <c r="CF16" s="110">
        <f t="shared" si="36"/>
        <v>0</v>
      </c>
      <c r="CG16" s="110">
        <f t="shared" si="36"/>
        <v>0</v>
      </c>
      <c r="CH16" s="110">
        <f t="shared" si="36"/>
        <v>0</v>
      </c>
      <c r="CI16" s="110">
        <f t="shared" si="36"/>
        <v>0</v>
      </c>
      <c r="CJ16" s="110">
        <f t="shared" si="36"/>
        <v>0</v>
      </c>
      <c r="CK16" s="110">
        <f t="shared" si="36"/>
        <v>0</v>
      </c>
      <c r="CL16" s="110">
        <f t="shared" si="36"/>
        <v>0</v>
      </c>
      <c r="CM16" s="110">
        <f t="shared" si="36"/>
        <v>0</v>
      </c>
      <c r="CN16" s="110">
        <f t="shared" si="36"/>
        <v>0</v>
      </c>
      <c r="CO16" s="110">
        <f t="shared" si="36"/>
        <v>0</v>
      </c>
      <c r="CP16" s="110">
        <f t="shared" si="36"/>
        <v>0</v>
      </c>
      <c r="CQ16" s="110">
        <f t="shared" si="36"/>
        <v>0</v>
      </c>
      <c r="CR16" s="110">
        <f t="shared" si="36"/>
        <v>0</v>
      </c>
      <c r="CS16" s="110">
        <f t="shared" si="36"/>
        <v>0</v>
      </c>
      <c r="CT16" s="110">
        <f t="shared" si="36"/>
        <v>0</v>
      </c>
      <c r="CU16" s="110">
        <f t="shared" si="36"/>
        <v>0</v>
      </c>
      <c r="CV16" s="110">
        <f t="shared" si="36"/>
        <v>0</v>
      </c>
      <c r="CW16" s="110">
        <f t="shared" si="36"/>
        <v>0</v>
      </c>
      <c r="CX16" s="110">
        <f t="shared" si="36"/>
        <v>0</v>
      </c>
      <c r="CY16" s="110">
        <f t="shared" si="36"/>
        <v>0</v>
      </c>
      <c r="CZ16" s="110">
        <f t="shared" si="36"/>
        <v>0</v>
      </c>
      <c r="DA16" s="110">
        <f t="shared" si="36"/>
        <v>0</v>
      </c>
      <c r="DB16" s="110">
        <f t="shared" si="36"/>
        <v>0</v>
      </c>
      <c r="DC16" s="110">
        <f t="shared" si="36"/>
        <v>0</v>
      </c>
      <c r="DD16" s="110">
        <f t="shared" si="36"/>
        <v>0</v>
      </c>
      <c r="DE16" s="110">
        <f t="shared" si="36"/>
        <v>0</v>
      </c>
      <c r="DF16" s="110">
        <f t="shared" si="36"/>
        <v>0</v>
      </c>
      <c r="DG16" s="110">
        <f t="shared" si="36"/>
        <v>0</v>
      </c>
      <c r="DH16" s="110">
        <f t="shared" si="36"/>
        <v>0</v>
      </c>
      <c r="DI16" s="110">
        <f t="shared" si="36"/>
        <v>0</v>
      </c>
      <c r="DJ16" s="110">
        <f t="shared" si="36"/>
        <v>0</v>
      </c>
      <c r="DK16" s="110">
        <f t="shared" si="36"/>
        <v>0</v>
      </c>
      <c r="DL16" s="110">
        <f t="shared" si="36"/>
        <v>0</v>
      </c>
      <c r="DM16" s="110">
        <f t="shared" si="36"/>
        <v>0</v>
      </c>
      <c r="DN16" s="110">
        <f t="shared" si="36"/>
        <v>0</v>
      </c>
      <c r="DO16" s="110">
        <f t="shared" si="36"/>
        <v>0</v>
      </c>
      <c r="DP16" s="110">
        <f t="shared" si="36"/>
        <v>0</v>
      </c>
      <c r="DQ16" s="110">
        <f t="shared" si="36"/>
        <v>0</v>
      </c>
      <c r="DR16" s="110">
        <f t="shared" si="36"/>
        <v>0</v>
      </c>
      <c r="DS16" s="110">
        <f t="shared" si="36"/>
        <v>0</v>
      </c>
      <c r="DT16" s="110">
        <f t="shared" si="36"/>
        <v>0</v>
      </c>
      <c r="DU16" s="110">
        <f t="shared" si="36"/>
        <v>0</v>
      </c>
      <c r="DV16" s="110">
        <f t="shared" si="36"/>
        <v>0</v>
      </c>
      <c r="DW16" s="110">
        <f t="shared" si="36"/>
        <v>0</v>
      </c>
      <c r="DX16" s="110">
        <f t="shared" si="36"/>
        <v>0</v>
      </c>
      <c r="DY16" s="110">
        <f t="shared" si="36"/>
        <v>0</v>
      </c>
      <c r="DZ16" s="110">
        <f t="shared" si="36"/>
        <v>0</v>
      </c>
      <c r="EA16" s="110">
        <f t="shared" si="36"/>
        <v>0</v>
      </c>
      <c r="EB16" s="110">
        <f t="shared" si="36"/>
        <v>0</v>
      </c>
      <c r="EC16" s="110">
        <f t="shared" si="36"/>
        <v>0</v>
      </c>
      <c r="ED16" s="110">
        <f t="shared" si="36"/>
        <v>0</v>
      </c>
      <c r="EE16" s="110">
        <f t="shared" ref="EE16:GP16" si="37">EE9*($C$16/$E$9)</f>
        <v>0</v>
      </c>
      <c r="EF16" s="110">
        <f t="shared" si="37"/>
        <v>0</v>
      </c>
      <c r="EG16" s="110">
        <f t="shared" si="37"/>
        <v>0</v>
      </c>
      <c r="EH16" s="110">
        <f t="shared" si="37"/>
        <v>0</v>
      </c>
      <c r="EI16" s="110">
        <f t="shared" si="37"/>
        <v>0</v>
      </c>
      <c r="EJ16" s="110">
        <f t="shared" si="37"/>
        <v>0</v>
      </c>
      <c r="EK16" s="110">
        <f t="shared" si="37"/>
        <v>0</v>
      </c>
      <c r="EL16" s="110">
        <f t="shared" si="37"/>
        <v>0</v>
      </c>
      <c r="EM16" s="110">
        <f t="shared" si="37"/>
        <v>0</v>
      </c>
      <c r="EN16" s="110">
        <f t="shared" si="37"/>
        <v>0</v>
      </c>
      <c r="EO16" s="110">
        <f t="shared" si="37"/>
        <v>0</v>
      </c>
      <c r="EP16" s="110">
        <f t="shared" si="37"/>
        <v>0</v>
      </c>
      <c r="EQ16" s="110">
        <f t="shared" si="37"/>
        <v>0</v>
      </c>
      <c r="ER16" s="110">
        <f t="shared" si="37"/>
        <v>0</v>
      </c>
      <c r="ES16" s="110">
        <f t="shared" si="37"/>
        <v>0</v>
      </c>
      <c r="ET16" s="110">
        <f t="shared" si="37"/>
        <v>0</v>
      </c>
      <c r="EU16" s="110">
        <f t="shared" si="37"/>
        <v>0</v>
      </c>
      <c r="EV16" s="110">
        <f t="shared" si="37"/>
        <v>0</v>
      </c>
      <c r="EW16" s="110">
        <f t="shared" si="37"/>
        <v>0</v>
      </c>
      <c r="EX16" s="110">
        <f t="shared" si="37"/>
        <v>0</v>
      </c>
      <c r="EY16" s="110">
        <f t="shared" si="37"/>
        <v>0</v>
      </c>
      <c r="EZ16" s="110">
        <f t="shared" si="37"/>
        <v>0</v>
      </c>
      <c r="FA16" s="110">
        <f t="shared" si="37"/>
        <v>0</v>
      </c>
      <c r="FB16" s="110">
        <f t="shared" si="37"/>
        <v>0</v>
      </c>
      <c r="FC16" s="110">
        <f t="shared" si="37"/>
        <v>0</v>
      </c>
      <c r="FD16" s="110">
        <f t="shared" si="37"/>
        <v>0</v>
      </c>
      <c r="FE16" s="110">
        <f t="shared" si="37"/>
        <v>0</v>
      </c>
      <c r="FF16" s="110">
        <f t="shared" si="37"/>
        <v>0</v>
      </c>
      <c r="FG16" s="110">
        <f t="shared" si="37"/>
        <v>0</v>
      </c>
      <c r="FH16" s="110">
        <f t="shared" si="37"/>
        <v>0</v>
      </c>
      <c r="FI16" s="110">
        <f t="shared" si="37"/>
        <v>0</v>
      </c>
      <c r="FJ16" s="110">
        <f t="shared" si="37"/>
        <v>0</v>
      </c>
      <c r="FK16" s="110">
        <f t="shared" si="37"/>
        <v>0</v>
      </c>
      <c r="FL16" s="110">
        <f t="shared" si="37"/>
        <v>0</v>
      </c>
      <c r="FM16" s="110">
        <f t="shared" si="37"/>
        <v>0</v>
      </c>
      <c r="FN16" s="110">
        <f t="shared" si="37"/>
        <v>0</v>
      </c>
      <c r="FO16" s="110">
        <f t="shared" si="37"/>
        <v>0</v>
      </c>
      <c r="FP16" s="110">
        <f t="shared" si="37"/>
        <v>0</v>
      </c>
      <c r="FQ16" s="110">
        <f t="shared" si="37"/>
        <v>0</v>
      </c>
      <c r="FR16" s="110">
        <f t="shared" si="37"/>
        <v>0</v>
      </c>
      <c r="FS16" s="110">
        <f t="shared" si="37"/>
        <v>0</v>
      </c>
      <c r="FT16" s="110">
        <f t="shared" si="37"/>
        <v>0</v>
      </c>
      <c r="FU16" s="110">
        <f t="shared" si="37"/>
        <v>0</v>
      </c>
      <c r="FV16" s="110">
        <f t="shared" si="37"/>
        <v>0</v>
      </c>
      <c r="FW16" s="110">
        <f t="shared" si="37"/>
        <v>0</v>
      </c>
      <c r="FX16" s="110">
        <f t="shared" si="37"/>
        <v>0</v>
      </c>
      <c r="FY16" s="110">
        <f t="shared" si="37"/>
        <v>0</v>
      </c>
      <c r="FZ16" s="110">
        <f t="shared" si="37"/>
        <v>0</v>
      </c>
      <c r="GA16" s="110">
        <f t="shared" si="37"/>
        <v>0</v>
      </c>
      <c r="GB16" s="110">
        <f t="shared" si="37"/>
        <v>0</v>
      </c>
      <c r="GC16" s="110">
        <f t="shared" si="37"/>
        <v>0</v>
      </c>
      <c r="GD16" s="110">
        <f t="shared" si="37"/>
        <v>0</v>
      </c>
      <c r="GE16" s="110">
        <f t="shared" si="37"/>
        <v>0</v>
      </c>
      <c r="GF16" s="110">
        <f t="shared" si="37"/>
        <v>0</v>
      </c>
      <c r="GG16" s="110">
        <f t="shared" si="37"/>
        <v>0</v>
      </c>
      <c r="GH16" s="110">
        <f t="shared" si="37"/>
        <v>0</v>
      </c>
      <c r="GI16" s="110">
        <f t="shared" si="37"/>
        <v>0</v>
      </c>
      <c r="GJ16" s="110">
        <f t="shared" si="37"/>
        <v>0</v>
      </c>
      <c r="GK16" s="110">
        <f t="shared" si="37"/>
        <v>0</v>
      </c>
      <c r="GL16" s="110">
        <f t="shared" si="37"/>
        <v>0</v>
      </c>
      <c r="GM16" s="110">
        <f t="shared" si="37"/>
        <v>0</v>
      </c>
      <c r="GN16" s="110">
        <f t="shared" si="37"/>
        <v>0</v>
      </c>
      <c r="GO16" s="110">
        <f t="shared" si="37"/>
        <v>0</v>
      </c>
      <c r="GP16" s="110">
        <f t="shared" si="37"/>
        <v>0</v>
      </c>
      <c r="GQ16" s="110">
        <f t="shared" ref="GQ16:JB16" si="38">GQ9*($C$16/$E$9)</f>
        <v>0</v>
      </c>
      <c r="GR16" s="110">
        <f t="shared" si="38"/>
        <v>0</v>
      </c>
      <c r="GS16" s="110">
        <f t="shared" si="38"/>
        <v>0</v>
      </c>
      <c r="GT16" s="110">
        <f t="shared" si="38"/>
        <v>0</v>
      </c>
      <c r="GU16" s="110">
        <f t="shared" si="38"/>
        <v>0</v>
      </c>
      <c r="GV16" s="110">
        <f t="shared" si="38"/>
        <v>0</v>
      </c>
      <c r="GW16" s="110">
        <f t="shared" si="38"/>
        <v>0</v>
      </c>
      <c r="GX16" s="110">
        <f t="shared" si="38"/>
        <v>0</v>
      </c>
      <c r="GY16" s="110">
        <f t="shared" si="38"/>
        <v>0</v>
      </c>
      <c r="GZ16" s="110">
        <f t="shared" si="38"/>
        <v>0</v>
      </c>
      <c r="HA16" s="110">
        <f t="shared" si="38"/>
        <v>0</v>
      </c>
      <c r="HB16" s="110">
        <f t="shared" si="38"/>
        <v>0</v>
      </c>
      <c r="HC16" s="110">
        <f t="shared" si="38"/>
        <v>0</v>
      </c>
      <c r="HD16" s="110">
        <f t="shared" si="38"/>
        <v>0</v>
      </c>
      <c r="HE16" s="110">
        <f t="shared" si="38"/>
        <v>0</v>
      </c>
      <c r="HF16" s="110">
        <f t="shared" si="38"/>
        <v>0</v>
      </c>
      <c r="HG16" s="110">
        <f t="shared" si="38"/>
        <v>0</v>
      </c>
      <c r="HH16" s="110">
        <f t="shared" si="38"/>
        <v>0</v>
      </c>
      <c r="HI16" s="110">
        <f t="shared" si="38"/>
        <v>0</v>
      </c>
      <c r="HJ16" s="110">
        <f t="shared" si="38"/>
        <v>0</v>
      </c>
      <c r="HK16" s="110">
        <f t="shared" si="38"/>
        <v>0</v>
      </c>
      <c r="HL16" s="110">
        <f t="shared" si="38"/>
        <v>0</v>
      </c>
      <c r="HM16" s="110">
        <f t="shared" si="38"/>
        <v>0</v>
      </c>
      <c r="HN16" s="110">
        <f t="shared" si="38"/>
        <v>0</v>
      </c>
      <c r="HO16" s="110">
        <f t="shared" si="38"/>
        <v>0</v>
      </c>
      <c r="HP16" s="110">
        <f t="shared" si="38"/>
        <v>0</v>
      </c>
      <c r="HQ16" s="110">
        <f t="shared" si="38"/>
        <v>0</v>
      </c>
      <c r="HR16" s="110">
        <f t="shared" si="38"/>
        <v>0</v>
      </c>
      <c r="HS16" s="110">
        <f t="shared" si="38"/>
        <v>0</v>
      </c>
      <c r="HT16" s="110">
        <f t="shared" si="38"/>
        <v>0</v>
      </c>
      <c r="HU16" s="110">
        <f t="shared" si="38"/>
        <v>0</v>
      </c>
      <c r="HV16" s="110">
        <f t="shared" si="38"/>
        <v>0</v>
      </c>
      <c r="HW16" s="110">
        <f t="shared" si="38"/>
        <v>0</v>
      </c>
      <c r="HX16" s="110">
        <f t="shared" si="38"/>
        <v>0</v>
      </c>
      <c r="HY16" s="110">
        <f t="shared" si="38"/>
        <v>0</v>
      </c>
      <c r="HZ16" s="110">
        <f t="shared" si="38"/>
        <v>0</v>
      </c>
      <c r="IA16" s="110">
        <f t="shared" si="38"/>
        <v>0</v>
      </c>
      <c r="IB16" s="110">
        <f t="shared" si="38"/>
        <v>0</v>
      </c>
      <c r="IC16" s="110">
        <f t="shared" si="38"/>
        <v>0</v>
      </c>
      <c r="ID16" s="110">
        <f t="shared" si="38"/>
        <v>0</v>
      </c>
      <c r="IE16" s="110">
        <f t="shared" si="38"/>
        <v>0</v>
      </c>
      <c r="IF16" s="110">
        <f t="shared" si="38"/>
        <v>0</v>
      </c>
      <c r="IG16" s="110">
        <f t="shared" si="38"/>
        <v>0</v>
      </c>
      <c r="IH16" s="110">
        <f t="shared" si="38"/>
        <v>0</v>
      </c>
      <c r="II16" s="110">
        <f t="shared" si="38"/>
        <v>0</v>
      </c>
      <c r="IJ16" s="110">
        <f t="shared" si="38"/>
        <v>0</v>
      </c>
      <c r="IK16" s="110">
        <f t="shared" si="38"/>
        <v>0</v>
      </c>
      <c r="IL16" s="110">
        <f t="shared" si="38"/>
        <v>0</v>
      </c>
      <c r="IM16" s="110">
        <f t="shared" si="38"/>
        <v>0</v>
      </c>
      <c r="IN16" s="110">
        <f t="shared" si="38"/>
        <v>0</v>
      </c>
      <c r="IO16" s="110">
        <f t="shared" si="38"/>
        <v>0</v>
      </c>
      <c r="IP16" s="110">
        <f t="shared" si="38"/>
        <v>0</v>
      </c>
      <c r="IQ16" s="110">
        <f t="shared" si="38"/>
        <v>0</v>
      </c>
      <c r="IR16" s="110">
        <f t="shared" si="38"/>
        <v>0</v>
      </c>
      <c r="IS16" s="110">
        <f t="shared" si="38"/>
        <v>0</v>
      </c>
      <c r="IT16" s="110">
        <f t="shared" si="38"/>
        <v>0</v>
      </c>
      <c r="IU16" s="110">
        <f t="shared" si="38"/>
        <v>0</v>
      </c>
      <c r="IV16" s="110">
        <f t="shared" si="38"/>
        <v>0</v>
      </c>
      <c r="IW16" s="110">
        <f t="shared" si="38"/>
        <v>0</v>
      </c>
      <c r="IX16" s="110">
        <f t="shared" si="38"/>
        <v>0</v>
      </c>
      <c r="IY16" s="110">
        <f t="shared" si="38"/>
        <v>0</v>
      </c>
      <c r="IZ16" s="110">
        <f t="shared" si="38"/>
        <v>0</v>
      </c>
      <c r="JA16" s="110">
        <f t="shared" si="38"/>
        <v>0</v>
      </c>
      <c r="JB16" s="110">
        <f t="shared" si="38"/>
        <v>0</v>
      </c>
      <c r="JC16" s="110">
        <f t="shared" ref="JC16:KW16" si="39">JC9*($C$16/$E$9)</f>
        <v>0</v>
      </c>
      <c r="JD16" s="110">
        <f t="shared" si="39"/>
        <v>0</v>
      </c>
      <c r="JE16" s="110">
        <f t="shared" si="39"/>
        <v>0</v>
      </c>
      <c r="JF16" s="110">
        <f t="shared" si="39"/>
        <v>0</v>
      </c>
      <c r="JG16" s="110">
        <f t="shared" si="39"/>
        <v>0</v>
      </c>
      <c r="JH16" s="110">
        <f t="shared" si="39"/>
        <v>0</v>
      </c>
      <c r="JI16" s="110">
        <f t="shared" si="39"/>
        <v>0</v>
      </c>
      <c r="JJ16" s="110">
        <f t="shared" si="39"/>
        <v>0</v>
      </c>
      <c r="JK16" s="110">
        <f t="shared" si="39"/>
        <v>0</v>
      </c>
      <c r="JL16" s="110">
        <f t="shared" si="39"/>
        <v>0</v>
      </c>
      <c r="JM16" s="110">
        <f t="shared" si="39"/>
        <v>0</v>
      </c>
      <c r="JN16" s="110">
        <f t="shared" si="39"/>
        <v>0</v>
      </c>
      <c r="JO16" s="110">
        <f t="shared" si="39"/>
        <v>0</v>
      </c>
      <c r="JP16" s="110">
        <f t="shared" si="39"/>
        <v>0</v>
      </c>
      <c r="JQ16" s="110">
        <f t="shared" si="39"/>
        <v>0</v>
      </c>
      <c r="JR16" s="110">
        <f t="shared" si="39"/>
        <v>0</v>
      </c>
      <c r="JS16" s="110">
        <f t="shared" si="39"/>
        <v>0</v>
      </c>
      <c r="JT16" s="110">
        <f t="shared" si="39"/>
        <v>0</v>
      </c>
      <c r="JU16" s="110">
        <f t="shared" si="39"/>
        <v>0</v>
      </c>
      <c r="JV16" s="110">
        <f t="shared" si="39"/>
        <v>0</v>
      </c>
      <c r="JW16" s="110">
        <f t="shared" si="39"/>
        <v>0</v>
      </c>
      <c r="JX16" s="110">
        <f t="shared" si="39"/>
        <v>0</v>
      </c>
      <c r="JY16" s="110">
        <f t="shared" si="39"/>
        <v>0</v>
      </c>
      <c r="JZ16" s="110">
        <f t="shared" si="39"/>
        <v>0</v>
      </c>
      <c r="KA16" s="110">
        <f t="shared" si="39"/>
        <v>0</v>
      </c>
      <c r="KB16" s="110">
        <f t="shared" si="39"/>
        <v>0</v>
      </c>
      <c r="KC16" s="110">
        <f t="shared" si="39"/>
        <v>0</v>
      </c>
      <c r="KD16" s="110">
        <f t="shared" si="39"/>
        <v>0</v>
      </c>
      <c r="KE16" s="110">
        <f t="shared" si="39"/>
        <v>0</v>
      </c>
      <c r="KF16" s="110">
        <f t="shared" si="39"/>
        <v>0</v>
      </c>
      <c r="KG16" s="110">
        <f t="shared" si="39"/>
        <v>0</v>
      </c>
      <c r="KH16" s="110">
        <f t="shared" si="39"/>
        <v>0</v>
      </c>
      <c r="KI16" s="110">
        <f t="shared" si="39"/>
        <v>0</v>
      </c>
      <c r="KJ16" s="110">
        <f t="shared" si="39"/>
        <v>0</v>
      </c>
      <c r="KK16" s="110">
        <f t="shared" si="39"/>
        <v>0</v>
      </c>
      <c r="KL16" s="110">
        <f t="shared" si="39"/>
        <v>0</v>
      </c>
      <c r="KM16" s="110">
        <f t="shared" si="39"/>
        <v>0</v>
      </c>
      <c r="KN16" s="110">
        <f t="shared" si="39"/>
        <v>0</v>
      </c>
      <c r="KO16" s="110">
        <f t="shared" si="39"/>
        <v>0</v>
      </c>
      <c r="KP16" s="110">
        <f t="shared" si="39"/>
        <v>0</v>
      </c>
      <c r="KQ16" s="110">
        <f t="shared" si="39"/>
        <v>0</v>
      </c>
      <c r="KR16" s="110">
        <f t="shared" si="39"/>
        <v>0</v>
      </c>
      <c r="KS16" s="110">
        <f t="shared" si="39"/>
        <v>0</v>
      </c>
      <c r="KT16" s="110">
        <f t="shared" si="39"/>
        <v>0</v>
      </c>
      <c r="KU16" s="110">
        <f t="shared" si="39"/>
        <v>0</v>
      </c>
      <c r="KV16" s="110">
        <f t="shared" si="39"/>
        <v>0</v>
      </c>
      <c r="KW16" s="110">
        <f t="shared" si="39"/>
        <v>0</v>
      </c>
    </row>
    <row r="17" spans="2:309" x14ac:dyDescent="0.2">
      <c r="B17" s="131" t="s">
        <v>44</v>
      </c>
      <c r="C17" s="132"/>
      <c r="D17" s="133"/>
      <c r="E17" s="134">
        <f>SUM(G17:KW17)</f>
        <v>2657850.375</v>
      </c>
      <c r="F17" s="132"/>
      <c r="G17" s="82">
        <f t="shared" ref="G17:BR17" si="40">SUM(G14:G16)</f>
        <v>0</v>
      </c>
      <c r="H17" s="82">
        <f t="shared" si="40"/>
        <v>4065.0187500000002</v>
      </c>
      <c r="I17" s="82">
        <f t="shared" si="40"/>
        <v>4065.0187500000002</v>
      </c>
      <c r="J17" s="82">
        <f t="shared" si="40"/>
        <v>4065.0187500000002</v>
      </c>
      <c r="K17" s="82">
        <f t="shared" si="40"/>
        <v>4065.0187500000002</v>
      </c>
      <c r="L17" s="82">
        <f t="shared" si="40"/>
        <v>4065.0187500000002</v>
      </c>
      <c r="M17" s="82">
        <f t="shared" si="40"/>
        <v>4065.0187500000002</v>
      </c>
      <c r="N17" s="82">
        <f t="shared" si="40"/>
        <v>4065.0187500000002</v>
      </c>
      <c r="O17" s="82">
        <f t="shared" si="40"/>
        <v>79065.018750000003</v>
      </c>
      <c r="P17" s="82">
        <f t="shared" si="40"/>
        <v>212527.51874999999</v>
      </c>
      <c r="Q17" s="82">
        <f t="shared" si="40"/>
        <v>212527.51874999999</v>
      </c>
      <c r="R17" s="82">
        <f t="shared" si="40"/>
        <v>212527.51874999999</v>
      </c>
      <c r="S17" s="82">
        <f t="shared" si="40"/>
        <v>212527.51874999999</v>
      </c>
      <c r="T17" s="82">
        <f t="shared" si="40"/>
        <v>212527.51874999999</v>
      </c>
      <c r="U17" s="82">
        <f t="shared" si="40"/>
        <v>212527.51874999999</v>
      </c>
      <c r="V17" s="82">
        <f t="shared" si="40"/>
        <v>212527.51874999999</v>
      </c>
      <c r="W17" s="82">
        <f t="shared" si="40"/>
        <v>212527.51874999999</v>
      </c>
      <c r="X17" s="82">
        <f t="shared" si="40"/>
        <v>212527.51874999999</v>
      </c>
      <c r="Y17" s="82">
        <f t="shared" si="40"/>
        <v>212527.51874999999</v>
      </c>
      <c r="Z17" s="82">
        <f t="shared" si="40"/>
        <v>212527.51874999999</v>
      </c>
      <c r="AA17" s="82">
        <f t="shared" si="40"/>
        <v>212527.51874999999</v>
      </c>
      <c r="AB17" s="82">
        <f t="shared" si="40"/>
        <v>0</v>
      </c>
      <c r="AC17" s="82">
        <f t="shared" si="40"/>
        <v>0</v>
      </c>
      <c r="AD17" s="82">
        <f t="shared" si="40"/>
        <v>0</v>
      </c>
      <c r="AE17" s="82">
        <f t="shared" si="40"/>
        <v>0</v>
      </c>
      <c r="AF17" s="82">
        <f t="shared" si="40"/>
        <v>0</v>
      </c>
      <c r="AG17" s="82">
        <f t="shared" si="40"/>
        <v>0</v>
      </c>
      <c r="AH17" s="82">
        <f t="shared" si="40"/>
        <v>0</v>
      </c>
      <c r="AI17" s="82">
        <f t="shared" si="40"/>
        <v>0</v>
      </c>
      <c r="AJ17" s="82">
        <f t="shared" si="40"/>
        <v>0</v>
      </c>
      <c r="AK17" s="82">
        <f t="shared" si="40"/>
        <v>0</v>
      </c>
      <c r="AL17" s="82">
        <f t="shared" si="40"/>
        <v>0</v>
      </c>
      <c r="AM17" s="82">
        <f t="shared" si="40"/>
        <v>0</v>
      </c>
      <c r="AN17" s="82">
        <f t="shared" si="40"/>
        <v>0</v>
      </c>
      <c r="AO17" s="82">
        <f t="shared" si="40"/>
        <v>0</v>
      </c>
      <c r="AP17" s="82">
        <f t="shared" si="40"/>
        <v>0</v>
      </c>
      <c r="AQ17" s="82">
        <f t="shared" si="40"/>
        <v>0</v>
      </c>
      <c r="AR17" s="82">
        <f t="shared" si="40"/>
        <v>0</v>
      </c>
      <c r="AS17" s="82">
        <f t="shared" si="40"/>
        <v>0</v>
      </c>
      <c r="AT17" s="82">
        <f t="shared" si="40"/>
        <v>0</v>
      </c>
      <c r="AU17" s="82">
        <f t="shared" si="40"/>
        <v>0</v>
      </c>
      <c r="AV17" s="82">
        <f t="shared" si="40"/>
        <v>0</v>
      </c>
      <c r="AW17" s="82">
        <f t="shared" si="40"/>
        <v>0</v>
      </c>
      <c r="AX17" s="82">
        <f t="shared" si="40"/>
        <v>0</v>
      </c>
      <c r="AY17" s="82">
        <f t="shared" si="40"/>
        <v>0</v>
      </c>
      <c r="AZ17" s="82">
        <f t="shared" si="40"/>
        <v>0</v>
      </c>
      <c r="BA17" s="82">
        <f t="shared" si="40"/>
        <v>0</v>
      </c>
      <c r="BB17" s="82">
        <f t="shared" si="40"/>
        <v>0</v>
      </c>
      <c r="BC17" s="82">
        <f t="shared" si="40"/>
        <v>0</v>
      </c>
      <c r="BD17" s="82">
        <f t="shared" si="40"/>
        <v>0</v>
      </c>
      <c r="BE17" s="82">
        <f t="shared" si="40"/>
        <v>0</v>
      </c>
      <c r="BF17" s="82">
        <f t="shared" si="40"/>
        <v>0</v>
      </c>
      <c r="BG17" s="82">
        <f t="shared" si="40"/>
        <v>0</v>
      </c>
      <c r="BH17" s="82">
        <f t="shared" si="40"/>
        <v>0</v>
      </c>
      <c r="BI17" s="82">
        <f t="shared" si="40"/>
        <v>0</v>
      </c>
      <c r="BJ17" s="82">
        <f t="shared" si="40"/>
        <v>0</v>
      </c>
      <c r="BK17" s="82">
        <f t="shared" si="40"/>
        <v>0</v>
      </c>
      <c r="BL17" s="82">
        <f t="shared" si="40"/>
        <v>0</v>
      </c>
      <c r="BM17" s="82">
        <f t="shared" si="40"/>
        <v>0</v>
      </c>
      <c r="BN17" s="82">
        <f t="shared" si="40"/>
        <v>0</v>
      </c>
      <c r="BO17" s="82">
        <f t="shared" si="40"/>
        <v>0</v>
      </c>
      <c r="BP17" s="82">
        <f t="shared" si="40"/>
        <v>0</v>
      </c>
      <c r="BQ17" s="82">
        <f t="shared" si="40"/>
        <v>0</v>
      </c>
      <c r="BR17" s="82">
        <f t="shared" si="40"/>
        <v>0</v>
      </c>
      <c r="BS17" s="82">
        <f t="shared" ref="BS17:ED17" si="41">SUM(BS14:BS16)</f>
        <v>0</v>
      </c>
      <c r="BT17" s="82">
        <f t="shared" si="41"/>
        <v>0</v>
      </c>
      <c r="BU17" s="82">
        <f t="shared" si="41"/>
        <v>0</v>
      </c>
      <c r="BV17" s="82">
        <f t="shared" si="41"/>
        <v>0</v>
      </c>
      <c r="BW17" s="82">
        <f t="shared" si="41"/>
        <v>0</v>
      </c>
      <c r="BX17" s="82">
        <f t="shared" si="41"/>
        <v>0</v>
      </c>
      <c r="BY17" s="82">
        <f t="shared" si="41"/>
        <v>0</v>
      </c>
      <c r="BZ17" s="82">
        <f t="shared" si="41"/>
        <v>0</v>
      </c>
      <c r="CA17" s="82">
        <f t="shared" si="41"/>
        <v>0</v>
      </c>
      <c r="CB17" s="82">
        <f t="shared" si="41"/>
        <v>0</v>
      </c>
      <c r="CC17" s="82">
        <f t="shared" si="41"/>
        <v>0</v>
      </c>
      <c r="CD17" s="82">
        <f t="shared" si="41"/>
        <v>0</v>
      </c>
      <c r="CE17" s="82">
        <f t="shared" si="41"/>
        <v>0</v>
      </c>
      <c r="CF17" s="82">
        <f t="shared" si="41"/>
        <v>0</v>
      </c>
      <c r="CG17" s="82">
        <f t="shared" si="41"/>
        <v>0</v>
      </c>
      <c r="CH17" s="82">
        <f t="shared" si="41"/>
        <v>0</v>
      </c>
      <c r="CI17" s="82">
        <f t="shared" si="41"/>
        <v>0</v>
      </c>
      <c r="CJ17" s="82">
        <f t="shared" si="41"/>
        <v>0</v>
      </c>
      <c r="CK17" s="82">
        <f t="shared" si="41"/>
        <v>0</v>
      </c>
      <c r="CL17" s="82">
        <f t="shared" si="41"/>
        <v>0</v>
      </c>
      <c r="CM17" s="82">
        <f t="shared" si="41"/>
        <v>0</v>
      </c>
      <c r="CN17" s="82">
        <f t="shared" si="41"/>
        <v>0</v>
      </c>
      <c r="CO17" s="82">
        <f t="shared" si="41"/>
        <v>0</v>
      </c>
      <c r="CP17" s="82">
        <f t="shared" si="41"/>
        <v>0</v>
      </c>
      <c r="CQ17" s="82">
        <f t="shared" si="41"/>
        <v>0</v>
      </c>
      <c r="CR17" s="82">
        <f t="shared" si="41"/>
        <v>0</v>
      </c>
      <c r="CS17" s="82">
        <f t="shared" si="41"/>
        <v>0</v>
      </c>
      <c r="CT17" s="82">
        <f t="shared" si="41"/>
        <v>0</v>
      </c>
      <c r="CU17" s="82">
        <f t="shared" si="41"/>
        <v>0</v>
      </c>
      <c r="CV17" s="82">
        <f t="shared" si="41"/>
        <v>0</v>
      </c>
      <c r="CW17" s="82">
        <f t="shared" si="41"/>
        <v>0</v>
      </c>
      <c r="CX17" s="82">
        <f t="shared" si="41"/>
        <v>0</v>
      </c>
      <c r="CY17" s="82">
        <f t="shared" si="41"/>
        <v>0</v>
      </c>
      <c r="CZ17" s="82">
        <f t="shared" si="41"/>
        <v>0</v>
      </c>
      <c r="DA17" s="82">
        <f t="shared" si="41"/>
        <v>0</v>
      </c>
      <c r="DB17" s="82">
        <f t="shared" si="41"/>
        <v>0</v>
      </c>
      <c r="DC17" s="82">
        <f t="shared" si="41"/>
        <v>0</v>
      </c>
      <c r="DD17" s="82">
        <f t="shared" si="41"/>
        <v>0</v>
      </c>
      <c r="DE17" s="82">
        <f t="shared" si="41"/>
        <v>0</v>
      </c>
      <c r="DF17" s="82">
        <f t="shared" si="41"/>
        <v>0</v>
      </c>
      <c r="DG17" s="82">
        <f t="shared" si="41"/>
        <v>0</v>
      </c>
      <c r="DH17" s="82">
        <f t="shared" si="41"/>
        <v>0</v>
      </c>
      <c r="DI17" s="82">
        <f t="shared" si="41"/>
        <v>0</v>
      </c>
      <c r="DJ17" s="82">
        <f t="shared" si="41"/>
        <v>0</v>
      </c>
      <c r="DK17" s="82">
        <f t="shared" si="41"/>
        <v>0</v>
      </c>
      <c r="DL17" s="82">
        <f t="shared" si="41"/>
        <v>0</v>
      </c>
      <c r="DM17" s="82">
        <f t="shared" si="41"/>
        <v>0</v>
      </c>
      <c r="DN17" s="82">
        <f t="shared" si="41"/>
        <v>0</v>
      </c>
      <c r="DO17" s="82">
        <f t="shared" si="41"/>
        <v>0</v>
      </c>
      <c r="DP17" s="82">
        <f t="shared" si="41"/>
        <v>0</v>
      </c>
      <c r="DQ17" s="82">
        <f t="shared" si="41"/>
        <v>0</v>
      </c>
      <c r="DR17" s="82">
        <f t="shared" si="41"/>
        <v>0</v>
      </c>
      <c r="DS17" s="82">
        <f t="shared" si="41"/>
        <v>0</v>
      </c>
      <c r="DT17" s="82">
        <f t="shared" si="41"/>
        <v>0</v>
      </c>
      <c r="DU17" s="82">
        <f t="shared" si="41"/>
        <v>0</v>
      </c>
      <c r="DV17" s="82">
        <f t="shared" si="41"/>
        <v>0</v>
      </c>
      <c r="DW17" s="82">
        <f t="shared" si="41"/>
        <v>0</v>
      </c>
      <c r="DX17" s="82">
        <f t="shared" si="41"/>
        <v>0</v>
      </c>
      <c r="DY17" s="82">
        <f t="shared" si="41"/>
        <v>0</v>
      </c>
      <c r="DZ17" s="82">
        <f t="shared" si="41"/>
        <v>0</v>
      </c>
      <c r="EA17" s="82">
        <f t="shared" si="41"/>
        <v>0</v>
      </c>
      <c r="EB17" s="82">
        <f t="shared" si="41"/>
        <v>0</v>
      </c>
      <c r="EC17" s="82">
        <f t="shared" si="41"/>
        <v>0</v>
      </c>
      <c r="ED17" s="82">
        <f t="shared" si="41"/>
        <v>0</v>
      </c>
      <c r="EE17" s="82">
        <f t="shared" ref="EE17:GP17" si="42">SUM(EE14:EE16)</f>
        <v>0</v>
      </c>
      <c r="EF17" s="82">
        <f t="shared" si="42"/>
        <v>0</v>
      </c>
      <c r="EG17" s="82">
        <f t="shared" si="42"/>
        <v>0</v>
      </c>
      <c r="EH17" s="82">
        <f t="shared" si="42"/>
        <v>0</v>
      </c>
      <c r="EI17" s="82">
        <f t="shared" si="42"/>
        <v>0</v>
      </c>
      <c r="EJ17" s="82">
        <f t="shared" si="42"/>
        <v>0</v>
      </c>
      <c r="EK17" s="82">
        <f t="shared" si="42"/>
        <v>0</v>
      </c>
      <c r="EL17" s="82">
        <f t="shared" si="42"/>
        <v>0</v>
      </c>
      <c r="EM17" s="82">
        <f t="shared" si="42"/>
        <v>0</v>
      </c>
      <c r="EN17" s="82">
        <f t="shared" si="42"/>
        <v>0</v>
      </c>
      <c r="EO17" s="82">
        <f t="shared" si="42"/>
        <v>0</v>
      </c>
      <c r="EP17" s="82">
        <f t="shared" si="42"/>
        <v>0</v>
      </c>
      <c r="EQ17" s="82">
        <f t="shared" si="42"/>
        <v>0</v>
      </c>
      <c r="ER17" s="82">
        <f t="shared" si="42"/>
        <v>0</v>
      </c>
      <c r="ES17" s="82">
        <f t="shared" si="42"/>
        <v>0</v>
      </c>
      <c r="ET17" s="82">
        <f t="shared" si="42"/>
        <v>0</v>
      </c>
      <c r="EU17" s="82">
        <f t="shared" si="42"/>
        <v>0</v>
      </c>
      <c r="EV17" s="82">
        <f t="shared" si="42"/>
        <v>0</v>
      </c>
      <c r="EW17" s="82">
        <f t="shared" si="42"/>
        <v>0</v>
      </c>
      <c r="EX17" s="82">
        <f t="shared" si="42"/>
        <v>0</v>
      </c>
      <c r="EY17" s="82">
        <f t="shared" si="42"/>
        <v>0</v>
      </c>
      <c r="EZ17" s="82">
        <f t="shared" si="42"/>
        <v>0</v>
      </c>
      <c r="FA17" s="82">
        <f t="shared" si="42"/>
        <v>0</v>
      </c>
      <c r="FB17" s="82">
        <f t="shared" si="42"/>
        <v>0</v>
      </c>
      <c r="FC17" s="82">
        <f t="shared" si="42"/>
        <v>0</v>
      </c>
      <c r="FD17" s="82">
        <f t="shared" si="42"/>
        <v>0</v>
      </c>
      <c r="FE17" s="82">
        <f t="shared" si="42"/>
        <v>0</v>
      </c>
      <c r="FF17" s="82">
        <f t="shared" si="42"/>
        <v>0</v>
      </c>
      <c r="FG17" s="82">
        <f t="shared" si="42"/>
        <v>0</v>
      </c>
      <c r="FH17" s="82">
        <f t="shared" si="42"/>
        <v>0</v>
      </c>
      <c r="FI17" s="82">
        <f t="shared" si="42"/>
        <v>0</v>
      </c>
      <c r="FJ17" s="82">
        <f t="shared" si="42"/>
        <v>0</v>
      </c>
      <c r="FK17" s="82">
        <f t="shared" si="42"/>
        <v>0</v>
      </c>
      <c r="FL17" s="82">
        <f t="shared" si="42"/>
        <v>0</v>
      </c>
      <c r="FM17" s="82">
        <f t="shared" si="42"/>
        <v>0</v>
      </c>
      <c r="FN17" s="82">
        <f t="shared" si="42"/>
        <v>0</v>
      </c>
      <c r="FO17" s="82">
        <f t="shared" si="42"/>
        <v>0</v>
      </c>
      <c r="FP17" s="82">
        <f t="shared" si="42"/>
        <v>0</v>
      </c>
      <c r="FQ17" s="82">
        <f t="shared" si="42"/>
        <v>0</v>
      </c>
      <c r="FR17" s="82">
        <f t="shared" si="42"/>
        <v>0</v>
      </c>
      <c r="FS17" s="82">
        <f t="shared" si="42"/>
        <v>0</v>
      </c>
      <c r="FT17" s="82">
        <f t="shared" si="42"/>
        <v>0</v>
      </c>
      <c r="FU17" s="82">
        <f t="shared" si="42"/>
        <v>0</v>
      </c>
      <c r="FV17" s="82">
        <f t="shared" si="42"/>
        <v>0</v>
      </c>
      <c r="FW17" s="82">
        <f t="shared" si="42"/>
        <v>0</v>
      </c>
      <c r="FX17" s="82">
        <f t="shared" si="42"/>
        <v>0</v>
      </c>
      <c r="FY17" s="82">
        <f t="shared" si="42"/>
        <v>0</v>
      </c>
      <c r="FZ17" s="82">
        <f t="shared" si="42"/>
        <v>0</v>
      </c>
      <c r="GA17" s="82">
        <f t="shared" si="42"/>
        <v>0</v>
      </c>
      <c r="GB17" s="82">
        <f t="shared" si="42"/>
        <v>0</v>
      </c>
      <c r="GC17" s="82">
        <f t="shared" si="42"/>
        <v>0</v>
      </c>
      <c r="GD17" s="82">
        <f t="shared" si="42"/>
        <v>0</v>
      </c>
      <c r="GE17" s="82">
        <f t="shared" si="42"/>
        <v>0</v>
      </c>
      <c r="GF17" s="82">
        <f t="shared" si="42"/>
        <v>0</v>
      </c>
      <c r="GG17" s="82">
        <f t="shared" si="42"/>
        <v>0</v>
      </c>
      <c r="GH17" s="82">
        <f t="shared" si="42"/>
        <v>0</v>
      </c>
      <c r="GI17" s="82">
        <f t="shared" si="42"/>
        <v>0</v>
      </c>
      <c r="GJ17" s="82">
        <f t="shared" si="42"/>
        <v>0</v>
      </c>
      <c r="GK17" s="82">
        <f t="shared" si="42"/>
        <v>0</v>
      </c>
      <c r="GL17" s="82">
        <f t="shared" si="42"/>
        <v>0</v>
      </c>
      <c r="GM17" s="82">
        <f t="shared" si="42"/>
        <v>0</v>
      </c>
      <c r="GN17" s="82">
        <f t="shared" si="42"/>
        <v>0</v>
      </c>
      <c r="GO17" s="82">
        <f t="shared" si="42"/>
        <v>0</v>
      </c>
      <c r="GP17" s="82">
        <f t="shared" si="42"/>
        <v>0</v>
      </c>
      <c r="GQ17" s="82">
        <f t="shared" ref="GQ17:JB17" si="43">SUM(GQ14:GQ16)</f>
        <v>0</v>
      </c>
      <c r="GR17" s="82">
        <f t="shared" si="43"/>
        <v>0</v>
      </c>
      <c r="GS17" s="82">
        <f t="shared" si="43"/>
        <v>0</v>
      </c>
      <c r="GT17" s="82">
        <f t="shared" si="43"/>
        <v>0</v>
      </c>
      <c r="GU17" s="82">
        <f t="shared" si="43"/>
        <v>0</v>
      </c>
      <c r="GV17" s="82">
        <f t="shared" si="43"/>
        <v>0</v>
      </c>
      <c r="GW17" s="82">
        <f t="shared" si="43"/>
        <v>0</v>
      </c>
      <c r="GX17" s="82">
        <f t="shared" si="43"/>
        <v>0</v>
      </c>
      <c r="GY17" s="82">
        <f t="shared" si="43"/>
        <v>0</v>
      </c>
      <c r="GZ17" s="82">
        <f t="shared" si="43"/>
        <v>0</v>
      </c>
      <c r="HA17" s="82">
        <f t="shared" si="43"/>
        <v>0</v>
      </c>
      <c r="HB17" s="82">
        <f t="shared" si="43"/>
        <v>0</v>
      </c>
      <c r="HC17" s="82">
        <f t="shared" si="43"/>
        <v>0</v>
      </c>
      <c r="HD17" s="82">
        <f t="shared" si="43"/>
        <v>0</v>
      </c>
      <c r="HE17" s="82">
        <f t="shared" si="43"/>
        <v>0</v>
      </c>
      <c r="HF17" s="82">
        <f t="shared" si="43"/>
        <v>0</v>
      </c>
      <c r="HG17" s="82">
        <f t="shared" si="43"/>
        <v>0</v>
      </c>
      <c r="HH17" s="82">
        <f t="shared" si="43"/>
        <v>0</v>
      </c>
      <c r="HI17" s="82">
        <f t="shared" si="43"/>
        <v>0</v>
      </c>
      <c r="HJ17" s="82">
        <f t="shared" si="43"/>
        <v>0</v>
      </c>
      <c r="HK17" s="82">
        <f t="shared" si="43"/>
        <v>0</v>
      </c>
      <c r="HL17" s="82">
        <f t="shared" si="43"/>
        <v>0</v>
      </c>
      <c r="HM17" s="82">
        <f t="shared" si="43"/>
        <v>0</v>
      </c>
      <c r="HN17" s="82">
        <f t="shared" si="43"/>
        <v>0</v>
      </c>
      <c r="HO17" s="82">
        <f t="shared" si="43"/>
        <v>0</v>
      </c>
      <c r="HP17" s="82">
        <f t="shared" si="43"/>
        <v>0</v>
      </c>
      <c r="HQ17" s="82">
        <f t="shared" si="43"/>
        <v>0</v>
      </c>
      <c r="HR17" s="82">
        <f t="shared" si="43"/>
        <v>0</v>
      </c>
      <c r="HS17" s="82">
        <f t="shared" si="43"/>
        <v>0</v>
      </c>
      <c r="HT17" s="82">
        <f t="shared" si="43"/>
        <v>0</v>
      </c>
      <c r="HU17" s="82">
        <f t="shared" si="43"/>
        <v>0</v>
      </c>
      <c r="HV17" s="82">
        <f t="shared" si="43"/>
        <v>0</v>
      </c>
      <c r="HW17" s="82">
        <f t="shared" si="43"/>
        <v>0</v>
      </c>
      <c r="HX17" s="82">
        <f t="shared" si="43"/>
        <v>0</v>
      </c>
      <c r="HY17" s="82">
        <f t="shared" si="43"/>
        <v>0</v>
      </c>
      <c r="HZ17" s="82">
        <f t="shared" si="43"/>
        <v>0</v>
      </c>
      <c r="IA17" s="82">
        <f t="shared" si="43"/>
        <v>0</v>
      </c>
      <c r="IB17" s="82">
        <f t="shared" si="43"/>
        <v>0</v>
      </c>
      <c r="IC17" s="82">
        <f t="shared" si="43"/>
        <v>0</v>
      </c>
      <c r="ID17" s="82">
        <f t="shared" si="43"/>
        <v>0</v>
      </c>
      <c r="IE17" s="82">
        <f t="shared" si="43"/>
        <v>0</v>
      </c>
      <c r="IF17" s="82">
        <f t="shared" si="43"/>
        <v>0</v>
      </c>
      <c r="IG17" s="82">
        <f t="shared" si="43"/>
        <v>0</v>
      </c>
      <c r="IH17" s="82">
        <f t="shared" si="43"/>
        <v>0</v>
      </c>
      <c r="II17" s="82">
        <f t="shared" si="43"/>
        <v>0</v>
      </c>
      <c r="IJ17" s="82">
        <f t="shared" si="43"/>
        <v>0</v>
      </c>
      <c r="IK17" s="82">
        <f t="shared" si="43"/>
        <v>0</v>
      </c>
      <c r="IL17" s="82">
        <f t="shared" si="43"/>
        <v>0</v>
      </c>
      <c r="IM17" s="82">
        <f t="shared" si="43"/>
        <v>0</v>
      </c>
      <c r="IN17" s="82">
        <f t="shared" si="43"/>
        <v>0</v>
      </c>
      <c r="IO17" s="82">
        <f t="shared" si="43"/>
        <v>0</v>
      </c>
      <c r="IP17" s="82">
        <f t="shared" si="43"/>
        <v>0</v>
      </c>
      <c r="IQ17" s="82">
        <f t="shared" si="43"/>
        <v>0</v>
      </c>
      <c r="IR17" s="82">
        <f t="shared" si="43"/>
        <v>0</v>
      </c>
      <c r="IS17" s="82">
        <f t="shared" si="43"/>
        <v>0</v>
      </c>
      <c r="IT17" s="82">
        <f t="shared" si="43"/>
        <v>0</v>
      </c>
      <c r="IU17" s="82">
        <f t="shared" si="43"/>
        <v>0</v>
      </c>
      <c r="IV17" s="82">
        <f t="shared" si="43"/>
        <v>0</v>
      </c>
      <c r="IW17" s="82">
        <f t="shared" si="43"/>
        <v>0</v>
      </c>
      <c r="IX17" s="82">
        <f t="shared" si="43"/>
        <v>0</v>
      </c>
      <c r="IY17" s="82">
        <f t="shared" si="43"/>
        <v>0</v>
      </c>
      <c r="IZ17" s="82">
        <f t="shared" si="43"/>
        <v>0</v>
      </c>
      <c r="JA17" s="82">
        <f t="shared" si="43"/>
        <v>0</v>
      </c>
      <c r="JB17" s="82">
        <f t="shared" si="43"/>
        <v>0</v>
      </c>
      <c r="JC17" s="82">
        <f t="shared" ref="JC17:KW17" si="44">SUM(JC14:JC16)</f>
        <v>0</v>
      </c>
      <c r="JD17" s="82">
        <f t="shared" si="44"/>
        <v>0</v>
      </c>
      <c r="JE17" s="82">
        <f t="shared" si="44"/>
        <v>0</v>
      </c>
      <c r="JF17" s="82">
        <f t="shared" si="44"/>
        <v>0</v>
      </c>
      <c r="JG17" s="82">
        <f t="shared" si="44"/>
        <v>0</v>
      </c>
      <c r="JH17" s="82">
        <f t="shared" si="44"/>
        <v>0</v>
      </c>
      <c r="JI17" s="82">
        <f t="shared" si="44"/>
        <v>0</v>
      </c>
      <c r="JJ17" s="82">
        <f t="shared" si="44"/>
        <v>0</v>
      </c>
      <c r="JK17" s="82">
        <f t="shared" si="44"/>
        <v>0</v>
      </c>
      <c r="JL17" s="82">
        <f t="shared" si="44"/>
        <v>0</v>
      </c>
      <c r="JM17" s="82">
        <f t="shared" si="44"/>
        <v>0</v>
      </c>
      <c r="JN17" s="82">
        <f t="shared" si="44"/>
        <v>0</v>
      </c>
      <c r="JO17" s="82">
        <f t="shared" si="44"/>
        <v>0</v>
      </c>
      <c r="JP17" s="82">
        <f t="shared" si="44"/>
        <v>0</v>
      </c>
      <c r="JQ17" s="82">
        <f t="shared" si="44"/>
        <v>0</v>
      </c>
      <c r="JR17" s="82">
        <f t="shared" si="44"/>
        <v>0</v>
      </c>
      <c r="JS17" s="82">
        <f t="shared" si="44"/>
        <v>0</v>
      </c>
      <c r="JT17" s="82">
        <f t="shared" si="44"/>
        <v>0</v>
      </c>
      <c r="JU17" s="82">
        <f t="shared" si="44"/>
        <v>0</v>
      </c>
      <c r="JV17" s="82">
        <f t="shared" si="44"/>
        <v>0</v>
      </c>
      <c r="JW17" s="82">
        <f t="shared" si="44"/>
        <v>0</v>
      </c>
      <c r="JX17" s="82">
        <f t="shared" si="44"/>
        <v>0</v>
      </c>
      <c r="JY17" s="82">
        <f t="shared" si="44"/>
        <v>0</v>
      </c>
      <c r="JZ17" s="82">
        <f t="shared" si="44"/>
        <v>0</v>
      </c>
      <c r="KA17" s="82">
        <f t="shared" si="44"/>
        <v>0</v>
      </c>
      <c r="KB17" s="82">
        <f t="shared" si="44"/>
        <v>0</v>
      </c>
      <c r="KC17" s="82">
        <f t="shared" si="44"/>
        <v>0</v>
      </c>
      <c r="KD17" s="82">
        <f t="shared" si="44"/>
        <v>0</v>
      </c>
      <c r="KE17" s="82">
        <f t="shared" si="44"/>
        <v>0</v>
      </c>
      <c r="KF17" s="82">
        <f t="shared" si="44"/>
        <v>0</v>
      </c>
      <c r="KG17" s="82">
        <f t="shared" si="44"/>
        <v>0</v>
      </c>
      <c r="KH17" s="82">
        <f t="shared" si="44"/>
        <v>0</v>
      </c>
      <c r="KI17" s="82">
        <f t="shared" si="44"/>
        <v>0</v>
      </c>
      <c r="KJ17" s="82">
        <f t="shared" si="44"/>
        <v>0</v>
      </c>
      <c r="KK17" s="82">
        <f t="shared" si="44"/>
        <v>0</v>
      </c>
      <c r="KL17" s="82">
        <f t="shared" si="44"/>
        <v>0</v>
      </c>
      <c r="KM17" s="82">
        <f t="shared" si="44"/>
        <v>0</v>
      </c>
      <c r="KN17" s="82">
        <f t="shared" si="44"/>
        <v>0</v>
      </c>
      <c r="KO17" s="82">
        <f t="shared" si="44"/>
        <v>0</v>
      </c>
      <c r="KP17" s="82">
        <f t="shared" si="44"/>
        <v>0</v>
      </c>
      <c r="KQ17" s="82">
        <f t="shared" si="44"/>
        <v>0</v>
      </c>
      <c r="KR17" s="82">
        <f t="shared" si="44"/>
        <v>0</v>
      </c>
      <c r="KS17" s="82">
        <f t="shared" si="44"/>
        <v>0</v>
      </c>
      <c r="KT17" s="82">
        <f t="shared" si="44"/>
        <v>0</v>
      </c>
      <c r="KU17" s="82">
        <f t="shared" si="44"/>
        <v>0</v>
      </c>
      <c r="KV17" s="82">
        <f t="shared" si="44"/>
        <v>0</v>
      </c>
      <c r="KW17" s="82">
        <f t="shared" si="44"/>
        <v>0</v>
      </c>
    </row>
    <row r="19" spans="2:309" x14ac:dyDescent="0.2">
      <c r="B19" s="135" t="s">
        <v>60</v>
      </c>
    </row>
    <row r="20" spans="2:309" x14ac:dyDescent="0.2">
      <c r="B20" s="76" t="s">
        <v>63</v>
      </c>
      <c r="G20" s="78">
        <f t="shared" ref="G20:BR20" si="45">G10*F23</f>
        <v>0</v>
      </c>
      <c r="H20" s="78">
        <f t="shared" si="45"/>
        <v>0</v>
      </c>
      <c r="I20" s="78">
        <f t="shared" si="45"/>
        <v>4075.181296875</v>
      </c>
      <c r="J20" s="78">
        <f t="shared" si="45"/>
        <v>8150.3625937500001</v>
      </c>
      <c r="K20" s="78">
        <f t="shared" si="45"/>
        <v>12225.543890625</v>
      </c>
      <c r="L20" s="78">
        <f t="shared" si="45"/>
        <v>16300.725187500002</v>
      </c>
      <c r="M20" s="78">
        <f t="shared" si="45"/>
        <v>20375.906484375002</v>
      </c>
      <c r="N20" s="78">
        <f t="shared" si="45"/>
        <v>24451.08778125</v>
      </c>
      <c r="O20" s="78">
        <f t="shared" si="45"/>
        <v>28526.269078124998</v>
      </c>
      <c r="P20" s="78">
        <f t="shared" si="45"/>
        <v>107788.950375</v>
      </c>
      <c r="Q20" s="78">
        <f t="shared" si="45"/>
        <v>320847.78792187502</v>
      </c>
      <c r="R20" s="78">
        <f t="shared" si="45"/>
        <v>533906.62546875002</v>
      </c>
      <c r="S20" s="78">
        <f t="shared" si="45"/>
        <v>746965.46301562502</v>
      </c>
      <c r="T20" s="78">
        <f t="shared" si="45"/>
        <v>960024.30056250002</v>
      </c>
      <c r="U20" s="78">
        <f t="shared" si="45"/>
        <v>1173083.138109375</v>
      </c>
      <c r="V20" s="78">
        <f t="shared" si="45"/>
        <v>1386141.97565625</v>
      </c>
      <c r="W20" s="78">
        <f t="shared" si="45"/>
        <v>1599200.813203125</v>
      </c>
      <c r="X20" s="78">
        <f t="shared" si="45"/>
        <v>1812259.65075</v>
      </c>
      <c r="Y20" s="78">
        <f t="shared" si="45"/>
        <v>2025318.488296875</v>
      </c>
      <c r="Z20" s="78">
        <f t="shared" si="45"/>
        <v>2238377.32584375</v>
      </c>
      <c r="AA20" s="78">
        <f t="shared" si="45"/>
        <v>2451436.1633906248</v>
      </c>
      <c r="AB20" s="78">
        <f t="shared" si="45"/>
        <v>0</v>
      </c>
      <c r="AC20" s="78">
        <f t="shared" si="45"/>
        <v>0</v>
      </c>
      <c r="AD20" s="78">
        <f t="shared" si="45"/>
        <v>0</v>
      </c>
      <c r="AE20" s="78">
        <f t="shared" si="45"/>
        <v>0</v>
      </c>
      <c r="AF20" s="78">
        <f t="shared" si="45"/>
        <v>0</v>
      </c>
      <c r="AG20" s="78">
        <f t="shared" si="45"/>
        <v>0</v>
      </c>
      <c r="AH20" s="78">
        <f t="shared" si="45"/>
        <v>0</v>
      </c>
      <c r="AI20" s="78">
        <f t="shared" si="45"/>
        <v>0</v>
      </c>
      <c r="AJ20" s="78">
        <f t="shared" si="45"/>
        <v>0</v>
      </c>
      <c r="AK20" s="78">
        <f t="shared" si="45"/>
        <v>0</v>
      </c>
      <c r="AL20" s="78">
        <f t="shared" si="45"/>
        <v>0</v>
      </c>
      <c r="AM20" s="78">
        <f t="shared" si="45"/>
        <v>0</v>
      </c>
      <c r="AN20" s="78">
        <f t="shared" si="45"/>
        <v>0</v>
      </c>
      <c r="AO20" s="78">
        <f t="shared" si="45"/>
        <v>0</v>
      </c>
      <c r="AP20" s="78">
        <f t="shared" si="45"/>
        <v>0</v>
      </c>
      <c r="AQ20" s="78">
        <f t="shared" si="45"/>
        <v>0</v>
      </c>
      <c r="AR20" s="78">
        <f t="shared" si="45"/>
        <v>0</v>
      </c>
      <c r="AS20" s="78">
        <f t="shared" si="45"/>
        <v>0</v>
      </c>
      <c r="AT20" s="78">
        <f t="shared" si="45"/>
        <v>0</v>
      </c>
      <c r="AU20" s="78">
        <f t="shared" si="45"/>
        <v>0</v>
      </c>
      <c r="AV20" s="78">
        <f t="shared" si="45"/>
        <v>0</v>
      </c>
      <c r="AW20" s="78">
        <f t="shared" si="45"/>
        <v>0</v>
      </c>
      <c r="AX20" s="78">
        <f t="shared" si="45"/>
        <v>0</v>
      </c>
      <c r="AY20" s="78">
        <f t="shared" si="45"/>
        <v>0</v>
      </c>
      <c r="AZ20" s="78">
        <f t="shared" si="45"/>
        <v>0</v>
      </c>
      <c r="BA20" s="78">
        <f t="shared" si="45"/>
        <v>0</v>
      </c>
      <c r="BB20" s="78">
        <f t="shared" si="45"/>
        <v>0</v>
      </c>
      <c r="BC20" s="78">
        <f t="shared" si="45"/>
        <v>0</v>
      </c>
      <c r="BD20" s="78">
        <f t="shared" si="45"/>
        <v>0</v>
      </c>
      <c r="BE20" s="78">
        <f t="shared" si="45"/>
        <v>0</v>
      </c>
      <c r="BF20" s="78">
        <f t="shared" si="45"/>
        <v>0</v>
      </c>
      <c r="BG20" s="78">
        <f t="shared" si="45"/>
        <v>0</v>
      </c>
      <c r="BH20" s="78">
        <f t="shared" si="45"/>
        <v>0</v>
      </c>
      <c r="BI20" s="78">
        <f t="shared" si="45"/>
        <v>0</v>
      </c>
      <c r="BJ20" s="78">
        <f t="shared" si="45"/>
        <v>0</v>
      </c>
      <c r="BK20" s="78">
        <f t="shared" si="45"/>
        <v>0</v>
      </c>
      <c r="BL20" s="78">
        <f t="shared" si="45"/>
        <v>0</v>
      </c>
      <c r="BM20" s="78">
        <f t="shared" si="45"/>
        <v>0</v>
      </c>
      <c r="BN20" s="78">
        <f t="shared" si="45"/>
        <v>0</v>
      </c>
      <c r="BO20" s="78">
        <f t="shared" si="45"/>
        <v>0</v>
      </c>
      <c r="BP20" s="78">
        <f t="shared" si="45"/>
        <v>0</v>
      </c>
      <c r="BQ20" s="78">
        <f t="shared" si="45"/>
        <v>0</v>
      </c>
      <c r="BR20" s="78">
        <f t="shared" si="45"/>
        <v>0</v>
      </c>
      <c r="BS20" s="78">
        <f t="shared" ref="BS20:ED20" si="46">BS10*BR23</f>
        <v>0</v>
      </c>
      <c r="BT20" s="78">
        <f t="shared" si="46"/>
        <v>0</v>
      </c>
      <c r="BU20" s="78">
        <f t="shared" si="46"/>
        <v>0</v>
      </c>
      <c r="BV20" s="78">
        <f t="shared" si="46"/>
        <v>0</v>
      </c>
      <c r="BW20" s="78">
        <f t="shared" si="46"/>
        <v>0</v>
      </c>
      <c r="BX20" s="78">
        <f t="shared" si="46"/>
        <v>0</v>
      </c>
      <c r="BY20" s="78">
        <f t="shared" si="46"/>
        <v>0</v>
      </c>
      <c r="BZ20" s="78">
        <f t="shared" si="46"/>
        <v>0</v>
      </c>
      <c r="CA20" s="78">
        <f t="shared" si="46"/>
        <v>0</v>
      </c>
      <c r="CB20" s="78">
        <f t="shared" si="46"/>
        <v>0</v>
      </c>
      <c r="CC20" s="78">
        <f t="shared" si="46"/>
        <v>0</v>
      </c>
      <c r="CD20" s="78">
        <f t="shared" si="46"/>
        <v>0</v>
      </c>
      <c r="CE20" s="78">
        <f t="shared" si="46"/>
        <v>0</v>
      </c>
      <c r="CF20" s="78">
        <f t="shared" si="46"/>
        <v>0</v>
      </c>
      <c r="CG20" s="78">
        <f t="shared" si="46"/>
        <v>0</v>
      </c>
      <c r="CH20" s="78">
        <f t="shared" si="46"/>
        <v>0</v>
      </c>
      <c r="CI20" s="78">
        <f t="shared" si="46"/>
        <v>0</v>
      </c>
      <c r="CJ20" s="78">
        <f t="shared" si="46"/>
        <v>0</v>
      </c>
      <c r="CK20" s="78">
        <f t="shared" si="46"/>
        <v>0</v>
      </c>
      <c r="CL20" s="78">
        <f t="shared" si="46"/>
        <v>0</v>
      </c>
      <c r="CM20" s="78">
        <f t="shared" si="46"/>
        <v>0</v>
      </c>
      <c r="CN20" s="78">
        <f t="shared" si="46"/>
        <v>0</v>
      </c>
      <c r="CO20" s="78">
        <f t="shared" si="46"/>
        <v>0</v>
      </c>
      <c r="CP20" s="78">
        <f t="shared" si="46"/>
        <v>0</v>
      </c>
      <c r="CQ20" s="78">
        <f t="shared" si="46"/>
        <v>0</v>
      </c>
      <c r="CR20" s="78">
        <f t="shared" si="46"/>
        <v>0</v>
      </c>
      <c r="CS20" s="78">
        <f t="shared" si="46"/>
        <v>0</v>
      </c>
      <c r="CT20" s="78">
        <f t="shared" si="46"/>
        <v>0</v>
      </c>
      <c r="CU20" s="78">
        <f t="shared" si="46"/>
        <v>0</v>
      </c>
      <c r="CV20" s="78">
        <f t="shared" si="46"/>
        <v>0</v>
      </c>
      <c r="CW20" s="78">
        <f t="shared" si="46"/>
        <v>0</v>
      </c>
      <c r="CX20" s="78">
        <f t="shared" si="46"/>
        <v>0</v>
      </c>
      <c r="CY20" s="78">
        <f t="shared" si="46"/>
        <v>0</v>
      </c>
      <c r="CZ20" s="78">
        <f t="shared" si="46"/>
        <v>0</v>
      </c>
      <c r="DA20" s="78">
        <f t="shared" si="46"/>
        <v>0</v>
      </c>
      <c r="DB20" s="78">
        <f t="shared" si="46"/>
        <v>0</v>
      </c>
      <c r="DC20" s="78">
        <f t="shared" si="46"/>
        <v>0</v>
      </c>
      <c r="DD20" s="78">
        <f t="shared" si="46"/>
        <v>0</v>
      </c>
      <c r="DE20" s="78">
        <f t="shared" si="46"/>
        <v>0</v>
      </c>
      <c r="DF20" s="78">
        <f t="shared" si="46"/>
        <v>0</v>
      </c>
      <c r="DG20" s="78">
        <f t="shared" si="46"/>
        <v>0</v>
      </c>
      <c r="DH20" s="78">
        <f t="shared" si="46"/>
        <v>0</v>
      </c>
      <c r="DI20" s="78">
        <f t="shared" si="46"/>
        <v>0</v>
      </c>
      <c r="DJ20" s="78">
        <f t="shared" si="46"/>
        <v>0</v>
      </c>
      <c r="DK20" s="78">
        <f t="shared" si="46"/>
        <v>0</v>
      </c>
      <c r="DL20" s="78">
        <f t="shared" si="46"/>
        <v>0</v>
      </c>
      <c r="DM20" s="78">
        <f t="shared" si="46"/>
        <v>0</v>
      </c>
      <c r="DN20" s="78">
        <f t="shared" si="46"/>
        <v>0</v>
      </c>
      <c r="DO20" s="78">
        <f t="shared" si="46"/>
        <v>0</v>
      </c>
      <c r="DP20" s="78">
        <f t="shared" si="46"/>
        <v>0</v>
      </c>
      <c r="DQ20" s="78">
        <f t="shared" si="46"/>
        <v>0</v>
      </c>
      <c r="DR20" s="78">
        <f t="shared" si="46"/>
        <v>0</v>
      </c>
      <c r="DS20" s="78">
        <f t="shared" si="46"/>
        <v>0</v>
      </c>
      <c r="DT20" s="78">
        <f t="shared" si="46"/>
        <v>0</v>
      </c>
      <c r="DU20" s="78">
        <f t="shared" si="46"/>
        <v>0</v>
      </c>
      <c r="DV20" s="78">
        <f t="shared" si="46"/>
        <v>0</v>
      </c>
      <c r="DW20" s="78">
        <f t="shared" si="46"/>
        <v>0</v>
      </c>
      <c r="DX20" s="78">
        <f t="shared" si="46"/>
        <v>0</v>
      </c>
      <c r="DY20" s="78">
        <f t="shared" si="46"/>
        <v>0</v>
      </c>
      <c r="DZ20" s="78">
        <f t="shared" si="46"/>
        <v>0</v>
      </c>
      <c r="EA20" s="78">
        <f t="shared" si="46"/>
        <v>0</v>
      </c>
      <c r="EB20" s="78">
        <f t="shared" si="46"/>
        <v>0</v>
      </c>
      <c r="EC20" s="78">
        <f t="shared" si="46"/>
        <v>0</v>
      </c>
      <c r="ED20" s="78">
        <f t="shared" si="46"/>
        <v>0</v>
      </c>
      <c r="EE20" s="78">
        <f t="shared" ref="EE20:GP20" si="47">EE10*ED23</f>
        <v>0</v>
      </c>
      <c r="EF20" s="78">
        <f t="shared" si="47"/>
        <v>0</v>
      </c>
      <c r="EG20" s="78">
        <f t="shared" si="47"/>
        <v>0</v>
      </c>
      <c r="EH20" s="78">
        <f t="shared" si="47"/>
        <v>0</v>
      </c>
      <c r="EI20" s="78">
        <f t="shared" si="47"/>
        <v>0</v>
      </c>
      <c r="EJ20" s="78">
        <f t="shared" si="47"/>
        <v>0</v>
      </c>
      <c r="EK20" s="78">
        <f t="shared" si="47"/>
        <v>0</v>
      </c>
      <c r="EL20" s="78">
        <f t="shared" si="47"/>
        <v>0</v>
      </c>
      <c r="EM20" s="78">
        <f t="shared" si="47"/>
        <v>0</v>
      </c>
      <c r="EN20" s="78">
        <f t="shared" si="47"/>
        <v>0</v>
      </c>
      <c r="EO20" s="78">
        <f t="shared" si="47"/>
        <v>0</v>
      </c>
      <c r="EP20" s="78">
        <f t="shared" si="47"/>
        <v>0</v>
      </c>
      <c r="EQ20" s="78">
        <f t="shared" si="47"/>
        <v>0</v>
      </c>
      <c r="ER20" s="78">
        <f t="shared" si="47"/>
        <v>0</v>
      </c>
      <c r="ES20" s="78">
        <f t="shared" si="47"/>
        <v>0</v>
      </c>
      <c r="ET20" s="78">
        <f t="shared" si="47"/>
        <v>0</v>
      </c>
      <c r="EU20" s="78">
        <f t="shared" si="47"/>
        <v>0</v>
      </c>
      <c r="EV20" s="78">
        <f t="shared" si="47"/>
        <v>0</v>
      </c>
      <c r="EW20" s="78">
        <f t="shared" si="47"/>
        <v>0</v>
      </c>
      <c r="EX20" s="78">
        <f t="shared" si="47"/>
        <v>0</v>
      </c>
      <c r="EY20" s="78">
        <f t="shared" si="47"/>
        <v>0</v>
      </c>
      <c r="EZ20" s="78">
        <f t="shared" si="47"/>
        <v>0</v>
      </c>
      <c r="FA20" s="78">
        <f t="shared" si="47"/>
        <v>0</v>
      </c>
      <c r="FB20" s="78">
        <f t="shared" si="47"/>
        <v>0</v>
      </c>
      <c r="FC20" s="78">
        <f t="shared" si="47"/>
        <v>0</v>
      </c>
      <c r="FD20" s="78">
        <f t="shared" si="47"/>
        <v>0</v>
      </c>
      <c r="FE20" s="78">
        <f t="shared" si="47"/>
        <v>0</v>
      </c>
      <c r="FF20" s="78">
        <f t="shared" si="47"/>
        <v>0</v>
      </c>
      <c r="FG20" s="78">
        <f t="shared" si="47"/>
        <v>0</v>
      </c>
      <c r="FH20" s="78">
        <f t="shared" si="47"/>
        <v>0</v>
      </c>
      <c r="FI20" s="78">
        <f t="shared" si="47"/>
        <v>0</v>
      </c>
      <c r="FJ20" s="78">
        <f t="shared" si="47"/>
        <v>0</v>
      </c>
      <c r="FK20" s="78">
        <f t="shared" si="47"/>
        <v>0</v>
      </c>
      <c r="FL20" s="78">
        <f t="shared" si="47"/>
        <v>0</v>
      </c>
      <c r="FM20" s="78">
        <f t="shared" si="47"/>
        <v>0</v>
      </c>
      <c r="FN20" s="78">
        <f t="shared" si="47"/>
        <v>0</v>
      </c>
      <c r="FO20" s="78">
        <f t="shared" si="47"/>
        <v>0</v>
      </c>
      <c r="FP20" s="78">
        <f t="shared" si="47"/>
        <v>0</v>
      </c>
      <c r="FQ20" s="78">
        <f t="shared" si="47"/>
        <v>0</v>
      </c>
      <c r="FR20" s="78">
        <f t="shared" si="47"/>
        <v>0</v>
      </c>
      <c r="FS20" s="78">
        <f t="shared" si="47"/>
        <v>0</v>
      </c>
      <c r="FT20" s="78">
        <f t="shared" si="47"/>
        <v>0</v>
      </c>
      <c r="FU20" s="78">
        <f t="shared" si="47"/>
        <v>0</v>
      </c>
      <c r="FV20" s="78">
        <f t="shared" si="47"/>
        <v>0</v>
      </c>
      <c r="FW20" s="78">
        <f t="shared" si="47"/>
        <v>0</v>
      </c>
      <c r="FX20" s="78">
        <f t="shared" si="47"/>
        <v>0</v>
      </c>
      <c r="FY20" s="78">
        <f t="shared" si="47"/>
        <v>0</v>
      </c>
      <c r="FZ20" s="78">
        <f t="shared" si="47"/>
        <v>0</v>
      </c>
      <c r="GA20" s="78">
        <f t="shared" si="47"/>
        <v>0</v>
      </c>
      <c r="GB20" s="78">
        <f t="shared" si="47"/>
        <v>0</v>
      </c>
      <c r="GC20" s="78">
        <f t="shared" si="47"/>
        <v>0</v>
      </c>
      <c r="GD20" s="78">
        <f t="shared" si="47"/>
        <v>0</v>
      </c>
      <c r="GE20" s="78">
        <f t="shared" si="47"/>
        <v>0</v>
      </c>
      <c r="GF20" s="78">
        <f t="shared" si="47"/>
        <v>0</v>
      </c>
      <c r="GG20" s="78">
        <f t="shared" si="47"/>
        <v>0</v>
      </c>
      <c r="GH20" s="78">
        <f t="shared" si="47"/>
        <v>0</v>
      </c>
      <c r="GI20" s="78">
        <f t="shared" si="47"/>
        <v>0</v>
      </c>
      <c r="GJ20" s="78">
        <f t="shared" si="47"/>
        <v>0</v>
      </c>
      <c r="GK20" s="78">
        <f t="shared" si="47"/>
        <v>0</v>
      </c>
      <c r="GL20" s="78">
        <f t="shared" si="47"/>
        <v>0</v>
      </c>
      <c r="GM20" s="78">
        <f t="shared" si="47"/>
        <v>0</v>
      </c>
      <c r="GN20" s="78">
        <f t="shared" si="47"/>
        <v>0</v>
      </c>
      <c r="GO20" s="78">
        <f t="shared" si="47"/>
        <v>0</v>
      </c>
      <c r="GP20" s="78">
        <f t="shared" si="47"/>
        <v>0</v>
      </c>
      <c r="GQ20" s="78">
        <f t="shared" ref="GQ20:JB20" si="48">GQ10*GP23</f>
        <v>0</v>
      </c>
      <c r="GR20" s="78">
        <f t="shared" si="48"/>
        <v>0</v>
      </c>
      <c r="GS20" s="78">
        <f t="shared" si="48"/>
        <v>0</v>
      </c>
      <c r="GT20" s="78">
        <f t="shared" si="48"/>
        <v>0</v>
      </c>
      <c r="GU20" s="78">
        <f t="shared" si="48"/>
        <v>0</v>
      </c>
      <c r="GV20" s="78">
        <f t="shared" si="48"/>
        <v>0</v>
      </c>
      <c r="GW20" s="78">
        <f t="shared" si="48"/>
        <v>0</v>
      </c>
      <c r="GX20" s="78">
        <f t="shared" si="48"/>
        <v>0</v>
      </c>
      <c r="GY20" s="78">
        <f t="shared" si="48"/>
        <v>0</v>
      </c>
      <c r="GZ20" s="78">
        <f t="shared" si="48"/>
        <v>0</v>
      </c>
      <c r="HA20" s="78">
        <f t="shared" si="48"/>
        <v>0</v>
      </c>
      <c r="HB20" s="78">
        <f t="shared" si="48"/>
        <v>0</v>
      </c>
      <c r="HC20" s="78">
        <f t="shared" si="48"/>
        <v>0</v>
      </c>
      <c r="HD20" s="78">
        <f t="shared" si="48"/>
        <v>0</v>
      </c>
      <c r="HE20" s="78">
        <f t="shared" si="48"/>
        <v>0</v>
      </c>
      <c r="HF20" s="78">
        <f t="shared" si="48"/>
        <v>0</v>
      </c>
      <c r="HG20" s="78">
        <f t="shared" si="48"/>
        <v>0</v>
      </c>
      <c r="HH20" s="78">
        <f t="shared" si="48"/>
        <v>0</v>
      </c>
      <c r="HI20" s="78">
        <f t="shared" si="48"/>
        <v>0</v>
      </c>
      <c r="HJ20" s="78">
        <f t="shared" si="48"/>
        <v>0</v>
      </c>
      <c r="HK20" s="78">
        <f t="shared" si="48"/>
        <v>0</v>
      </c>
      <c r="HL20" s="78">
        <f t="shared" si="48"/>
        <v>0</v>
      </c>
      <c r="HM20" s="78">
        <f t="shared" si="48"/>
        <v>0</v>
      </c>
      <c r="HN20" s="78">
        <f t="shared" si="48"/>
        <v>0</v>
      </c>
      <c r="HO20" s="78">
        <f t="shared" si="48"/>
        <v>0</v>
      </c>
      <c r="HP20" s="78">
        <f t="shared" si="48"/>
        <v>0</v>
      </c>
      <c r="HQ20" s="78">
        <f t="shared" si="48"/>
        <v>0</v>
      </c>
      <c r="HR20" s="78">
        <f t="shared" si="48"/>
        <v>0</v>
      </c>
      <c r="HS20" s="78">
        <f t="shared" si="48"/>
        <v>0</v>
      </c>
      <c r="HT20" s="78">
        <f t="shared" si="48"/>
        <v>0</v>
      </c>
      <c r="HU20" s="78">
        <f t="shared" si="48"/>
        <v>0</v>
      </c>
      <c r="HV20" s="78">
        <f t="shared" si="48"/>
        <v>0</v>
      </c>
      <c r="HW20" s="78">
        <f t="shared" si="48"/>
        <v>0</v>
      </c>
      <c r="HX20" s="78">
        <f t="shared" si="48"/>
        <v>0</v>
      </c>
      <c r="HY20" s="78">
        <f t="shared" si="48"/>
        <v>0</v>
      </c>
      <c r="HZ20" s="78">
        <f t="shared" si="48"/>
        <v>0</v>
      </c>
      <c r="IA20" s="78">
        <f t="shared" si="48"/>
        <v>0</v>
      </c>
      <c r="IB20" s="78">
        <f t="shared" si="48"/>
        <v>0</v>
      </c>
      <c r="IC20" s="78">
        <f t="shared" si="48"/>
        <v>0</v>
      </c>
      <c r="ID20" s="78">
        <f t="shared" si="48"/>
        <v>0</v>
      </c>
      <c r="IE20" s="78">
        <f t="shared" si="48"/>
        <v>0</v>
      </c>
      <c r="IF20" s="78">
        <f t="shared" si="48"/>
        <v>0</v>
      </c>
      <c r="IG20" s="78">
        <f t="shared" si="48"/>
        <v>0</v>
      </c>
      <c r="IH20" s="78">
        <f t="shared" si="48"/>
        <v>0</v>
      </c>
      <c r="II20" s="78">
        <f t="shared" si="48"/>
        <v>0</v>
      </c>
      <c r="IJ20" s="78">
        <f t="shared" si="48"/>
        <v>0</v>
      </c>
      <c r="IK20" s="78">
        <f t="shared" si="48"/>
        <v>0</v>
      </c>
      <c r="IL20" s="78">
        <f t="shared" si="48"/>
        <v>0</v>
      </c>
      <c r="IM20" s="78">
        <f t="shared" si="48"/>
        <v>0</v>
      </c>
      <c r="IN20" s="78">
        <f t="shared" si="48"/>
        <v>0</v>
      </c>
      <c r="IO20" s="78">
        <f t="shared" si="48"/>
        <v>0</v>
      </c>
      <c r="IP20" s="78">
        <f t="shared" si="48"/>
        <v>0</v>
      </c>
      <c r="IQ20" s="78">
        <f t="shared" si="48"/>
        <v>0</v>
      </c>
      <c r="IR20" s="78">
        <f t="shared" si="48"/>
        <v>0</v>
      </c>
      <c r="IS20" s="78">
        <f t="shared" si="48"/>
        <v>0</v>
      </c>
      <c r="IT20" s="78">
        <f t="shared" si="48"/>
        <v>0</v>
      </c>
      <c r="IU20" s="78">
        <f t="shared" si="48"/>
        <v>0</v>
      </c>
      <c r="IV20" s="78">
        <f t="shared" si="48"/>
        <v>0</v>
      </c>
      <c r="IW20" s="78">
        <f t="shared" si="48"/>
        <v>0</v>
      </c>
      <c r="IX20" s="78">
        <f t="shared" si="48"/>
        <v>0</v>
      </c>
      <c r="IY20" s="78">
        <f t="shared" si="48"/>
        <v>0</v>
      </c>
      <c r="IZ20" s="78">
        <f t="shared" si="48"/>
        <v>0</v>
      </c>
      <c r="JA20" s="78">
        <f t="shared" si="48"/>
        <v>0</v>
      </c>
      <c r="JB20" s="78">
        <f t="shared" si="48"/>
        <v>0</v>
      </c>
      <c r="JC20" s="78">
        <f t="shared" ref="JC20:KW20" si="49">JC10*JB23</f>
        <v>0</v>
      </c>
      <c r="JD20" s="78">
        <f t="shared" si="49"/>
        <v>0</v>
      </c>
      <c r="JE20" s="78">
        <f t="shared" si="49"/>
        <v>0</v>
      </c>
      <c r="JF20" s="78">
        <f t="shared" si="49"/>
        <v>0</v>
      </c>
      <c r="JG20" s="78">
        <f t="shared" si="49"/>
        <v>0</v>
      </c>
      <c r="JH20" s="78">
        <f t="shared" si="49"/>
        <v>0</v>
      </c>
      <c r="JI20" s="78">
        <f t="shared" si="49"/>
        <v>0</v>
      </c>
      <c r="JJ20" s="78">
        <f t="shared" si="49"/>
        <v>0</v>
      </c>
      <c r="JK20" s="78">
        <f t="shared" si="49"/>
        <v>0</v>
      </c>
      <c r="JL20" s="78">
        <f t="shared" si="49"/>
        <v>0</v>
      </c>
      <c r="JM20" s="78">
        <f t="shared" si="49"/>
        <v>0</v>
      </c>
      <c r="JN20" s="78">
        <f t="shared" si="49"/>
        <v>0</v>
      </c>
      <c r="JO20" s="78">
        <f t="shared" si="49"/>
        <v>0</v>
      </c>
      <c r="JP20" s="78">
        <f t="shared" si="49"/>
        <v>0</v>
      </c>
      <c r="JQ20" s="78">
        <f t="shared" si="49"/>
        <v>0</v>
      </c>
      <c r="JR20" s="78">
        <f t="shared" si="49"/>
        <v>0</v>
      </c>
      <c r="JS20" s="78">
        <f t="shared" si="49"/>
        <v>0</v>
      </c>
      <c r="JT20" s="78">
        <f t="shared" si="49"/>
        <v>0</v>
      </c>
      <c r="JU20" s="78">
        <f t="shared" si="49"/>
        <v>0</v>
      </c>
      <c r="JV20" s="78">
        <f t="shared" si="49"/>
        <v>0</v>
      </c>
      <c r="JW20" s="78">
        <f t="shared" si="49"/>
        <v>0</v>
      </c>
      <c r="JX20" s="78">
        <f t="shared" si="49"/>
        <v>0</v>
      </c>
      <c r="JY20" s="78">
        <f t="shared" si="49"/>
        <v>0</v>
      </c>
      <c r="JZ20" s="78">
        <f t="shared" si="49"/>
        <v>0</v>
      </c>
      <c r="KA20" s="78">
        <f t="shared" si="49"/>
        <v>0</v>
      </c>
      <c r="KB20" s="78">
        <f t="shared" si="49"/>
        <v>0</v>
      </c>
      <c r="KC20" s="78">
        <f t="shared" si="49"/>
        <v>0</v>
      </c>
      <c r="KD20" s="78">
        <f t="shared" si="49"/>
        <v>0</v>
      </c>
      <c r="KE20" s="78">
        <f t="shared" si="49"/>
        <v>0</v>
      </c>
      <c r="KF20" s="78">
        <f t="shared" si="49"/>
        <v>0</v>
      </c>
      <c r="KG20" s="78">
        <f t="shared" si="49"/>
        <v>0</v>
      </c>
      <c r="KH20" s="78">
        <f t="shared" si="49"/>
        <v>0</v>
      </c>
      <c r="KI20" s="78">
        <f t="shared" si="49"/>
        <v>0</v>
      </c>
      <c r="KJ20" s="78">
        <f t="shared" si="49"/>
        <v>0</v>
      </c>
      <c r="KK20" s="78">
        <f t="shared" si="49"/>
        <v>0</v>
      </c>
      <c r="KL20" s="78">
        <f t="shared" si="49"/>
        <v>0</v>
      </c>
      <c r="KM20" s="78">
        <f t="shared" si="49"/>
        <v>0</v>
      </c>
      <c r="KN20" s="78">
        <f t="shared" si="49"/>
        <v>0</v>
      </c>
      <c r="KO20" s="78">
        <f t="shared" si="49"/>
        <v>0</v>
      </c>
      <c r="KP20" s="78">
        <f t="shared" si="49"/>
        <v>0</v>
      </c>
      <c r="KQ20" s="78">
        <f t="shared" si="49"/>
        <v>0</v>
      </c>
      <c r="KR20" s="78">
        <f t="shared" si="49"/>
        <v>0</v>
      </c>
      <c r="KS20" s="78">
        <f t="shared" si="49"/>
        <v>0</v>
      </c>
      <c r="KT20" s="78">
        <f t="shared" si="49"/>
        <v>0</v>
      </c>
      <c r="KU20" s="78">
        <f t="shared" si="49"/>
        <v>0</v>
      </c>
      <c r="KV20" s="78">
        <f t="shared" si="49"/>
        <v>0</v>
      </c>
      <c r="KW20" s="78">
        <f t="shared" si="49"/>
        <v>0</v>
      </c>
    </row>
    <row r="21" spans="2:309" x14ac:dyDescent="0.2">
      <c r="B21" s="76" t="s">
        <v>44</v>
      </c>
      <c r="G21" s="78">
        <f t="shared" ref="G21:BR21" si="50">G17</f>
        <v>0</v>
      </c>
      <c r="H21" s="78">
        <f t="shared" si="50"/>
        <v>4065.0187500000002</v>
      </c>
      <c r="I21" s="78">
        <f t="shared" si="50"/>
        <v>4065.0187500000002</v>
      </c>
      <c r="J21" s="78">
        <f t="shared" si="50"/>
        <v>4065.0187500000002</v>
      </c>
      <c r="K21" s="78">
        <f t="shared" si="50"/>
        <v>4065.0187500000002</v>
      </c>
      <c r="L21" s="78">
        <f t="shared" si="50"/>
        <v>4065.0187500000002</v>
      </c>
      <c r="M21" s="78">
        <f t="shared" si="50"/>
        <v>4065.0187500000002</v>
      </c>
      <c r="N21" s="78">
        <f t="shared" si="50"/>
        <v>4065.0187500000002</v>
      </c>
      <c r="O21" s="78">
        <f t="shared" si="50"/>
        <v>79065.018750000003</v>
      </c>
      <c r="P21" s="78">
        <f t="shared" si="50"/>
        <v>212527.51874999999</v>
      </c>
      <c r="Q21" s="78">
        <f t="shared" si="50"/>
        <v>212527.51874999999</v>
      </c>
      <c r="R21" s="78">
        <f t="shared" si="50"/>
        <v>212527.51874999999</v>
      </c>
      <c r="S21" s="78">
        <f t="shared" si="50"/>
        <v>212527.51874999999</v>
      </c>
      <c r="T21" s="78">
        <f t="shared" si="50"/>
        <v>212527.51874999999</v>
      </c>
      <c r="U21" s="78">
        <f t="shared" si="50"/>
        <v>212527.51874999999</v>
      </c>
      <c r="V21" s="78">
        <f t="shared" si="50"/>
        <v>212527.51874999999</v>
      </c>
      <c r="W21" s="78">
        <f t="shared" si="50"/>
        <v>212527.51874999999</v>
      </c>
      <c r="X21" s="78">
        <f t="shared" si="50"/>
        <v>212527.51874999999</v>
      </c>
      <c r="Y21" s="78">
        <f t="shared" si="50"/>
        <v>212527.51874999999</v>
      </c>
      <c r="Z21" s="78">
        <f t="shared" si="50"/>
        <v>212527.51874999999</v>
      </c>
      <c r="AA21" s="78">
        <f t="shared" si="50"/>
        <v>212527.51874999999</v>
      </c>
      <c r="AB21" s="78">
        <f t="shared" si="50"/>
        <v>0</v>
      </c>
      <c r="AC21" s="78">
        <f t="shared" si="50"/>
        <v>0</v>
      </c>
      <c r="AD21" s="78">
        <f t="shared" si="50"/>
        <v>0</v>
      </c>
      <c r="AE21" s="78">
        <f t="shared" si="50"/>
        <v>0</v>
      </c>
      <c r="AF21" s="78">
        <f t="shared" si="50"/>
        <v>0</v>
      </c>
      <c r="AG21" s="78">
        <f t="shared" si="50"/>
        <v>0</v>
      </c>
      <c r="AH21" s="78">
        <f t="shared" si="50"/>
        <v>0</v>
      </c>
      <c r="AI21" s="78">
        <f t="shared" si="50"/>
        <v>0</v>
      </c>
      <c r="AJ21" s="78">
        <f t="shared" si="50"/>
        <v>0</v>
      </c>
      <c r="AK21" s="78">
        <f t="shared" si="50"/>
        <v>0</v>
      </c>
      <c r="AL21" s="78">
        <f t="shared" si="50"/>
        <v>0</v>
      </c>
      <c r="AM21" s="78">
        <f t="shared" si="50"/>
        <v>0</v>
      </c>
      <c r="AN21" s="78">
        <f t="shared" si="50"/>
        <v>0</v>
      </c>
      <c r="AO21" s="78">
        <f t="shared" si="50"/>
        <v>0</v>
      </c>
      <c r="AP21" s="78">
        <f t="shared" si="50"/>
        <v>0</v>
      </c>
      <c r="AQ21" s="78">
        <f t="shared" si="50"/>
        <v>0</v>
      </c>
      <c r="AR21" s="78">
        <f t="shared" si="50"/>
        <v>0</v>
      </c>
      <c r="AS21" s="78">
        <f t="shared" si="50"/>
        <v>0</v>
      </c>
      <c r="AT21" s="78">
        <f t="shared" si="50"/>
        <v>0</v>
      </c>
      <c r="AU21" s="78">
        <f t="shared" si="50"/>
        <v>0</v>
      </c>
      <c r="AV21" s="78">
        <f t="shared" si="50"/>
        <v>0</v>
      </c>
      <c r="AW21" s="78">
        <f t="shared" si="50"/>
        <v>0</v>
      </c>
      <c r="AX21" s="78">
        <f t="shared" si="50"/>
        <v>0</v>
      </c>
      <c r="AY21" s="78">
        <f t="shared" si="50"/>
        <v>0</v>
      </c>
      <c r="AZ21" s="78">
        <f t="shared" si="50"/>
        <v>0</v>
      </c>
      <c r="BA21" s="78">
        <f t="shared" si="50"/>
        <v>0</v>
      </c>
      <c r="BB21" s="78">
        <f t="shared" si="50"/>
        <v>0</v>
      </c>
      <c r="BC21" s="78">
        <f t="shared" si="50"/>
        <v>0</v>
      </c>
      <c r="BD21" s="78">
        <f t="shared" si="50"/>
        <v>0</v>
      </c>
      <c r="BE21" s="78">
        <f t="shared" si="50"/>
        <v>0</v>
      </c>
      <c r="BF21" s="78">
        <f t="shared" si="50"/>
        <v>0</v>
      </c>
      <c r="BG21" s="78">
        <f t="shared" si="50"/>
        <v>0</v>
      </c>
      <c r="BH21" s="78">
        <f t="shared" si="50"/>
        <v>0</v>
      </c>
      <c r="BI21" s="78">
        <f t="shared" si="50"/>
        <v>0</v>
      </c>
      <c r="BJ21" s="78">
        <f t="shared" si="50"/>
        <v>0</v>
      </c>
      <c r="BK21" s="78">
        <f t="shared" si="50"/>
        <v>0</v>
      </c>
      <c r="BL21" s="78">
        <f t="shared" si="50"/>
        <v>0</v>
      </c>
      <c r="BM21" s="78">
        <f t="shared" si="50"/>
        <v>0</v>
      </c>
      <c r="BN21" s="78">
        <f t="shared" si="50"/>
        <v>0</v>
      </c>
      <c r="BO21" s="78">
        <f t="shared" si="50"/>
        <v>0</v>
      </c>
      <c r="BP21" s="78">
        <f t="shared" si="50"/>
        <v>0</v>
      </c>
      <c r="BQ21" s="78">
        <f t="shared" si="50"/>
        <v>0</v>
      </c>
      <c r="BR21" s="78">
        <f t="shared" si="50"/>
        <v>0</v>
      </c>
      <c r="BS21" s="78">
        <f t="shared" ref="BS21:ED21" si="51">BS17</f>
        <v>0</v>
      </c>
      <c r="BT21" s="78">
        <f t="shared" si="51"/>
        <v>0</v>
      </c>
      <c r="BU21" s="78">
        <f t="shared" si="51"/>
        <v>0</v>
      </c>
      <c r="BV21" s="78">
        <f t="shared" si="51"/>
        <v>0</v>
      </c>
      <c r="BW21" s="78">
        <f t="shared" si="51"/>
        <v>0</v>
      </c>
      <c r="BX21" s="78">
        <f t="shared" si="51"/>
        <v>0</v>
      </c>
      <c r="BY21" s="78">
        <f t="shared" si="51"/>
        <v>0</v>
      </c>
      <c r="BZ21" s="78">
        <f t="shared" si="51"/>
        <v>0</v>
      </c>
      <c r="CA21" s="78">
        <f t="shared" si="51"/>
        <v>0</v>
      </c>
      <c r="CB21" s="78">
        <f t="shared" si="51"/>
        <v>0</v>
      </c>
      <c r="CC21" s="78">
        <f t="shared" si="51"/>
        <v>0</v>
      </c>
      <c r="CD21" s="78">
        <f t="shared" si="51"/>
        <v>0</v>
      </c>
      <c r="CE21" s="78">
        <f t="shared" si="51"/>
        <v>0</v>
      </c>
      <c r="CF21" s="78">
        <f t="shared" si="51"/>
        <v>0</v>
      </c>
      <c r="CG21" s="78">
        <f t="shared" si="51"/>
        <v>0</v>
      </c>
      <c r="CH21" s="78">
        <f t="shared" si="51"/>
        <v>0</v>
      </c>
      <c r="CI21" s="78">
        <f t="shared" si="51"/>
        <v>0</v>
      </c>
      <c r="CJ21" s="78">
        <f t="shared" si="51"/>
        <v>0</v>
      </c>
      <c r="CK21" s="78">
        <f t="shared" si="51"/>
        <v>0</v>
      </c>
      <c r="CL21" s="78">
        <f t="shared" si="51"/>
        <v>0</v>
      </c>
      <c r="CM21" s="78">
        <f t="shared" si="51"/>
        <v>0</v>
      </c>
      <c r="CN21" s="78">
        <f t="shared" si="51"/>
        <v>0</v>
      </c>
      <c r="CO21" s="78">
        <f t="shared" si="51"/>
        <v>0</v>
      </c>
      <c r="CP21" s="78">
        <f t="shared" si="51"/>
        <v>0</v>
      </c>
      <c r="CQ21" s="78">
        <f t="shared" si="51"/>
        <v>0</v>
      </c>
      <c r="CR21" s="78">
        <f t="shared" si="51"/>
        <v>0</v>
      </c>
      <c r="CS21" s="78">
        <f t="shared" si="51"/>
        <v>0</v>
      </c>
      <c r="CT21" s="78">
        <f t="shared" si="51"/>
        <v>0</v>
      </c>
      <c r="CU21" s="78">
        <f t="shared" si="51"/>
        <v>0</v>
      </c>
      <c r="CV21" s="78">
        <f t="shared" si="51"/>
        <v>0</v>
      </c>
      <c r="CW21" s="78">
        <f t="shared" si="51"/>
        <v>0</v>
      </c>
      <c r="CX21" s="78">
        <f t="shared" si="51"/>
        <v>0</v>
      </c>
      <c r="CY21" s="78">
        <f t="shared" si="51"/>
        <v>0</v>
      </c>
      <c r="CZ21" s="78">
        <f t="shared" si="51"/>
        <v>0</v>
      </c>
      <c r="DA21" s="78">
        <f t="shared" si="51"/>
        <v>0</v>
      </c>
      <c r="DB21" s="78">
        <f t="shared" si="51"/>
        <v>0</v>
      </c>
      <c r="DC21" s="78">
        <f t="shared" si="51"/>
        <v>0</v>
      </c>
      <c r="DD21" s="78">
        <f t="shared" si="51"/>
        <v>0</v>
      </c>
      <c r="DE21" s="78">
        <f t="shared" si="51"/>
        <v>0</v>
      </c>
      <c r="DF21" s="78">
        <f t="shared" si="51"/>
        <v>0</v>
      </c>
      <c r="DG21" s="78">
        <f t="shared" si="51"/>
        <v>0</v>
      </c>
      <c r="DH21" s="78">
        <f t="shared" si="51"/>
        <v>0</v>
      </c>
      <c r="DI21" s="78">
        <f t="shared" si="51"/>
        <v>0</v>
      </c>
      <c r="DJ21" s="78">
        <f t="shared" si="51"/>
        <v>0</v>
      </c>
      <c r="DK21" s="78">
        <f t="shared" si="51"/>
        <v>0</v>
      </c>
      <c r="DL21" s="78">
        <f t="shared" si="51"/>
        <v>0</v>
      </c>
      <c r="DM21" s="78">
        <f t="shared" si="51"/>
        <v>0</v>
      </c>
      <c r="DN21" s="78">
        <f t="shared" si="51"/>
        <v>0</v>
      </c>
      <c r="DO21" s="78">
        <f t="shared" si="51"/>
        <v>0</v>
      </c>
      <c r="DP21" s="78">
        <f t="shared" si="51"/>
        <v>0</v>
      </c>
      <c r="DQ21" s="78">
        <f t="shared" si="51"/>
        <v>0</v>
      </c>
      <c r="DR21" s="78">
        <f t="shared" si="51"/>
        <v>0</v>
      </c>
      <c r="DS21" s="78">
        <f t="shared" si="51"/>
        <v>0</v>
      </c>
      <c r="DT21" s="78">
        <f t="shared" si="51"/>
        <v>0</v>
      </c>
      <c r="DU21" s="78">
        <f t="shared" si="51"/>
        <v>0</v>
      </c>
      <c r="DV21" s="78">
        <f t="shared" si="51"/>
        <v>0</v>
      </c>
      <c r="DW21" s="78">
        <f t="shared" si="51"/>
        <v>0</v>
      </c>
      <c r="DX21" s="78">
        <f t="shared" si="51"/>
        <v>0</v>
      </c>
      <c r="DY21" s="78">
        <f t="shared" si="51"/>
        <v>0</v>
      </c>
      <c r="DZ21" s="78">
        <f t="shared" si="51"/>
        <v>0</v>
      </c>
      <c r="EA21" s="78">
        <f t="shared" si="51"/>
        <v>0</v>
      </c>
      <c r="EB21" s="78">
        <f t="shared" si="51"/>
        <v>0</v>
      </c>
      <c r="EC21" s="78">
        <f t="shared" si="51"/>
        <v>0</v>
      </c>
      <c r="ED21" s="78">
        <f t="shared" si="51"/>
        <v>0</v>
      </c>
      <c r="EE21" s="78">
        <f t="shared" ref="EE21:GP21" si="52">EE17</f>
        <v>0</v>
      </c>
      <c r="EF21" s="78">
        <f t="shared" si="52"/>
        <v>0</v>
      </c>
      <c r="EG21" s="78">
        <f t="shared" si="52"/>
        <v>0</v>
      </c>
      <c r="EH21" s="78">
        <f t="shared" si="52"/>
        <v>0</v>
      </c>
      <c r="EI21" s="78">
        <f t="shared" si="52"/>
        <v>0</v>
      </c>
      <c r="EJ21" s="78">
        <f t="shared" si="52"/>
        <v>0</v>
      </c>
      <c r="EK21" s="78">
        <f t="shared" si="52"/>
        <v>0</v>
      </c>
      <c r="EL21" s="78">
        <f t="shared" si="52"/>
        <v>0</v>
      </c>
      <c r="EM21" s="78">
        <f t="shared" si="52"/>
        <v>0</v>
      </c>
      <c r="EN21" s="78">
        <f t="shared" si="52"/>
        <v>0</v>
      </c>
      <c r="EO21" s="78">
        <f t="shared" si="52"/>
        <v>0</v>
      </c>
      <c r="EP21" s="78">
        <f t="shared" si="52"/>
        <v>0</v>
      </c>
      <c r="EQ21" s="78">
        <f t="shared" si="52"/>
        <v>0</v>
      </c>
      <c r="ER21" s="78">
        <f t="shared" si="52"/>
        <v>0</v>
      </c>
      <c r="ES21" s="78">
        <f t="shared" si="52"/>
        <v>0</v>
      </c>
      <c r="ET21" s="78">
        <f t="shared" si="52"/>
        <v>0</v>
      </c>
      <c r="EU21" s="78">
        <f t="shared" si="52"/>
        <v>0</v>
      </c>
      <c r="EV21" s="78">
        <f t="shared" si="52"/>
        <v>0</v>
      </c>
      <c r="EW21" s="78">
        <f t="shared" si="52"/>
        <v>0</v>
      </c>
      <c r="EX21" s="78">
        <f t="shared" si="52"/>
        <v>0</v>
      </c>
      <c r="EY21" s="78">
        <f t="shared" si="52"/>
        <v>0</v>
      </c>
      <c r="EZ21" s="78">
        <f t="shared" si="52"/>
        <v>0</v>
      </c>
      <c r="FA21" s="78">
        <f t="shared" si="52"/>
        <v>0</v>
      </c>
      <c r="FB21" s="78">
        <f t="shared" si="52"/>
        <v>0</v>
      </c>
      <c r="FC21" s="78">
        <f t="shared" si="52"/>
        <v>0</v>
      </c>
      <c r="FD21" s="78">
        <f t="shared" si="52"/>
        <v>0</v>
      </c>
      <c r="FE21" s="78">
        <f t="shared" si="52"/>
        <v>0</v>
      </c>
      <c r="FF21" s="78">
        <f t="shared" si="52"/>
        <v>0</v>
      </c>
      <c r="FG21" s="78">
        <f t="shared" si="52"/>
        <v>0</v>
      </c>
      <c r="FH21" s="78">
        <f t="shared" si="52"/>
        <v>0</v>
      </c>
      <c r="FI21" s="78">
        <f t="shared" si="52"/>
        <v>0</v>
      </c>
      <c r="FJ21" s="78">
        <f t="shared" si="52"/>
        <v>0</v>
      </c>
      <c r="FK21" s="78">
        <f t="shared" si="52"/>
        <v>0</v>
      </c>
      <c r="FL21" s="78">
        <f t="shared" si="52"/>
        <v>0</v>
      </c>
      <c r="FM21" s="78">
        <f t="shared" si="52"/>
        <v>0</v>
      </c>
      <c r="FN21" s="78">
        <f t="shared" si="52"/>
        <v>0</v>
      </c>
      <c r="FO21" s="78">
        <f t="shared" si="52"/>
        <v>0</v>
      </c>
      <c r="FP21" s="78">
        <f t="shared" si="52"/>
        <v>0</v>
      </c>
      <c r="FQ21" s="78">
        <f t="shared" si="52"/>
        <v>0</v>
      </c>
      <c r="FR21" s="78">
        <f t="shared" si="52"/>
        <v>0</v>
      </c>
      <c r="FS21" s="78">
        <f t="shared" si="52"/>
        <v>0</v>
      </c>
      <c r="FT21" s="78">
        <f t="shared" si="52"/>
        <v>0</v>
      </c>
      <c r="FU21" s="78">
        <f t="shared" si="52"/>
        <v>0</v>
      </c>
      <c r="FV21" s="78">
        <f t="shared" si="52"/>
        <v>0</v>
      </c>
      <c r="FW21" s="78">
        <f t="shared" si="52"/>
        <v>0</v>
      </c>
      <c r="FX21" s="78">
        <f t="shared" si="52"/>
        <v>0</v>
      </c>
      <c r="FY21" s="78">
        <f t="shared" si="52"/>
        <v>0</v>
      </c>
      <c r="FZ21" s="78">
        <f t="shared" si="52"/>
        <v>0</v>
      </c>
      <c r="GA21" s="78">
        <f t="shared" si="52"/>
        <v>0</v>
      </c>
      <c r="GB21" s="78">
        <f t="shared" si="52"/>
        <v>0</v>
      </c>
      <c r="GC21" s="78">
        <f t="shared" si="52"/>
        <v>0</v>
      </c>
      <c r="GD21" s="78">
        <f t="shared" si="52"/>
        <v>0</v>
      </c>
      <c r="GE21" s="78">
        <f t="shared" si="52"/>
        <v>0</v>
      </c>
      <c r="GF21" s="78">
        <f t="shared" si="52"/>
        <v>0</v>
      </c>
      <c r="GG21" s="78">
        <f t="shared" si="52"/>
        <v>0</v>
      </c>
      <c r="GH21" s="78">
        <f t="shared" si="52"/>
        <v>0</v>
      </c>
      <c r="GI21" s="78">
        <f t="shared" si="52"/>
        <v>0</v>
      </c>
      <c r="GJ21" s="78">
        <f t="shared" si="52"/>
        <v>0</v>
      </c>
      <c r="GK21" s="78">
        <f t="shared" si="52"/>
        <v>0</v>
      </c>
      <c r="GL21" s="78">
        <f t="shared" si="52"/>
        <v>0</v>
      </c>
      <c r="GM21" s="78">
        <f t="shared" si="52"/>
        <v>0</v>
      </c>
      <c r="GN21" s="78">
        <f t="shared" si="52"/>
        <v>0</v>
      </c>
      <c r="GO21" s="78">
        <f t="shared" si="52"/>
        <v>0</v>
      </c>
      <c r="GP21" s="78">
        <f t="shared" si="52"/>
        <v>0</v>
      </c>
      <c r="GQ21" s="78">
        <f t="shared" ref="GQ21:JB21" si="53">GQ17</f>
        <v>0</v>
      </c>
      <c r="GR21" s="78">
        <f t="shared" si="53"/>
        <v>0</v>
      </c>
      <c r="GS21" s="78">
        <f t="shared" si="53"/>
        <v>0</v>
      </c>
      <c r="GT21" s="78">
        <f t="shared" si="53"/>
        <v>0</v>
      </c>
      <c r="GU21" s="78">
        <f t="shared" si="53"/>
        <v>0</v>
      </c>
      <c r="GV21" s="78">
        <f t="shared" si="53"/>
        <v>0</v>
      </c>
      <c r="GW21" s="78">
        <f t="shared" si="53"/>
        <v>0</v>
      </c>
      <c r="GX21" s="78">
        <f t="shared" si="53"/>
        <v>0</v>
      </c>
      <c r="GY21" s="78">
        <f t="shared" si="53"/>
        <v>0</v>
      </c>
      <c r="GZ21" s="78">
        <f t="shared" si="53"/>
        <v>0</v>
      </c>
      <c r="HA21" s="78">
        <f t="shared" si="53"/>
        <v>0</v>
      </c>
      <c r="HB21" s="78">
        <f t="shared" si="53"/>
        <v>0</v>
      </c>
      <c r="HC21" s="78">
        <f t="shared" si="53"/>
        <v>0</v>
      </c>
      <c r="HD21" s="78">
        <f t="shared" si="53"/>
        <v>0</v>
      </c>
      <c r="HE21" s="78">
        <f t="shared" si="53"/>
        <v>0</v>
      </c>
      <c r="HF21" s="78">
        <f t="shared" si="53"/>
        <v>0</v>
      </c>
      <c r="HG21" s="78">
        <f t="shared" si="53"/>
        <v>0</v>
      </c>
      <c r="HH21" s="78">
        <f t="shared" si="53"/>
        <v>0</v>
      </c>
      <c r="HI21" s="78">
        <f t="shared" si="53"/>
        <v>0</v>
      </c>
      <c r="HJ21" s="78">
        <f t="shared" si="53"/>
        <v>0</v>
      </c>
      <c r="HK21" s="78">
        <f t="shared" si="53"/>
        <v>0</v>
      </c>
      <c r="HL21" s="78">
        <f t="shared" si="53"/>
        <v>0</v>
      </c>
      <c r="HM21" s="78">
        <f t="shared" si="53"/>
        <v>0</v>
      </c>
      <c r="HN21" s="78">
        <f t="shared" si="53"/>
        <v>0</v>
      </c>
      <c r="HO21" s="78">
        <f t="shared" si="53"/>
        <v>0</v>
      </c>
      <c r="HP21" s="78">
        <f t="shared" si="53"/>
        <v>0</v>
      </c>
      <c r="HQ21" s="78">
        <f t="shared" si="53"/>
        <v>0</v>
      </c>
      <c r="HR21" s="78">
        <f t="shared" si="53"/>
        <v>0</v>
      </c>
      <c r="HS21" s="78">
        <f t="shared" si="53"/>
        <v>0</v>
      </c>
      <c r="HT21" s="78">
        <f t="shared" si="53"/>
        <v>0</v>
      </c>
      <c r="HU21" s="78">
        <f t="shared" si="53"/>
        <v>0</v>
      </c>
      <c r="HV21" s="78">
        <f t="shared" si="53"/>
        <v>0</v>
      </c>
      <c r="HW21" s="78">
        <f t="shared" si="53"/>
        <v>0</v>
      </c>
      <c r="HX21" s="78">
        <f t="shared" si="53"/>
        <v>0</v>
      </c>
      <c r="HY21" s="78">
        <f t="shared" si="53"/>
        <v>0</v>
      </c>
      <c r="HZ21" s="78">
        <f t="shared" si="53"/>
        <v>0</v>
      </c>
      <c r="IA21" s="78">
        <f t="shared" si="53"/>
        <v>0</v>
      </c>
      <c r="IB21" s="78">
        <f t="shared" si="53"/>
        <v>0</v>
      </c>
      <c r="IC21" s="78">
        <f t="shared" si="53"/>
        <v>0</v>
      </c>
      <c r="ID21" s="78">
        <f t="shared" si="53"/>
        <v>0</v>
      </c>
      <c r="IE21" s="78">
        <f t="shared" si="53"/>
        <v>0</v>
      </c>
      <c r="IF21" s="78">
        <f t="shared" si="53"/>
        <v>0</v>
      </c>
      <c r="IG21" s="78">
        <f t="shared" si="53"/>
        <v>0</v>
      </c>
      <c r="IH21" s="78">
        <f t="shared" si="53"/>
        <v>0</v>
      </c>
      <c r="II21" s="78">
        <f t="shared" si="53"/>
        <v>0</v>
      </c>
      <c r="IJ21" s="78">
        <f t="shared" si="53"/>
        <v>0</v>
      </c>
      <c r="IK21" s="78">
        <f t="shared" si="53"/>
        <v>0</v>
      </c>
      <c r="IL21" s="78">
        <f t="shared" si="53"/>
        <v>0</v>
      </c>
      <c r="IM21" s="78">
        <f t="shared" si="53"/>
        <v>0</v>
      </c>
      <c r="IN21" s="78">
        <f t="shared" si="53"/>
        <v>0</v>
      </c>
      <c r="IO21" s="78">
        <f t="shared" si="53"/>
        <v>0</v>
      </c>
      <c r="IP21" s="78">
        <f t="shared" si="53"/>
        <v>0</v>
      </c>
      <c r="IQ21" s="78">
        <f t="shared" si="53"/>
        <v>0</v>
      </c>
      <c r="IR21" s="78">
        <f t="shared" si="53"/>
        <v>0</v>
      </c>
      <c r="IS21" s="78">
        <f t="shared" si="53"/>
        <v>0</v>
      </c>
      <c r="IT21" s="78">
        <f t="shared" si="53"/>
        <v>0</v>
      </c>
      <c r="IU21" s="78">
        <f t="shared" si="53"/>
        <v>0</v>
      </c>
      <c r="IV21" s="78">
        <f t="shared" si="53"/>
        <v>0</v>
      </c>
      <c r="IW21" s="78">
        <f t="shared" si="53"/>
        <v>0</v>
      </c>
      <c r="IX21" s="78">
        <f t="shared" si="53"/>
        <v>0</v>
      </c>
      <c r="IY21" s="78">
        <f t="shared" si="53"/>
        <v>0</v>
      </c>
      <c r="IZ21" s="78">
        <f t="shared" si="53"/>
        <v>0</v>
      </c>
      <c r="JA21" s="78">
        <f t="shared" si="53"/>
        <v>0</v>
      </c>
      <c r="JB21" s="78">
        <f t="shared" si="53"/>
        <v>0</v>
      </c>
      <c r="JC21" s="78">
        <f t="shared" ref="JC21:KW21" si="54">JC17</f>
        <v>0</v>
      </c>
      <c r="JD21" s="78">
        <f t="shared" si="54"/>
        <v>0</v>
      </c>
      <c r="JE21" s="78">
        <f t="shared" si="54"/>
        <v>0</v>
      </c>
      <c r="JF21" s="78">
        <f t="shared" si="54"/>
        <v>0</v>
      </c>
      <c r="JG21" s="78">
        <f t="shared" si="54"/>
        <v>0</v>
      </c>
      <c r="JH21" s="78">
        <f t="shared" si="54"/>
        <v>0</v>
      </c>
      <c r="JI21" s="78">
        <f t="shared" si="54"/>
        <v>0</v>
      </c>
      <c r="JJ21" s="78">
        <f t="shared" si="54"/>
        <v>0</v>
      </c>
      <c r="JK21" s="78">
        <f t="shared" si="54"/>
        <v>0</v>
      </c>
      <c r="JL21" s="78">
        <f t="shared" si="54"/>
        <v>0</v>
      </c>
      <c r="JM21" s="78">
        <f t="shared" si="54"/>
        <v>0</v>
      </c>
      <c r="JN21" s="78">
        <f t="shared" si="54"/>
        <v>0</v>
      </c>
      <c r="JO21" s="78">
        <f t="shared" si="54"/>
        <v>0</v>
      </c>
      <c r="JP21" s="78">
        <f t="shared" si="54"/>
        <v>0</v>
      </c>
      <c r="JQ21" s="78">
        <f t="shared" si="54"/>
        <v>0</v>
      </c>
      <c r="JR21" s="78">
        <f t="shared" si="54"/>
        <v>0</v>
      </c>
      <c r="JS21" s="78">
        <f t="shared" si="54"/>
        <v>0</v>
      </c>
      <c r="JT21" s="78">
        <f t="shared" si="54"/>
        <v>0</v>
      </c>
      <c r="JU21" s="78">
        <f t="shared" si="54"/>
        <v>0</v>
      </c>
      <c r="JV21" s="78">
        <f t="shared" si="54"/>
        <v>0</v>
      </c>
      <c r="JW21" s="78">
        <f t="shared" si="54"/>
        <v>0</v>
      </c>
      <c r="JX21" s="78">
        <f t="shared" si="54"/>
        <v>0</v>
      </c>
      <c r="JY21" s="78">
        <f t="shared" si="54"/>
        <v>0</v>
      </c>
      <c r="JZ21" s="78">
        <f t="shared" si="54"/>
        <v>0</v>
      </c>
      <c r="KA21" s="78">
        <f t="shared" si="54"/>
        <v>0</v>
      </c>
      <c r="KB21" s="78">
        <f t="shared" si="54"/>
        <v>0</v>
      </c>
      <c r="KC21" s="78">
        <f t="shared" si="54"/>
        <v>0</v>
      </c>
      <c r="KD21" s="78">
        <f t="shared" si="54"/>
        <v>0</v>
      </c>
      <c r="KE21" s="78">
        <f t="shared" si="54"/>
        <v>0</v>
      </c>
      <c r="KF21" s="78">
        <f t="shared" si="54"/>
        <v>0</v>
      </c>
      <c r="KG21" s="78">
        <f t="shared" si="54"/>
        <v>0</v>
      </c>
      <c r="KH21" s="78">
        <f t="shared" si="54"/>
        <v>0</v>
      </c>
      <c r="KI21" s="78">
        <f t="shared" si="54"/>
        <v>0</v>
      </c>
      <c r="KJ21" s="78">
        <f t="shared" si="54"/>
        <v>0</v>
      </c>
      <c r="KK21" s="78">
        <f t="shared" si="54"/>
        <v>0</v>
      </c>
      <c r="KL21" s="78">
        <f t="shared" si="54"/>
        <v>0</v>
      </c>
      <c r="KM21" s="78">
        <f t="shared" si="54"/>
        <v>0</v>
      </c>
      <c r="KN21" s="78">
        <f t="shared" si="54"/>
        <v>0</v>
      </c>
      <c r="KO21" s="78">
        <f t="shared" si="54"/>
        <v>0</v>
      </c>
      <c r="KP21" s="78">
        <f t="shared" si="54"/>
        <v>0</v>
      </c>
      <c r="KQ21" s="78">
        <f t="shared" si="54"/>
        <v>0</v>
      </c>
      <c r="KR21" s="78">
        <f t="shared" si="54"/>
        <v>0</v>
      </c>
      <c r="KS21" s="78">
        <f t="shared" si="54"/>
        <v>0</v>
      </c>
      <c r="KT21" s="78">
        <f t="shared" si="54"/>
        <v>0</v>
      </c>
      <c r="KU21" s="78">
        <f t="shared" si="54"/>
        <v>0</v>
      </c>
      <c r="KV21" s="78">
        <f t="shared" si="54"/>
        <v>0</v>
      </c>
      <c r="KW21" s="78">
        <f t="shared" si="54"/>
        <v>0</v>
      </c>
    </row>
    <row r="22" spans="2:309" x14ac:dyDescent="0.2">
      <c r="B22" s="76" t="s">
        <v>61</v>
      </c>
      <c r="C22" s="139">
        <f>'Assumptions and Key Inputs'!D29</f>
        <v>0.03</v>
      </c>
      <c r="G22" s="88">
        <f>$C$22/12*G21</f>
        <v>0</v>
      </c>
      <c r="H22" s="88">
        <f t="shared" ref="H22:BS22" si="55">$C$22/12*H17</f>
        <v>10.162546875</v>
      </c>
      <c r="I22" s="88">
        <f t="shared" si="55"/>
        <v>10.162546875</v>
      </c>
      <c r="J22" s="88">
        <f t="shared" si="55"/>
        <v>10.162546875</v>
      </c>
      <c r="K22" s="88">
        <f t="shared" si="55"/>
        <v>10.162546875</v>
      </c>
      <c r="L22" s="88">
        <f t="shared" si="55"/>
        <v>10.162546875</v>
      </c>
      <c r="M22" s="88">
        <f t="shared" si="55"/>
        <v>10.162546875</v>
      </c>
      <c r="N22" s="88">
        <f t="shared" si="55"/>
        <v>10.162546875</v>
      </c>
      <c r="O22" s="88">
        <f t="shared" si="55"/>
        <v>197.662546875</v>
      </c>
      <c r="P22" s="88">
        <f t="shared" si="55"/>
        <v>531.31879687499998</v>
      </c>
      <c r="Q22" s="88">
        <f t="shared" si="55"/>
        <v>531.31879687499998</v>
      </c>
      <c r="R22" s="88">
        <f t="shared" si="55"/>
        <v>531.31879687499998</v>
      </c>
      <c r="S22" s="88">
        <f t="shared" si="55"/>
        <v>531.31879687499998</v>
      </c>
      <c r="T22" s="88">
        <f t="shared" si="55"/>
        <v>531.31879687499998</v>
      </c>
      <c r="U22" s="88">
        <f t="shared" si="55"/>
        <v>531.31879687499998</v>
      </c>
      <c r="V22" s="88">
        <f t="shared" si="55"/>
        <v>531.31879687499998</v>
      </c>
      <c r="W22" s="88">
        <f t="shared" si="55"/>
        <v>531.31879687499998</v>
      </c>
      <c r="X22" s="88">
        <f t="shared" si="55"/>
        <v>531.31879687499998</v>
      </c>
      <c r="Y22" s="88">
        <f t="shared" si="55"/>
        <v>531.31879687499998</v>
      </c>
      <c r="Z22" s="88">
        <f t="shared" si="55"/>
        <v>531.31879687499998</v>
      </c>
      <c r="AA22" s="88">
        <f t="shared" si="55"/>
        <v>531.31879687499998</v>
      </c>
      <c r="AB22" s="88">
        <f t="shared" si="55"/>
        <v>0</v>
      </c>
      <c r="AC22" s="88">
        <f t="shared" si="55"/>
        <v>0</v>
      </c>
      <c r="AD22" s="88">
        <f t="shared" si="55"/>
        <v>0</v>
      </c>
      <c r="AE22" s="88">
        <f t="shared" si="55"/>
        <v>0</v>
      </c>
      <c r="AF22" s="88">
        <f t="shared" si="55"/>
        <v>0</v>
      </c>
      <c r="AG22" s="88">
        <f t="shared" si="55"/>
        <v>0</v>
      </c>
      <c r="AH22" s="88">
        <f t="shared" si="55"/>
        <v>0</v>
      </c>
      <c r="AI22" s="88">
        <f t="shared" si="55"/>
        <v>0</v>
      </c>
      <c r="AJ22" s="88">
        <f t="shared" si="55"/>
        <v>0</v>
      </c>
      <c r="AK22" s="88">
        <f t="shared" si="55"/>
        <v>0</v>
      </c>
      <c r="AL22" s="88">
        <f t="shared" si="55"/>
        <v>0</v>
      </c>
      <c r="AM22" s="88">
        <f t="shared" si="55"/>
        <v>0</v>
      </c>
      <c r="AN22" s="88">
        <f t="shared" si="55"/>
        <v>0</v>
      </c>
      <c r="AO22" s="88">
        <f t="shared" si="55"/>
        <v>0</v>
      </c>
      <c r="AP22" s="88">
        <f t="shared" si="55"/>
        <v>0</v>
      </c>
      <c r="AQ22" s="88">
        <f t="shared" si="55"/>
        <v>0</v>
      </c>
      <c r="AR22" s="88">
        <f t="shared" si="55"/>
        <v>0</v>
      </c>
      <c r="AS22" s="88">
        <f t="shared" si="55"/>
        <v>0</v>
      </c>
      <c r="AT22" s="88">
        <f t="shared" si="55"/>
        <v>0</v>
      </c>
      <c r="AU22" s="88">
        <f t="shared" si="55"/>
        <v>0</v>
      </c>
      <c r="AV22" s="88">
        <f t="shared" si="55"/>
        <v>0</v>
      </c>
      <c r="AW22" s="88">
        <f t="shared" si="55"/>
        <v>0</v>
      </c>
      <c r="AX22" s="88">
        <f t="shared" si="55"/>
        <v>0</v>
      </c>
      <c r="AY22" s="88">
        <f t="shared" si="55"/>
        <v>0</v>
      </c>
      <c r="AZ22" s="88">
        <f t="shared" si="55"/>
        <v>0</v>
      </c>
      <c r="BA22" s="88">
        <f t="shared" si="55"/>
        <v>0</v>
      </c>
      <c r="BB22" s="88">
        <f t="shared" si="55"/>
        <v>0</v>
      </c>
      <c r="BC22" s="88">
        <f t="shared" si="55"/>
        <v>0</v>
      </c>
      <c r="BD22" s="88">
        <f t="shared" si="55"/>
        <v>0</v>
      </c>
      <c r="BE22" s="88">
        <f t="shared" si="55"/>
        <v>0</v>
      </c>
      <c r="BF22" s="88">
        <f t="shared" si="55"/>
        <v>0</v>
      </c>
      <c r="BG22" s="88">
        <f t="shared" si="55"/>
        <v>0</v>
      </c>
      <c r="BH22" s="88">
        <f t="shared" si="55"/>
        <v>0</v>
      </c>
      <c r="BI22" s="88">
        <f t="shared" si="55"/>
        <v>0</v>
      </c>
      <c r="BJ22" s="88">
        <f t="shared" si="55"/>
        <v>0</v>
      </c>
      <c r="BK22" s="88">
        <f t="shared" si="55"/>
        <v>0</v>
      </c>
      <c r="BL22" s="88">
        <f t="shared" si="55"/>
        <v>0</v>
      </c>
      <c r="BM22" s="88">
        <f t="shared" si="55"/>
        <v>0</v>
      </c>
      <c r="BN22" s="88">
        <f t="shared" si="55"/>
        <v>0</v>
      </c>
      <c r="BO22" s="88">
        <f t="shared" si="55"/>
        <v>0</v>
      </c>
      <c r="BP22" s="88">
        <f t="shared" si="55"/>
        <v>0</v>
      </c>
      <c r="BQ22" s="88">
        <f t="shared" si="55"/>
        <v>0</v>
      </c>
      <c r="BR22" s="88">
        <f t="shared" si="55"/>
        <v>0</v>
      </c>
      <c r="BS22" s="88">
        <f t="shared" si="55"/>
        <v>0</v>
      </c>
      <c r="BT22" s="88">
        <f t="shared" ref="BT22:EE22" si="56">$C$22/12*BT17</f>
        <v>0</v>
      </c>
      <c r="BU22" s="88">
        <f t="shared" si="56"/>
        <v>0</v>
      </c>
      <c r="BV22" s="88">
        <f t="shared" si="56"/>
        <v>0</v>
      </c>
      <c r="BW22" s="88">
        <f t="shared" si="56"/>
        <v>0</v>
      </c>
      <c r="BX22" s="88">
        <f t="shared" si="56"/>
        <v>0</v>
      </c>
      <c r="BY22" s="88">
        <f t="shared" si="56"/>
        <v>0</v>
      </c>
      <c r="BZ22" s="88">
        <f t="shared" si="56"/>
        <v>0</v>
      </c>
      <c r="CA22" s="88">
        <f t="shared" si="56"/>
        <v>0</v>
      </c>
      <c r="CB22" s="88">
        <f t="shared" si="56"/>
        <v>0</v>
      </c>
      <c r="CC22" s="88">
        <f t="shared" si="56"/>
        <v>0</v>
      </c>
      <c r="CD22" s="88">
        <f t="shared" si="56"/>
        <v>0</v>
      </c>
      <c r="CE22" s="88">
        <f t="shared" si="56"/>
        <v>0</v>
      </c>
      <c r="CF22" s="88">
        <f t="shared" si="56"/>
        <v>0</v>
      </c>
      <c r="CG22" s="88">
        <f t="shared" si="56"/>
        <v>0</v>
      </c>
      <c r="CH22" s="88">
        <f t="shared" si="56"/>
        <v>0</v>
      </c>
      <c r="CI22" s="88">
        <f t="shared" si="56"/>
        <v>0</v>
      </c>
      <c r="CJ22" s="88">
        <f t="shared" si="56"/>
        <v>0</v>
      </c>
      <c r="CK22" s="88">
        <f t="shared" si="56"/>
        <v>0</v>
      </c>
      <c r="CL22" s="88">
        <f t="shared" si="56"/>
        <v>0</v>
      </c>
      <c r="CM22" s="88">
        <f t="shared" si="56"/>
        <v>0</v>
      </c>
      <c r="CN22" s="88">
        <f t="shared" si="56"/>
        <v>0</v>
      </c>
      <c r="CO22" s="88">
        <f t="shared" si="56"/>
        <v>0</v>
      </c>
      <c r="CP22" s="88">
        <f t="shared" si="56"/>
        <v>0</v>
      </c>
      <c r="CQ22" s="88">
        <f t="shared" si="56"/>
        <v>0</v>
      </c>
      <c r="CR22" s="88">
        <f t="shared" si="56"/>
        <v>0</v>
      </c>
      <c r="CS22" s="88">
        <f t="shared" si="56"/>
        <v>0</v>
      </c>
      <c r="CT22" s="88">
        <f t="shared" si="56"/>
        <v>0</v>
      </c>
      <c r="CU22" s="88">
        <f t="shared" si="56"/>
        <v>0</v>
      </c>
      <c r="CV22" s="88">
        <f t="shared" si="56"/>
        <v>0</v>
      </c>
      <c r="CW22" s="88">
        <f t="shared" si="56"/>
        <v>0</v>
      </c>
      <c r="CX22" s="88">
        <f t="shared" si="56"/>
        <v>0</v>
      </c>
      <c r="CY22" s="88">
        <f t="shared" si="56"/>
        <v>0</v>
      </c>
      <c r="CZ22" s="88">
        <f t="shared" si="56"/>
        <v>0</v>
      </c>
      <c r="DA22" s="88">
        <f t="shared" si="56"/>
        <v>0</v>
      </c>
      <c r="DB22" s="88">
        <f t="shared" si="56"/>
        <v>0</v>
      </c>
      <c r="DC22" s="88">
        <f t="shared" si="56"/>
        <v>0</v>
      </c>
      <c r="DD22" s="88">
        <f t="shared" si="56"/>
        <v>0</v>
      </c>
      <c r="DE22" s="88">
        <f t="shared" si="56"/>
        <v>0</v>
      </c>
      <c r="DF22" s="88">
        <f t="shared" si="56"/>
        <v>0</v>
      </c>
      <c r="DG22" s="88">
        <f t="shared" si="56"/>
        <v>0</v>
      </c>
      <c r="DH22" s="88">
        <f t="shared" si="56"/>
        <v>0</v>
      </c>
      <c r="DI22" s="88">
        <f t="shared" si="56"/>
        <v>0</v>
      </c>
      <c r="DJ22" s="88">
        <f t="shared" si="56"/>
        <v>0</v>
      </c>
      <c r="DK22" s="88">
        <f t="shared" si="56"/>
        <v>0</v>
      </c>
      <c r="DL22" s="88">
        <f t="shared" si="56"/>
        <v>0</v>
      </c>
      <c r="DM22" s="88">
        <f t="shared" si="56"/>
        <v>0</v>
      </c>
      <c r="DN22" s="88">
        <f t="shared" si="56"/>
        <v>0</v>
      </c>
      <c r="DO22" s="88">
        <f t="shared" si="56"/>
        <v>0</v>
      </c>
      <c r="DP22" s="88">
        <f t="shared" si="56"/>
        <v>0</v>
      </c>
      <c r="DQ22" s="88">
        <f t="shared" si="56"/>
        <v>0</v>
      </c>
      <c r="DR22" s="88">
        <f t="shared" si="56"/>
        <v>0</v>
      </c>
      <c r="DS22" s="88">
        <f t="shared" si="56"/>
        <v>0</v>
      </c>
      <c r="DT22" s="88">
        <f t="shared" si="56"/>
        <v>0</v>
      </c>
      <c r="DU22" s="88">
        <f t="shared" si="56"/>
        <v>0</v>
      </c>
      <c r="DV22" s="88">
        <f t="shared" si="56"/>
        <v>0</v>
      </c>
      <c r="DW22" s="88">
        <f t="shared" si="56"/>
        <v>0</v>
      </c>
      <c r="DX22" s="88">
        <f t="shared" si="56"/>
        <v>0</v>
      </c>
      <c r="DY22" s="88">
        <f t="shared" si="56"/>
        <v>0</v>
      </c>
      <c r="DZ22" s="88">
        <f t="shared" si="56"/>
        <v>0</v>
      </c>
      <c r="EA22" s="88">
        <f t="shared" si="56"/>
        <v>0</v>
      </c>
      <c r="EB22" s="88">
        <f t="shared" si="56"/>
        <v>0</v>
      </c>
      <c r="EC22" s="88">
        <f t="shared" si="56"/>
        <v>0</v>
      </c>
      <c r="ED22" s="88">
        <f t="shared" si="56"/>
        <v>0</v>
      </c>
      <c r="EE22" s="88">
        <f t="shared" si="56"/>
        <v>0</v>
      </c>
      <c r="EF22" s="88">
        <f t="shared" ref="EF22:GQ22" si="57">$C$22/12*EF17</f>
        <v>0</v>
      </c>
      <c r="EG22" s="88">
        <f t="shared" si="57"/>
        <v>0</v>
      </c>
      <c r="EH22" s="88">
        <f t="shared" si="57"/>
        <v>0</v>
      </c>
      <c r="EI22" s="88">
        <f t="shared" si="57"/>
        <v>0</v>
      </c>
      <c r="EJ22" s="88">
        <f t="shared" si="57"/>
        <v>0</v>
      </c>
      <c r="EK22" s="88">
        <f t="shared" si="57"/>
        <v>0</v>
      </c>
      <c r="EL22" s="88">
        <f t="shared" si="57"/>
        <v>0</v>
      </c>
      <c r="EM22" s="88">
        <f t="shared" si="57"/>
        <v>0</v>
      </c>
      <c r="EN22" s="88">
        <f t="shared" si="57"/>
        <v>0</v>
      </c>
      <c r="EO22" s="88">
        <f t="shared" si="57"/>
        <v>0</v>
      </c>
      <c r="EP22" s="88">
        <f t="shared" si="57"/>
        <v>0</v>
      </c>
      <c r="EQ22" s="88">
        <f t="shared" si="57"/>
        <v>0</v>
      </c>
      <c r="ER22" s="88">
        <f t="shared" si="57"/>
        <v>0</v>
      </c>
      <c r="ES22" s="88">
        <f t="shared" si="57"/>
        <v>0</v>
      </c>
      <c r="ET22" s="88">
        <f t="shared" si="57"/>
        <v>0</v>
      </c>
      <c r="EU22" s="88">
        <f t="shared" si="57"/>
        <v>0</v>
      </c>
      <c r="EV22" s="88">
        <f t="shared" si="57"/>
        <v>0</v>
      </c>
      <c r="EW22" s="88">
        <f t="shared" si="57"/>
        <v>0</v>
      </c>
      <c r="EX22" s="88">
        <f t="shared" si="57"/>
        <v>0</v>
      </c>
      <c r="EY22" s="88">
        <f t="shared" si="57"/>
        <v>0</v>
      </c>
      <c r="EZ22" s="88">
        <f t="shared" si="57"/>
        <v>0</v>
      </c>
      <c r="FA22" s="88">
        <f t="shared" si="57"/>
        <v>0</v>
      </c>
      <c r="FB22" s="88">
        <f t="shared" si="57"/>
        <v>0</v>
      </c>
      <c r="FC22" s="88">
        <f t="shared" si="57"/>
        <v>0</v>
      </c>
      <c r="FD22" s="88">
        <f t="shared" si="57"/>
        <v>0</v>
      </c>
      <c r="FE22" s="88">
        <f t="shared" si="57"/>
        <v>0</v>
      </c>
      <c r="FF22" s="88">
        <f t="shared" si="57"/>
        <v>0</v>
      </c>
      <c r="FG22" s="88">
        <f t="shared" si="57"/>
        <v>0</v>
      </c>
      <c r="FH22" s="88">
        <f t="shared" si="57"/>
        <v>0</v>
      </c>
      <c r="FI22" s="88">
        <f t="shared" si="57"/>
        <v>0</v>
      </c>
      <c r="FJ22" s="88">
        <f t="shared" si="57"/>
        <v>0</v>
      </c>
      <c r="FK22" s="88">
        <f t="shared" si="57"/>
        <v>0</v>
      </c>
      <c r="FL22" s="88">
        <f t="shared" si="57"/>
        <v>0</v>
      </c>
      <c r="FM22" s="88">
        <f t="shared" si="57"/>
        <v>0</v>
      </c>
      <c r="FN22" s="88">
        <f t="shared" si="57"/>
        <v>0</v>
      </c>
      <c r="FO22" s="88">
        <f t="shared" si="57"/>
        <v>0</v>
      </c>
      <c r="FP22" s="88">
        <f t="shared" si="57"/>
        <v>0</v>
      </c>
      <c r="FQ22" s="88">
        <f t="shared" si="57"/>
        <v>0</v>
      </c>
      <c r="FR22" s="88">
        <f t="shared" si="57"/>
        <v>0</v>
      </c>
      <c r="FS22" s="88">
        <f t="shared" si="57"/>
        <v>0</v>
      </c>
      <c r="FT22" s="88">
        <f t="shared" si="57"/>
        <v>0</v>
      </c>
      <c r="FU22" s="88">
        <f t="shared" si="57"/>
        <v>0</v>
      </c>
      <c r="FV22" s="88">
        <f t="shared" si="57"/>
        <v>0</v>
      </c>
      <c r="FW22" s="88">
        <f t="shared" si="57"/>
        <v>0</v>
      </c>
      <c r="FX22" s="88">
        <f t="shared" si="57"/>
        <v>0</v>
      </c>
      <c r="FY22" s="88">
        <f t="shared" si="57"/>
        <v>0</v>
      </c>
      <c r="FZ22" s="88">
        <f t="shared" si="57"/>
        <v>0</v>
      </c>
      <c r="GA22" s="88">
        <f t="shared" si="57"/>
        <v>0</v>
      </c>
      <c r="GB22" s="88">
        <f t="shared" si="57"/>
        <v>0</v>
      </c>
      <c r="GC22" s="88">
        <f t="shared" si="57"/>
        <v>0</v>
      </c>
      <c r="GD22" s="88">
        <f t="shared" si="57"/>
        <v>0</v>
      </c>
      <c r="GE22" s="88">
        <f t="shared" si="57"/>
        <v>0</v>
      </c>
      <c r="GF22" s="88">
        <f t="shared" si="57"/>
        <v>0</v>
      </c>
      <c r="GG22" s="88">
        <f t="shared" si="57"/>
        <v>0</v>
      </c>
      <c r="GH22" s="88">
        <f t="shared" si="57"/>
        <v>0</v>
      </c>
      <c r="GI22" s="88">
        <f t="shared" si="57"/>
        <v>0</v>
      </c>
      <c r="GJ22" s="88">
        <f t="shared" si="57"/>
        <v>0</v>
      </c>
      <c r="GK22" s="88">
        <f t="shared" si="57"/>
        <v>0</v>
      </c>
      <c r="GL22" s="88">
        <f t="shared" si="57"/>
        <v>0</v>
      </c>
      <c r="GM22" s="88">
        <f t="shared" si="57"/>
        <v>0</v>
      </c>
      <c r="GN22" s="88">
        <f t="shared" si="57"/>
        <v>0</v>
      </c>
      <c r="GO22" s="88">
        <f t="shared" si="57"/>
        <v>0</v>
      </c>
      <c r="GP22" s="88">
        <f t="shared" si="57"/>
        <v>0</v>
      </c>
      <c r="GQ22" s="88">
        <f t="shared" si="57"/>
        <v>0</v>
      </c>
      <c r="GR22" s="88">
        <f t="shared" ref="GR22:JC22" si="58">$C$22/12*GR17</f>
        <v>0</v>
      </c>
      <c r="GS22" s="88">
        <f t="shared" si="58"/>
        <v>0</v>
      </c>
      <c r="GT22" s="88">
        <f t="shared" si="58"/>
        <v>0</v>
      </c>
      <c r="GU22" s="88">
        <f t="shared" si="58"/>
        <v>0</v>
      </c>
      <c r="GV22" s="88">
        <f t="shared" si="58"/>
        <v>0</v>
      </c>
      <c r="GW22" s="88">
        <f t="shared" si="58"/>
        <v>0</v>
      </c>
      <c r="GX22" s="88">
        <f t="shared" si="58"/>
        <v>0</v>
      </c>
      <c r="GY22" s="88">
        <f t="shared" si="58"/>
        <v>0</v>
      </c>
      <c r="GZ22" s="88">
        <f t="shared" si="58"/>
        <v>0</v>
      </c>
      <c r="HA22" s="88">
        <f t="shared" si="58"/>
        <v>0</v>
      </c>
      <c r="HB22" s="88">
        <f t="shared" si="58"/>
        <v>0</v>
      </c>
      <c r="HC22" s="88">
        <f t="shared" si="58"/>
        <v>0</v>
      </c>
      <c r="HD22" s="88">
        <f t="shared" si="58"/>
        <v>0</v>
      </c>
      <c r="HE22" s="88">
        <f t="shared" si="58"/>
        <v>0</v>
      </c>
      <c r="HF22" s="88">
        <f t="shared" si="58"/>
        <v>0</v>
      </c>
      <c r="HG22" s="88">
        <f t="shared" si="58"/>
        <v>0</v>
      </c>
      <c r="HH22" s="88">
        <f t="shared" si="58"/>
        <v>0</v>
      </c>
      <c r="HI22" s="88">
        <f t="shared" si="58"/>
        <v>0</v>
      </c>
      <c r="HJ22" s="88">
        <f t="shared" si="58"/>
        <v>0</v>
      </c>
      <c r="HK22" s="88">
        <f t="shared" si="58"/>
        <v>0</v>
      </c>
      <c r="HL22" s="88">
        <f t="shared" si="58"/>
        <v>0</v>
      </c>
      <c r="HM22" s="88">
        <f t="shared" si="58"/>
        <v>0</v>
      </c>
      <c r="HN22" s="88">
        <f t="shared" si="58"/>
        <v>0</v>
      </c>
      <c r="HO22" s="88">
        <f t="shared" si="58"/>
        <v>0</v>
      </c>
      <c r="HP22" s="88">
        <f t="shared" si="58"/>
        <v>0</v>
      </c>
      <c r="HQ22" s="88">
        <f t="shared" si="58"/>
        <v>0</v>
      </c>
      <c r="HR22" s="88">
        <f t="shared" si="58"/>
        <v>0</v>
      </c>
      <c r="HS22" s="88">
        <f t="shared" si="58"/>
        <v>0</v>
      </c>
      <c r="HT22" s="88">
        <f t="shared" si="58"/>
        <v>0</v>
      </c>
      <c r="HU22" s="88">
        <f t="shared" si="58"/>
        <v>0</v>
      </c>
      <c r="HV22" s="88">
        <f t="shared" si="58"/>
        <v>0</v>
      </c>
      <c r="HW22" s="88">
        <f t="shared" si="58"/>
        <v>0</v>
      </c>
      <c r="HX22" s="88">
        <f t="shared" si="58"/>
        <v>0</v>
      </c>
      <c r="HY22" s="88">
        <f t="shared" si="58"/>
        <v>0</v>
      </c>
      <c r="HZ22" s="88">
        <f t="shared" si="58"/>
        <v>0</v>
      </c>
      <c r="IA22" s="88">
        <f t="shared" si="58"/>
        <v>0</v>
      </c>
      <c r="IB22" s="88">
        <f t="shared" si="58"/>
        <v>0</v>
      </c>
      <c r="IC22" s="88">
        <f t="shared" si="58"/>
        <v>0</v>
      </c>
      <c r="ID22" s="88">
        <f t="shared" si="58"/>
        <v>0</v>
      </c>
      <c r="IE22" s="88">
        <f t="shared" si="58"/>
        <v>0</v>
      </c>
      <c r="IF22" s="88">
        <f t="shared" si="58"/>
        <v>0</v>
      </c>
      <c r="IG22" s="88">
        <f t="shared" si="58"/>
        <v>0</v>
      </c>
      <c r="IH22" s="88">
        <f t="shared" si="58"/>
        <v>0</v>
      </c>
      <c r="II22" s="88">
        <f t="shared" si="58"/>
        <v>0</v>
      </c>
      <c r="IJ22" s="88">
        <f t="shared" si="58"/>
        <v>0</v>
      </c>
      <c r="IK22" s="88">
        <f t="shared" si="58"/>
        <v>0</v>
      </c>
      <c r="IL22" s="88">
        <f t="shared" si="58"/>
        <v>0</v>
      </c>
      <c r="IM22" s="88">
        <f t="shared" si="58"/>
        <v>0</v>
      </c>
      <c r="IN22" s="88">
        <f t="shared" si="58"/>
        <v>0</v>
      </c>
      <c r="IO22" s="88">
        <f t="shared" si="58"/>
        <v>0</v>
      </c>
      <c r="IP22" s="88">
        <f t="shared" si="58"/>
        <v>0</v>
      </c>
      <c r="IQ22" s="88">
        <f t="shared" si="58"/>
        <v>0</v>
      </c>
      <c r="IR22" s="88">
        <f t="shared" si="58"/>
        <v>0</v>
      </c>
      <c r="IS22" s="88">
        <f t="shared" si="58"/>
        <v>0</v>
      </c>
      <c r="IT22" s="88">
        <f t="shared" si="58"/>
        <v>0</v>
      </c>
      <c r="IU22" s="88">
        <f t="shared" si="58"/>
        <v>0</v>
      </c>
      <c r="IV22" s="88">
        <f t="shared" si="58"/>
        <v>0</v>
      </c>
      <c r="IW22" s="88">
        <f t="shared" si="58"/>
        <v>0</v>
      </c>
      <c r="IX22" s="88">
        <f t="shared" si="58"/>
        <v>0</v>
      </c>
      <c r="IY22" s="88">
        <f t="shared" si="58"/>
        <v>0</v>
      </c>
      <c r="IZ22" s="88">
        <f t="shared" si="58"/>
        <v>0</v>
      </c>
      <c r="JA22" s="88">
        <f t="shared" si="58"/>
        <v>0</v>
      </c>
      <c r="JB22" s="88">
        <f t="shared" si="58"/>
        <v>0</v>
      </c>
      <c r="JC22" s="88">
        <f t="shared" si="58"/>
        <v>0</v>
      </c>
      <c r="JD22" s="88">
        <f t="shared" ref="JD22:KW22" si="59">$C$22/12*JD17</f>
        <v>0</v>
      </c>
      <c r="JE22" s="88">
        <f t="shared" si="59"/>
        <v>0</v>
      </c>
      <c r="JF22" s="88">
        <f t="shared" si="59"/>
        <v>0</v>
      </c>
      <c r="JG22" s="88">
        <f t="shared" si="59"/>
        <v>0</v>
      </c>
      <c r="JH22" s="88">
        <f t="shared" si="59"/>
        <v>0</v>
      </c>
      <c r="JI22" s="88">
        <f t="shared" si="59"/>
        <v>0</v>
      </c>
      <c r="JJ22" s="88">
        <f t="shared" si="59"/>
        <v>0</v>
      </c>
      <c r="JK22" s="88">
        <f t="shared" si="59"/>
        <v>0</v>
      </c>
      <c r="JL22" s="88">
        <f t="shared" si="59"/>
        <v>0</v>
      </c>
      <c r="JM22" s="88">
        <f t="shared" si="59"/>
        <v>0</v>
      </c>
      <c r="JN22" s="88">
        <f t="shared" si="59"/>
        <v>0</v>
      </c>
      <c r="JO22" s="88">
        <f t="shared" si="59"/>
        <v>0</v>
      </c>
      <c r="JP22" s="88">
        <f t="shared" si="59"/>
        <v>0</v>
      </c>
      <c r="JQ22" s="88">
        <f t="shared" si="59"/>
        <v>0</v>
      </c>
      <c r="JR22" s="88">
        <f t="shared" si="59"/>
        <v>0</v>
      </c>
      <c r="JS22" s="88">
        <f t="shared" si="59"/>
        <v>0</v>
      </c>
      <c r="JT22" s="88">
        <f t="shared" si="59"/>
        <v>0</v>
      </c>
      <c r="JU22" s="88">
        <f t="shared" si="59"/>
        <v>0</v>
      </c>
      <c r="JV22" s="88">
        <f t="shared" si="59"/>
        <v>0</v>
      </c>
      <c r="JW22" s="88">
        <f t="shared" si="59"/>
        <v>0</v>
      </c>
      <c r="JX22" s="88">
        <f t="shared" si="59"/>
        <v>0</v>
      </c>
      <c r="JY22" s="88">
        <f t="shared" si="59"/>
        <v>0</v>
      </c>
      <c r="JZ22" s="88">
        <f t="shared" si="59"/>
        <v>0</v>
      </c>
      <c r="KA22" s="88">
        <f t="shared" si="59"/>
        <v>0</v>
      </c>
      <c r="KB22" s="88">
        <f t="shared" si="59"/>
        <v>0</v>
      </c>
      <c r="KC22" s="88">
        <f t="shared" si="59"/>
        <v>0</v>
      </c>
      <c r="KD22" s="88">
        <f t="shared" si="59"/>
        <v>0</v>
      </c>
      <c r="KE22" s="88">
        <f t="shared" si="59"/>
        <v>0</v>
      </c>
      <c r="KF22" s="88">
        <f t="shared" si="59"/>
        <v>0</v>
      </c>
      <c r="KG22" s="88">
        <f t="shared" si="59"/>
        <v>0</v>
      </c>
      <c r="KH22" s="88">
        <f t="shared" si="59"/>
        <v>0</v>
      </c>
      <c r="KI22" s="88">
        <f t="shared" si="59"/>
        <v>0</v>
      </c>
      <c r="KJ22" s="88">
        <f t="shared" si="59"/>
        <v>0</v>
      </c>
      <c r="KK22" s="88">
        <f t="shared" si="59"/>
        <v>0</v>
      </c>
      <c r="KL22" s="88">
        <f t="shared" si="59"/>
        <v>0</v>
      </c>
      <c r="KM22" s="88">
        <f t="shared" si="59"/>
        <v>0</v>
      </c>
      <c r="KN22" s="88">
        <f t="shared" si="59"/>
        <v>0</v>
      </c>
      <c r="KO22" s="88">
        <f t="shared" si="59"/>
        <v>0</v>
      </c>
      <c r="KP22" s="88">
        <f t="shared" si="59"/>
        <v>0</v>
      </c>
      <c r="KQ22" s="88">
        <f t="shared" si="59"/>
        <v>0</v>
      </c>
      <c r="KR22" s="88">
        <f t="shared" si="59"/>
        <v>0</v>
      </c>
      <c r="KS22" s="88">
        <f t="shared" si="59"/>
        <v>0</v>
      </c>
      <c r="KT22" s="88">
        <f t="shared" si="59"/>
        <v>0</v>
      </c>
      <c r="KU22" s="88">
        <f t="shared" si="59"/>
        <v>0</v>
      </c>
      <c r="KV22" s="88">
        <f t="shared" si="59"/>
        <v>0</v>
      </c>
      <c r="KW22" s="88">
        <f t="shared" si="59"/>
        <v>0</v>
      </c>
    </row>
    <row r="23" spans="2:309" x14ac:dyDescent="0.2">
      <c r="B23" s="131" t="s">
        <v>64</v>
      </c>
      <c r="C23" s="132"/>
      <c r="D23" s="133"/>
      <c r="E23" s="134">
        <f>MAX(G23:KW23)</f>
        <v>2664495.0009374996</v>
      </c>
      <c r="F23" s="132"/>
      <c r="G23" s="82">
        <f t="shared" ref="G23:BR23" si="60">SUM(G20:G22)</f>
        <v>0</v>
      </c>
      <c r="H23" s="82">
        <f t="shared" si="60"/>
        <v>4075.181296875</v>
      </c>
      <c r="I23" s="82">
        <f t="shared" si="60"/>
        <v>8150.3625937500001</v>
      </c>
      <c r="J23" s="82">
        <f t="shared" si="60"/>
        <v>12225.543890625</v>
      </c>
      <c r="K23" s="82">
        <f t="shared" si="60"/>
        <v>16300.725187500002</v>
      </c>
      <c r="L23" s="82">
        <f t="shared" si="60"/>
        <v>20375.906484375002</v>
      </c>
      <c r="M23" s="82">
        <f t="shared" si="60"/>
        <v>24451.08778125</v>
      </c>
      <c r="N23" s="82">
        <f t="shared" si="60"/>
        <v>28526.269078124998</v>
      </c>
      <c r="O23" s="82">
        <f t="shared" si="60"/>
        <v>107788.950375</v>
      </c>
      <c r="P23" s="82">
        <f t="shared" si="60"/>
        <v>320847.78792187502</v>
      </c>
      <c r="Q23" s="82">
        <f t="shared" si="60"/>
        <v>533906.62546875002</v>
      </c>
      <c r="R23" s="82">
        <f t="shared" si="60"/>
        <v>746965.46301562502</v>
      </c>
      <c r="S23" s="82">
        <f t="shared" si="60"/>
        <v>960024.30056250002</v>
      </c>
      <c r="T23" s="82">
        <f t="shared" si="60"/>
        <v>1173083.138109375</v>
      </c>
      <c r="U23" s="82">
        <f t="shared" si="60"/>
        <v>1386141.97565625</v>
      </c>
      <c r="V23" s="82">
        <f t="shared" si="60"/>
        <v>1599200.813203125</v>
      </c>
      <c r="W23" s="82">
        <f t="shared" si="60"/>
        <v>1812259.65075</v>
      </c>
      <c r="X23" s="82">
        <f t="shared" si="60"/>
        <v>2025318.488296875</v>
      </c>
      <c r="Y23" s="82">
        <f t="shared" si="60"/>
        <v>2238377.32584375</v>
      </c>
      <c r="Z23" s="82">
        <f t="shared" si="60"/>
        <v>2451436.1633906248</v>
      </c>
      <c r="AA23" s="82">
        <f t="shared" si="60"/>
        <v>2664495.0009374996</v>
      </c>
      <c r="AB23" s="82">
        <f t="shared" si="60"/>
        <v>0</v>
      </c>
      <c r="AC23" s="82">
        <f t="shared" si="60"/>
        <v>0</v>
      </c>
      <c r="AD23" s="82">
        <f t="shared" si="60"/>
        <v>0</v>
      </c>
      <c r="AE23" s="82">
        <f t="shared" si="60"/>
        <v>0</v>
      </c>
      <c r="AF23" s="82">
        <f t="shared" si="60"/>
        <v>0</v>
      </c>
      <c r="AG23" s="82">
        <f t="shared" si="60"/>
        <v>0</v>
      </c>
      <c r="AH23" s="82">
        <f t="shared" si="60"/>
        <v>0</v>
      </c>
      <c r="AI23" s="82">
        <f t="shared" si="60"/>
        <v>0</v>
      </c>
      <c r="AJ23" s="82">
        <f t="shared" si="60"/>
        <v>0</v>
      </c>
      <c r="AK23" s="82">
        <f t="shared" si="60"/>
        <v>0</v>
      </c>
      <c r="AL23" s="82">
        <f t="shared" si="60"/>
        <v>0</v>
      </c>
      <c r="AM23" s="82">
        <f t="shared" si="60"/>
        <v>0</v>
      </c>
      <c r="AN23" s="82">
        <f t="shared" si="60"/>
        <v>0</v>
      </c>
      <c r="AO23" s="82">
        <f t="shared" si="60"/>
        <v>0</v>
      </c>
      <c r="AP23" s="82">
        <f t="shared" si="60"/>
        <v>0</v>
      </c>
      <c r="AQ23" s="82">
        <f t="shared" si="60"/>
        <v>0</v>
      </c>
      <c r="AR23" s="82">
        <f t="shared" si="60"/>
        <v>0</v>
      </c>
      <c r="AS23" s="82">
        <f t="shared" si="60"/>
        <v>0</v>
      </c>
      <c r="AT23" s="82">
        <f t="shared" si="60"/>
        <v>0</v>
      </c>
      <c r="AU23" s="82">
        <f t="shared" si="60"/>
        <v>0</v>
      </c>
      <c r="AV23" s="82">
        <f t="shared" si="60"/>
        <v>0</v>
      </c>
      <c r="AW23" s="82">
        <f t="shared" si="60"/>
        <v>0</v>
      </c>
      <c r="AX23" s="82">
        <f t="shared" si="60"/>
        <v>0</v>
      </c>
      <c r="AY23" s="82">
        <f t="shared" si="60"/>
        <v>0</v>
      </c>
      <c r="AZ23" s="82">
        <f t="shared" si="60"/>
        <v>0</v>
      </c>
      <c r="BA23" s="82">
        <f t="shared" si="60"/>
        <v>0</v>
      </c>
      <c r="BB23" s="82">
        <f t="shared" si="60"/>
        <v>0</v>
      </c>
      <c r="BC23" s="82">
        <f t="shared" si="60"/>
        <v>0</v>
      </c>
      <c r="BD23" s="82">
        <f t="shared" si="60"/>
        <v>0</v>
      </c>
      <c r="BE23" s="82">
        <f t="shared" si="60"/>
        <v>0</v>
      </c>
      <c r="BF23" s="82">
        <f t="shared" si="60"/>
        <v>0</v>
      </c>
      <c r="BG23" s="82">
        <f t="shared" si="60"/>
        <v>0</v>
      </c>
      <c r="BH23" s="82">
        <f t="shared" si="60"/>
        <v>0</v>
      </c>
      <c r="BI23" s="82">
        <f t="shared" si="60"/>
        <v>0</v>
      </c>
      <c r="BJ23" s="82">
        <f t="shared" si="60"/>
        <v>0</v>
      </c>
      <c r="BK23" s="82">
        <f t="shared" si="60"/>
        <v>0</v>
      </c>
      <c r="BL23" s="82">
        <f t="shared" si="60"/>
        <v>0</v>
      </c>
      <c r="BM23" s="82">
        <f t="shared" si="60"/>
        <v>0</v>
      </c>
      <c r="BN23" s="82">
        <f t="shared" si="60"/>
        <v>0</v>
      </c>
      <c r="BO23" s="82">
        <f t="shared" si="60"/>
        <v>0</v>
      </c>
      <c r="BP23" s="82">
        <f t="shared" si="60"/>
        <v>0</v>
      </c>
      <c r="BQ23" s="82">
        <f t="shared" si="60"/>
        <v>0</v>
      </c>
      <c r="BR23" s="82">
        <f t="shared" si="60"/>
        <v>0</v>
      </c>
      <c r="BS23" s="82">
        <f t="shared" ref="BS23:ED23" si="61">SUM(BS20:BS22)</f>
        <v>0</v>
      </c>
      <c r="BT23" s="82">
        <f t="shared" si="61"/>
        <v>0</v>
      </c>
      <c r="BU23" s="82">
        <f t="shared" si="61"/>
        <v>0</v>
      </c>
      <c r="BV23" s="82">
        <f t="shared" si="61"/>
        <v>0</v>
      </c>
      <c r="BW23" s="82">
        <f t="shared" si="61"/>
        <v>0</v>
      </c>
      <c r="BX23" s="82">
        <f t="shared" si="61"/>
        <v>0</v>
      </c>
      <c r="BY23" s="82">
        <f t="shared" si="61"/>
        <v>0</v>
      </c>
      <c r="BZ23" s="82">
        <f t="shared" si="61"/>
        <v>0</v>
      </c>
      <c r="CA23" s="82">
        <f t="shared" si="61"/>
        <v>0</v>
      </c>
      <c r="CB23" s="82">
        <f t="shared" si="61"/>
        <v>0</v>
      </c>
      <c r="CC23" s="82">
        <f t="shared" si="61"/>
        <v>0</v>
      </c>
      <c r="CD23" s="82">
        <f t="shared" si="61"/>
        <v>0</v>
      </c>
      <c r="CE23" s="82">
        <f t="shared" si="61"/>
        <v>0</v>
      </c>
      <c r="CF23" s="82">
        <f t="shared" si="61"/>
        <v>0</v>
      </c>
      <c r="CG23" s="82">
        <f t="shared" si="61"/>
        <v>0</v>
      </c>
      <c r="CH23" s="82">
        <f t="shared" si="61"/>
        <v>0</v>
      </c>
      <c r="CI23" s="82">
        <f t="shared" si="61"/>
        <v>0</v>
      </c>
      <c r="CJ23" s="82">
        <f t="shared" si="61"/>
        <v>0</v>
      </c>
      <c r="CK23" s="82">
        <f t="shared" si="61"/>
        <v>0</v>
      </c>
      <c r="CL23" s="82">
        <f t="shared" si="61"/>
        <v>0</v>
      </c>
      <c r="CM23" s="82">
        <f t="shared" si="61"/>
        <v>0</v>
      </c>
      <c r="CN23" s="82">
        <f t="shared" si="61"/>
        <v>0</v>
      </c>
      <c r="CO23" s="82">
        <f t="shared" si="61"/>
        <v>0</v>
      </c>
      <c r="CP23" s="82">
        <f t="shared" si="61"/>
        <v>0</v>
      </c>
      <c r="CQ23" s="82">
        <f t="shared" si="61"/>
        <v>0</v>
      </c>
      <c r="CR23" s="82">
        <f t="shared" si="61"/>
        <v>0</v>
      </c>
      <c r="CS23" s="82">
        <f t="shared" si="61"/>
        <v>0</v>
      </c>
      <c r="CT23" s="82">
        <f t="shared" si="61"/>
        <v>0</v>
      </c>
      <c r="CU23" s="82">
        <f t="shared" si="61"/>
        <v>0</v>
      </c>
      <c r="CV23" s="82">
        <f t="shared" si="61"/>
        <v>0</v>
      </c>
      <c r="CW23" s="82">
        <f t="shared" si="61"/>
        <v>0</v>
      </c>
      <c r="CX23" s="82">
        <f t="shared" si="61"/>
        <v>0</v>
      </c>
      <c r="CY23" s="82">
        <f t="shared" si="61"/>
        <v>0</v>
      </c>
      <c r="CZ23" s="82">
        <f t="shared" si="61"/>
        <v>0</v>
      </c>
      <c r="DA23" s="82">
        <f t="shared" si="61"/>
        <v>0</v>
      </c>
      <c r="DB23" s="82">
        <f t="shared" si="61"/>
        <v>0</v>
      </c>
      <c r="DC23" s="82">
        <f t="shared" si="61"/>
        <v>0</v>
      </c>
      <c r="DD23" s="82">
        <f t="shared" si="61"/>
        <v>0</v>
      </c>
      <c r="DE23" s="82">
        <f t="shared" si="61"/>
        <v>0</v>
      </c>
      <c r="DF23" s="82">
        <f t="shared" si="61"/>
        <v>0</v>
      </c>
      <c r="DG23" s="82">
        <f t="shared" si="61"/>
        <v>0</v>
      </c>
      <c r="DH23" s="82">
        <f t="shared" si="61"/>
        <v>0</v>
      </c>
      <c r="DI23" s="82">
        <f t="shared" si="61"/>
        <v>0</v>
      </c>
      <c r="DJ23" s="82">
        <f t="shared" si="61"/>
        <v>0</v>
      </c>
      <c r="DK23" s="82">
        <f t="shared" si="61"/>
        <v>0</v>
      </c>
      <c r="DL23" s="82">
        <f t="shared" si="61"/>
        <v>0</v>
      </c>
      <c r="DM23" s="82">
        <f t="shared" si="61"/>
        <v>0</v>
      </c>
      <c r="DN23" s="82">
        <f t="shared" si="61"/>
        <v>0</v>
      </c>
      <c r="DO23" s="82">
        <f t="shared" si="61"/>
        <v>0</v>
      </c>
      <c r="DP23" s="82">
        <f t="shared" si="61"/>
        <v>0</v>
      </c>
      <c r="DQ23" s="82">
        <f t="shared" si="61"/>
        <v>0</v>
      </c>
      <c r="DR23" s="82">
        <f t="shared" si="61"/>
        <v>0</v>
      </c>
      <c r="DS23" s="82">
        <f t="shared" si="61"/>
        <v>0</v>
      </c>
      <c r="DT23" s="82">
        <f t="shared" si="61"/>
        <v>0</v>
      </c>
      <c r="DU23" s="82">
        <f t="shared" si="61"/>
        <v>0</v>
      </c>
      <c r="DV23" s="82">
        <f t="shared" si="61"/>
        <v>0</v>
      </c>
      <c r="DW23" s="82">
        <f t="shared" si="61"/>
        <v>0</v>
      </c>
      <c r="DX23" s="82">
        <f t="shared" si="61"/>
        <v>0</v>
      </c>
      <c r="DY23" s="82">
        <f t="shared" si="61"/>
        <v>0</v>
      </c>
      <c r="DZ23" s="82">
        <f t="shared" si="61"/>
        <v>0</v>
      </c>
      <c r="EA23" s="82">
        <f t="shared" si="61"/>
        <v>0</v>
      </c>
      <c r="EB23" s="82">
        <f t="shared" si="61"/>
        <v>0</v>
      </c>
      <c r="EC23" s="82">
        <f t="shared" si="61"/>
        <v>0</v>
      </c>
      <c r="ED23" s="82">
        <f t="shared" si="61"/>
        <v>0</v>
      </c>
      <c r="EE23" s="82">
        <f t="shared" ref="EE23:GP23" si="62">SUM(EE20:EE22)</f>
        <v>0</v>
      </c>
      <c r="EF23" s="82">
        <f t="shared" si="62"/>
        <v>0</v>
      </c>
      <c r="EG23" s="82">
        <f t="shared" si="62"/>
        <v>0</v>
      </c>
      <c r="EH23" s="82">
        <f t="shared" si="62"/>
        <v>0</v>
      </c>
      <c r="EI23" s="82">
        <f t="shared" si="62"/>
        <v>0</v>
      </c>
      <c r="EJ23" s="82">
        <f t="shared" si="62"/>
        <v>0</v>
      </c>
      <c r="EK23" s="82">
        <f t="shared" si="62"/>
        <v>0</v>
      </c>
      <c r="EL23" s="82">
        <f t="shared" si="62"/>
        <v>0</v>
      </c>
      <c r="EM23" s="82">
        <f t="shared" si="62"/>
        <v>0</v>
      </c>
      <c r="EN23" s="82">
        <f t="shared" si="62"/>
        <v>0</v>
      </c>
      <c r="EO23" s="82">
        <f t="shared" si="62"/>
        <v>0</v>
      </c>
      <c r="EP23" s="82">
        <f t="shared" si="62"/>
        <v>0</v>
      </c>
      <c r="EQ23" s="82">
        <f t="shared" si="62"/>
        <v>0</v>
      </c>
      <c r="ER23" s="82">
        <f t="shared" si="62"/>
        <v>0</v>
      </c>
      <c r="ES23" s="82">
        <f t="shared" si="62"/>
        <v>0</v>
      </c>
      <c r="ET23" s="82">
        <f t="shared" si="62"/>
        <v>0</v>
      </c>
      <c r="EU23" s="82">
        <f t="shared" si="62"/>
        <v>0</v>
      </c>
      <c r="EV23" s="82">
        <f t="shared" si="62"/>
        <v>0</v>
      </c>
      <c r="EW23" s="82">
        <f t="shared" si="62"/>
        <v>0</v>
      </c>
      <c r="EX23" s="82">
        <f t="shared" si="62"/>
        <v>0</v>
      </c>
      <c r="EY23" s="82">
        <f t="shared" si="62"/>
        <v>0</v>
      </c>
      <c r="EZ23" s="82">
        <f t="shared" si="62"/>
        <v>0</v>
      </c>
      <c r="FA23" s="82">
        <f t="shared" si="62"/>
        <v>0</v>
      </c>
      <c r="FB23" s="82">
        <f t="shared" si="62"/>
        <v>0</v>
      </c>
      <c r="FC23" s="82">
        <f t="shared" si="62"/>
        <v>0</v>
      </c>
      <c r="FD23" s="82">
        <f t="shared" si="62"/>
        <v>0</v>
      </c>
      <c r="FE23" s="82">
        <f t="shared" si="62"/>
        <v>0</v>
      </c>
      <c r="FF23" s="82">
        <f t="shared" si="62"/>
        <v>0</v>
      </c>
      <c r="FG23" s="82">
        <f t="shared" si="62"/>
        <v>0</v>
      </c>
      <c r="FH23" s="82">
        <f t="shared" si="62"/>
        <v>0</v>
      </c>
      <c r="FI23" s="82">
        <f t="shared" si="62"/>
        <v>0</v>
      </c>
      <c r="FJ23" s="82">
        <f t="shared" si="62"/>
        <v>0</v>
      </c>
      <c r="FK23" s="82">
        <f t="shared" si="62"/>
        <v>0</v>
      </c>
      <c r="FL23" s="82">
        <f t="shared" si="62"/>
        <v>0</v>
      </c>
      <c r="FM23" s="82">
        <f t="shared" si="62"/>
        <v>0</v>
      </c>
      <c r="FN23" s="82">
        <f t="shared" si="62"/>
        <v>0</v>
      </c>
      <c r="FO23" s="82">
        <f t="shared" si="62"/>
        <v>0</v>
      </c>
      <c r="FP23" s="82">
        <f t="shared" si="62"/>
        <v>0</v>
      </c>
      <c r="FQ23" s="82">
        <f t="shared" si="62"/>
        <v>0</v>
      </c>
      <c r="FR23" s="82">
        <f t="shared" si="62"/>
        <v>0</v>
      </c>
      <c r="FS23" s="82">
        <f t="shared" si="62"/>
        <v>0</v>
      </c>
      <c r="FT23" s="82">
        <f t="shared" si="62"/>
        <v>0</v>
      </c>
      <c r="FU23" s="82">
        <f t="shared" si="62"/>
        <v>0</v>
      </c>
      <c r="FV23" s="82">
        <f t="shared" si="62"/>
        <v>0</v>
      </c>
      <c r="FW23" s="82">
        <f t="shared" si="62"/>
        <v>0</v>
      </c>
      <c r="FX23" s="82">
        <f t="shared" si="62"/>
        <v>0</v>
      </c>
      <c r="FY23" s="82">
        <f t="shared" si="62"/>
        <v>0</v>
      </c>
      <c r="FZ23" s="82">
        <f t="shared" si="62"/>
        <v>0</v>
      </c>
      <c r="GA23" s="82">
        <f t="shared" si="62"/>
        <v>0</v>
      </c>
      <c r="GB23" s="82">
        <f t="shared" si="62"/>
        <v>0</v>
      </c>
      <c r="GC23" s="82">
        <f t="shared" si="62"/>
        <v>0</v>
      </c>
      <c r="GD23" s="82">
        <f t="shared" si="62"/>
        <v>0</v>
      </c>
      <c r="GE23" s="82">
        <f t="shared" si="62"/>
        <v>0</v>
      </c>
      <c r="GF23" s="82">
        <f t="shared" si="62"/>
        <v>0</v>
      </c>
      <c r="GG23" s="82">
        <f t="shared" si="62"/>
        <v>0</v>
      </c>
      <c r="GH23" s="82">
        <f t="shared" si="62"/>
        <v>0</v>
      </c>
      <c r="GI23" s="82">
        <f t="shared" si="62"/>
        <v>0</v>
      </c>
      <c r="GJ23" s="82">
        <f t="shared" si="62"/>
        <v>0</v>
      </c>
      <c r="GK23" s="82">
        <f t="shared" si="62"/>
        <v>0</v>
      </c>
      <c r="GL23" s="82">
        <f t="shared" si="62"/>
        <v>0</v>
      </c>
      <c r="GM23" s="82">
        <f t="shared" si="62"/>
        <v>0</v>
      </c>
      <c r="GN23" s="82">
        <f t="shared" si="62"/>
        <v>0</v>
      </c>
      <c r="GO23" s="82">
        <f t="shared" si="62"/>
        <v>0</v>
      </c>
      <c r="GP23" s="82">
        <f t="shared" si="62"/>
        <v>0</v>
      </c>
      <c r="GQ23" s="82">
        <f t="shared" ref="GQ23:JB23" si="63">SUM(GQ20:GQ22)</f>
        <v>0</v>
      </c>
      <c r="GR23" s="82">
        <f t="shared" si="63"/>
        <v>0</v>
      </c>
      <c r="GS23" s="82">
        <f t="shared" si="63"/>
        <v>0</v>
      </c>
      <c r="GT23" s="82">
        <f t="shared" si="63"/>
        <v>0</v>
      </c>
      <c r="GU23" s="82">
        <f t="shared" si="63"/>
        <v>0</v>
      </c>
      <c r="GV23" s="82">
        <f t="shared" si="63"/>
        <v>0</v>
      </c>
      <c r="GW23" s="82">
        <f t="shared" si="63"/>
        <v>0</v>
      </c>
      <c r="GX23" s="82">
        <f t="shared" si="63"/>
        <v>0</v>
      </c>
      <c r="GY23" s="82">
        <f t="shared" si="63"/>
        <v>0</v>
      </c>
      <c r="GZ23" s="82">
        <f t="shared" si="63"/>
        <v>0</v>
      </c>
      <c r="HA23" s="82">
        <f t="shared" si="63"/>
        <v>0</v>
      </c>
      <c r="HB23" s="82">
        <f t="shared" si="63"/>
        <v>0</v>
      </c>
      <c r="HC23" s="82">
        <f t="shared" si="63"/>
        <v>0</v>
      </c>
      <c r="HD23" s="82">
        <f t="shared" si="63"/>
        <v>0</v>
      </c>
      <c r="HE23" s="82">
        <f t="shared" si="63"/>
        <v>0</v>
      </c>
      <c r="HF23" s="82">
        <f t="shared" si="63"/>
        <v>0</v>
      </c>
      <c r="HG23" s="82">
        <f t="shared" si="63"/>
        <v>0</v>
      </c>
      <c r="HH23" s="82">
        <f t="shared" si="63"/>
        <v>0</v>
      </c>
      <c r="HI23" s="82">
        <f t="shared" si="63"/>
        <v>0</v>
      </c>
      <c r="HJ23" s="82">
        <f t="shared" si="63"/>
        <v>0</v>
      </c>
      <c r="HK23" s="82">
        <f t="shared" si="63"/>
        <v>0</v>
      </c>
      <c r="HL23" s="82">
        <f t="shared" si="63"/>
        <v>0</v>
      </c>
      <c r="HM23" s="82">
        <f t="shared" si="63"/>
        <v>0</v>
      </c>
      <c r="HN23" s="82">
        <f t="shared" si="63"/>
        <v>0</v>
      </c>
      <c r="HO23" s="82">
        <f t="shared" si="63"/>
        <v>0</v>
      </c>
      <c r="HP23" s="82">
        <f t="shared" si="63"/>
        <v>0</v>
      </c>
      <c r="HQ23" s="82">
        <f t="shared" si="63"/>
        <v>0</v>
      </c>
      <c r="HR23" s="82">
        <f t="shared" si="63"/>
        <v>0</v>
      </c>
      <c r="HS23" s="82">
        <f t="shared" si="63"/>
        <v>0</v>
      </c>
      <c r="HT23" s="82">
        <f t="shared" si="63"/>
        <v>0</v>
      </c>
      <c r="HU23" s="82">
        <f t="shared" si="63"/>
        <v>0</v>
      </c>
      <c r="HV23" s="82">
        <f t="shared" si="63"/>
        <v>0</v>
      </c>
      <c r="HW23" s="82">
        <f t="shared" si="63"/>
        <v>0</v>
      </c>
      <c r="HX23" s="82">
        <f t="shared" si="63"/>
        <v>0</v>
      </c>
      <c r="HY23" s="82">
        <f t="shared" si="63"/>
        <v>0</v>
      </c>
      <c r="HZ23" s="82">
        <f t="shared" si="63"/>
        <v>0</v>
      </c>
      <c r="IA23" s="82">
        <f t="shared" si="63"/>
        <v>0</v>
      </c>
      <c r="IB23" s="82">
        <f t="shared" si="63"/>
        <v>0</v>
      </c>
      <c r="IC23" s="82">
        <f t="shared" si="63"/>
        <v>0</v>
      </c>
      <c r="ID23" s="82">
        <f t="shared" si="63"/>
        <v>0</v>
      </c>
      <c r="IE23" s="82">
        <f t="shared" si="63"/>
        <v>0</v>
      </c>
      <c r="IF23" s="82">
        <f t="shared" si="63"/>
        <v>0</v>
      </c>
      <c r="IG23" s="82">
        <f t="shared" si="63"/>
        <v>0</v>
      </c>
      <c r="IH23" s="82">
        <f t="shared" si="63"/>
        <v>0</v>
      </c>
      <c r="II23" s="82">
        <f t="shared" si="63"/>
        <v>0</v>
      </c>
      <c r="IJ23" s="82">
        <f t="shared" si="63"/>
        <v>0</v>
      </c>
      <c r="IK23" s="82">
        <f t="shared" si="63"/>
        <v>0</v>
      </c>
      <c r="IL23" s="82">
        <f t="shared" si="63"/>
        <v>0</v>
      </c>
      <c r="IM23" s="82">
        <f t="shared" si="63"/>
        <v>0</v>
      </c>
      <c r="IN23" s="82">
        <f t="shared" si="63"/>
        <v>0</v>
      </c>
      <c r="IO23" s="82">
        <f t="shared" si="63"/>
        <v>0</v>
      </c>
      <c r="IP23" s="82">
        <f t="shared" si="63"/>
        <v>0</v>
      </c>
      <c r="IQ23" s="82">
        <f t="shared" si="63"/>
        <v>0</v>
      </c>
      <c r="IR23" s="82">
        <f t="shared" si="63"/>
        <v>0</v>
      </c>
      <c r="IS23" s="82">
        <f t="shared" si="63"/>
        <v>0</v>
      </c>
      <c r="IT23" s="82">
        <f t="shared" si="63"/>
        <v>0</v>
      </c>
      <c r="IU23" s="82">
        <f t="shared" si="63"/>
        <v>0</v>
      </c>
      <c r="IV23" s="82">
        <f t="shared" si="63"/>
        <v>0</v>
      </c>
      <c r="IW23" s="82">
        <f t="shared" si="63"/>
        <v>0</v>
      </c>
      <c r="IX23" s="82">
        <f t="shared" si="63"/>
        <v>0</v>
      </c>
      <c r="IY23" s="82">
        <f t="shared" si="63"/>
        <v>0</v>
      </c>
      <c r="IZ23" s="82">
        <f t="shared" si="63"/>
        <v>0</v>
      </c>
      <c r="JA23" s="82">
        <f t="shared" si="63"/>
        <v>0</v>
      </c>
      <c r="JB23" s="82">
        <f t="shared" si="63"/>
        <v>0</v>
      </c>
      <c r="JC23" s="82">
        <f t="shared" ref="JC23:KW23" si="64">SUM(JC20:JC22)</f>
        <v>0</v>
      </c>
      <c r="JD23" s="82">
        <f t="shared" si="64"/>
        <v>0</v>
      </c>
      <c r="JE23" s="82">
        <f t="shared" si="64"/>
        <v>0</v>
      </c>
      <c r="JF23" s="82">
        <f t="shared" si="64"/>
        <v>0</v>
      </c>
      <c r="JG23" s="82">
        <f t="shared" si="64"/>
        <v>0</v>
      </c>
      <c r="JH23" s="82">
        <f t="shared" si="64"/>
        <v>0</v>
      </c>
      <c r="JI23" s="82">
        <f t="shared" si="64"/>
        <v>0</v>
      </c>
      <c r="JJ23" s="82">
        <f t="shared" si="64"/>
        <v>0</v>
      </c>
      <c r="JK23" s="82">
        <f t="shared" si="64"/>
        <v>0</v>
      </c>
      <c r="JL23" s="82">
        <f t="shared" si="64"/>
        <v>0</v>
      </c>
      <c r="JM23" s="82">
        <f t="shared" si="64"/>
        <v>0</v>
      </c>
      <c r="JN23" s="82">
        <f t="shared" si="64"/>
        <v>0</v>
      </c>
      <c r="JO23" s="82">
        <f t="shared" si="64"/>
        <v>0</v>
      </c>
      <c r="JP23" s="82">
        <f t="shared" si="64"/>
        <v>0</v>
      </c>
      <c r="JQ23" s="82">
        <f t="shared" si="64"/>
        <v>0</v>
      </c>
      <c r="JR23" s="82">
        <f t="shared" si="64"/>
        <v>0</v>
      </c>
      <c r="JS23" s="82">
        <f t="shared" si="64"/>
        <v>0</v>
      </c>
      <c r="JT23" s="82">
        <f t="shared" si="64"/>
        <v>0</v>
      </c>
      <c r="JU23" s="82">
        <f t="shared" si="64"/>
        <v>0</v>
      </c>
      <c r="JV23" s="82">
        <f t="shared" si="64"/>
        <v>0</v>
      </c>
      <c r="JW23" s="82">
        <f t="shared" si="64"/>
        <v>0</v>
      </c>
      <c r="JX23" s="82">
        <f t="shared" si="64"/>
        <v>0</v>
      </c>
      <c r="JY23" s="82">
        <f t="shared" si="64"/>
        <v>0</v>
      </c>
      <c r="JZ23" s="82">
        <f t="shared" si="64"/>
        <v>0</v>
      </c>
      <c r="KA23" s="82">
        <f t="shared" si="64"/>
        <v>0</v>
      </c>
      <c r="KB23" s="82">
        <f t="shared" si="64"/>
        <v>0</v>
      </c>
      <c r="KC23" s="82">
        <f t="shared" si="64"/>
        <v>0</v>
      </c>
      <c r="KD23" s="82">
        <f t="shared" si="64"/>
        <v>0</v>
      </c>
      <c r="KE23" s="82">
        <f t="shared" si="64"/>
        <v>0</v>
      </c>
      <c r="KF23" s="82">
        <f t="shared" si="64"/>
        <v>0</v>
      </c>
      <c r="KG23" s="82">
        <f t="shared" si="64"/>
        <v>0</v>
      </c>
      <c r="KH23" s="82">
        <f t="shared" si="64"/>
        <v>0</v>
      </c>
      <c r="KI23" s="82">
        <f t="shared" si="64"/>
        <v>0</v>
      </c>
      <c r="KJ23" s="82">
        <f t="shared" si="64"/>
        <v>0</v>
      </c>
      <c r="KK23" s="82">
        <f t="shared" si="64"/>
        <v>0</v>
      </c>
      <c r="KL23" s="82">
        <f t="shared" si="64"/>
        <v>0</v>
      </c>
      <c r="KM23" s="82">
        <f t="shared" si="64"/>
        <v>0</v>
      </c>
      <c r="KN23" s="82">
        <f t="shared" si="64"/>
        <v>0</v>
      </c>
      <c r="KO23" s="82">
        <f t="shared" si="64"/>
        <v>0</v>
      </c>
      <c r="KP23" s="82">
        <f t="shared" si="64"/>
        <v>0</v>
      </c>
      <c r="KQ23" s="82">
        <f t="shared" si="64"/>
        <v>0</v>
      </c>
      <c r="KR23" s="82">
        <f t="shared" si="64"/>
        <v>0</v>
      </c>
      <c r="KS23" s="82">
        <f t="shared" si="64"/>
        <v>0</v>
      </c>
      <c r="KT23" s="82">
        <f t="shared" si="64"/>
        <v>0</v>
      </c>
      <c r="KU23" s="82">
        <f t="shared" si="64"/>
        <v>0</v>
      </c>
      <c r="KV23" s="82">
        <f t="shared" si="64"/>
        <v>0</v>
      </c>
      <c r="KW23" s="82">
        <f t="shared" si="64"/>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35917-E0D7-6C4C-87CE-2FC149EBDB40}">
  <dimension ref="B2:KW16"/>
  <sheetViews>
    <sheetView showGridLines="0" zoomScale="115" workbookViewId="0"/>
  </sheetViews>
  <sheetFormatPr baseColWidth="10" defaultColWidth="8.83203125" defaultRowHeight="15" x14ac:dyDescent="0.2"/>
  <cols>
    <col min="1" max="1" width="2.5" customWidth="1"/>
    <col min="2" max="2" width="27.33203125" bestFit="1" customWidth="1"/>
    <col min="7" max="7" width="16" bestFit="1" customWidth="1"/>
    <col min="8" max="309" width="12.83203125" customWidth="1"/>
  </cols>
  <sheetData>
    <row r="2" spans="2:309" x14ac:dyDescent="0.2">
      <c r="B2" s="3" t="s">
        <v>75</v>
      </c>
      <c r="C2" s="3"/>
      <c r="D2" s="3"/>
      <c r="E2" s="3"/>
      <c r="F2" s="3"/>
      <c r="G2" s="9">
        <v>2012</v>
      </c>
      <c r="H2" s="9">
        <f t="shared" ref="H2:AC2" si="0">G2+1</f>
        <v>2013</v>
      </c>
      <c r="I2" s="9">
        <f t="shared" si="0"/>
        <v>2014</v>
      </c>
      <c r="J2" s="9">
        <f t="shared" si="0"/>
        <v>2015</v>
      </c>
      <c r="K2" s="9">
        <f t="shared" si="0"/>
        <v>2016</v>
      </c>
      <c r="L2" s="9">
        <f t="shared" si="0"/>
        <v>2017</v>
      </c>
      <c r="M2" s="9">
        <f t="shared" si="0"/>
        <v>2018</v>
      </c>
      <c r="N2" s="9">
        <f t="shared" si="0"/>
        <v>2019</v>
      </c>
      <c r="O2" s="9">
        <f t="shared" si="0"/>
        <v>2020</v>
      </c>
      <c r="P2" s="9">
        <f t="shared" si="0"/>
        <v>2021</v>
      </c>
      <c r="Q2" s="9">
        <f t="shared" si="0"/>
        <v>2022</v>
      </c>
      <c r="R2" s="9">
        <f t="shared" si="0"/>
        <v>2023</v>
      </c>
      <c r="S2" s="9">
        <f t="shared" si="0"/>
        <v>2024</v>
      </c>
      <c r="T2" s="9">
        <f t="shared" si="0"/>
        <v>2025</v>
      </c>
      <c r="U2" s="9">
        <f t="shared" si="0"/>
        <v>2026</v>
      </c>
      <c r="V2" s="9">
        <f t="shared" si="0"/>
        <v>2027</v>
      </c>
      <c r="W2" s="9">
        <f t="shared" si="0"/>
        <v>2028</v>
      </c>
      <c r="X2" s="9">
        <f t="shared" si="0"/>
        <v>2029</v>
      </c>
      <c r="Y2" s="9">
        <f t="shared" si="0"/>
        <v>2030</v>
      </c>
      <c r="Z2" s="9">
        <f t="shared" si="0"/>
        <v>2031</v>
      </c>
      <c r="AA2" s="9">
        <f t="shared" si="0"/>
        <v>2032</v>
      </c>
      <c r="AB2" s="9">
        <f t="shared" si="0"/>
        <v>2033</v>
      </c>
      <c r="AC2" s="9">
        <f t="shared" si="0"/>
        <v>2034</v>
      </c>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c r="IW2" s="4"/>
      <c r="IX2" s="4"/>
      <c r="IY2" s="4"/>
      <c r="IZ2" s="4"/>
      <c r="JA2" s="4"/>
      <c r="JB2" s="4"/>
      <c r="JC2" s="4"/>
      <c r="JD2" s="4"/>
      <c r="JE2" s="4"/>
      <c r="JF2" s="4"/>
      <c r="JG2" s="4"/>
      <c r="JH2" s="4"/>
      <c r="JI2" s="4"/>
      <c r="JJ2" s="4"/>
      <c r="JK2" s="4"/>
      <c r="JL2" s="4"/>
      <c r="JM2" s="4"/>
      <c r="JN2" s="4"/>
      <c r="JO2" s="4"/>
      <c r="JP2" s="4"/>
      <c r="JQ2" s="4"/>
      <c r="JR2" s="4"/>
      <c r="JS2" s="4"/>
      <c r="JT2" s="4"/>
      <c r="JU2" s="4"/>
      <c r="JV2" s="4"/>
      <c r="JW2" s="4"/>
      <c r="JX2" s="4"/>
      <c r="JY2" s="4"/>
      <c r="JZ2" s="4"/>
      <c r="KA2" s="4"/>
      <c r="KB2" s="4"/>
      <c r="KC2" s="4"/>
      <c r="KD2" s="4"/>
      <c r="KE2" s="4"/>
      <c r="KF2" s="4"/>
      <c r="KG2" s="4"/>
      <c r="KH2" s="4"/>
      <c r="KI2" s="4"/>
      <c r="KJ2" s="4"/>
      <c r="KK2" s="4"/>
      <c r="KL2" s="4"/>
      <c r="KM2" s="4"/>
      <c r="KN2" s="4"/>
      <c r="KO2" s="4"/>
      <c r="KP2" s="4"/>
      <c r="KQ2" s="4"/>
      <c r="KR2" s="4"/>
      <c r="KS2" s="4"/>
      <c r="KT2" s="4"/>
      <c r="KU2" s="4"/>
      <c r="KV2" s="4"/>
      <c r="KW2" s="4"/>
    </row>
    <row r="3" spans="2:309" x14ac:dyDescent="0.2">
      <c r="G3" t="s">
        <v>83</v>
      </c>
      <c r="I3" t="s">
        <v>84</v>
      </c>
      <c r="S3" s="158" t="s">
        <v>95</v>
      </c>
    </row>
    <row r="4" spans="2:309" x14ac:dyDescent="0.2">
      <c r="S4" s="158"/>
    </row>
    <row r="5" spans="2:309" x14ac:dyDescent="0.2">
      <c r="B5" t="s">
        <v>72</v>
      </c>
      <c r="C5" s="10">
        <v>0.03</v>
      </c>
      <c r="G5">
        <v>1</v>
      </c>
      <c r="H5" s="5">
        <f t="shared" ref="H5:AB5" si="1">G5*(1+$C$5)</f>
        <v>1.03</v>
      </c>
      <c r="I5" s="5">
        <f t="shared" si="1"/>
        <v>1.0609</v>
      </c>
      <c r="J5" s="5">
        <f t="shared" si="1"/>
        <v>1.092727</v>
      </c>
      <c r="K5" s="5">
        <f t="shared" si="1"/>
        <v>1.1255088100000001</v>
      </c>
      <c r="L5" s="5">
        <f t="shared" si="1"/>
        <v>1.1592740743000001</v>
      </c>
      <c r="M5" s="5">
        <f t="shared" si="1"/>
        <v>1.1940522965290001</v>
      </c>
      <c r="N5" s="5">
        <f t="shared" si="1"/>
        <v>1.2298738654248702</v>
      </c>
      <c r="O5" s="5">
        <f t="shared" si="1"/>
        <v>1.2667700813876164</v>
      </c>
      <c r="P5" s="5">
        <f t="shared" si="1"/>
        <v>1.3047731838292449</v>
      </c>
      <c r="Q5" s="5">
        <f t="shared" si="1"/>
        <v>1.3439163793441222</v>
      </c>
      <c r="R5" s="5">
        <f t="shared" si="1"/>
        <v>1.3842338707244459</v>
      </c>
      <c r="S5" s="5">
        <f t="shared" si="1"/>
        <v>1.4257608868461793</v>
      </c>
      <c r="T5" s="5">
        <f t="shared" si="1"/>
        <v>1.4685337134515648</v>
      </c>
      <c r="U5" s="5">
        <f t="shared" si="1"/>
        <v>1.5125897248551119</v>
      </c>
      <c r="V5" s="5">
        <f t="shared" si="1"/>
        <v>1.5579674166007653</v>
      </c>
      <c r="W5" s="5">
        <f t="shared" si="1"/>
        <v>1.6047064390987884</v>
      </c>
      <c r="X5" s="5">
        <f t="shared" si="1"/>
        <v>1.652847632271752</v>
      </c>
      <c r="Y5" s="5">
        <f t="shared" si="1"/>
        <v>1.7024330612399046</v>
      </c>
      <c r="Z5" s="5">
        <f t="shared" si="1"/>
        <v>1.7535060530771018</v>
      </c>
      <c r="AA5" s="5">
        <f t="shared" si="1"/>
        <v>1.806111234669415</v>
      </c>
      <c r="AB5" s="5">
        <f t="shared" si="1"/>
        <v>1.8602945717094976</v>
      </c>
    </row>
    <row r="7" spans="2:309" x14ac:dyDescent="0.2">
      <c r="B7" t="s">
        <v>40</v>
      </c>
      <c r="G7" s="8">
        <v>428400</v>
      </c>
    </row>
    <row r="8" spans="2:309" x14ac:dyDescent="0.2">
      <c r="B8" t="s">
        <v>33</v>
      </c>
      <c r="F8" s="2"/>
      <c r="G8" s="8">
        <v>17550</v>
      </c>
    </row>
    <row r="9" spans="2:309" x14ac:dyDescent="0.2">
      <c r="B9" t="s">
        <v>37</v>
      </c>
      <c r="F9" s="2"/>
      <c r="G9" s="14">
        <f>SUM(G7:G8)</f>
        <v>445950</v>
      </c>
    </row>
    <row r="10" spans="2:309" x14ac:dyDescent="0.2">
      <c r="B10" t="s">
        <v>34</v>
      </c>
      <c r="G10" s="8">
        <f>'Assumptions and Key Inputs'!$C$8*-G9</f>
        <v>-8919</v>
      </c>
    </row>
    <row r="11" spans="2:309" x14ac:dyDescent="0.2">
      <c r="B11" t="s">
        <v>35</v>
      </c>
      <c r="G11" s="8">
        <f>G9*-'Assumptions and Key Inputs'!$C$9</f>
        <v>-4459.5</v>
      </c>
    </row>
    <row r="12" spans="2:309" x14ac:dyDescent="0.2">
      <c r="B12" t="s">
        <v>36</v>
      </c>
      <c r="G12" s="8">
        <f>SUM(G9:G11)</f>
        <v>432571.5</v>
      </c>
    </row>
    <row r="13" spans="2:309" x14ac:dyDescent="0.2">
      <c r="B13" t="s">
        <v>73</v>
      </c>
      <c r="G13" s="8">
        <v>-161387.96</v>
      </c>
    </row>
    <row r="14" spans="2:309" x14ac:dyDescent="0.2">
      <c r="B14" s="7" t="s">
        <v>68</v>
      </c>
      <c r="C14" s="7"/>
      <c r="D14" s="7"/>
      <c r="E14" s="7"/>
      <c r="F14" s="7"/>
      <c r="G14" s="7">
        <f>G12+G13</f>
        <v>271183.54000000004</v>
      </c>
      <c r="H14" s="7"/>
      <c r="I14" s="7">
        <f t="shared" ref="I14:S14" si="2">$G$14*I5</f>
        <v>287698.61758600001</v>
      </c>
      <c r="J14" s="7">
        <f t="shared" si="2"/>
        <v>296329.57611358003</v>
      </c>
      <c r="K14" s="7">
        <f t="shared" si="2"/>
        <v>305219.46339698747</v>
      </c>
      <c r="L14" s="7">
        <f t="shared" si="2"/>
        <v>314376.04729889706</v>
      </c>
      <c r="M14" s="7">
        <f t="shared" si="2"/>
        <v>323807.328717864</v>
      </c>
      <c r="N14" s="7">
        <f t="shared" si="2"/>
        <v>333521.54857939994</v>
      </c>
      <c r="O14" s="7">
        <f t="shared" si="2"/>
        <v>343527.19503678195</v>
      </c>
      <c r="P14" s="7">
        <f t="shared" si="2"/>
        <v>353833.01088788541</v>
      </c>
      <c r="Q14" s="7">
        <f t="shared" si="2"/>
        <v>364448.001214522</v>
      </c>
      <c r="R14" s="7">
        <f t="shared" si="2"/>
        <v>375381.44125095767</v>
      </c>
      <c r="S14" s="7">
        <f t="shared" si="2"/>
        <v>386642.88448848639</v>
      </c>
    </row>
    <row r="15" spans="2:309" x14ac:dyDescent="0.2">
      <c r="B15" t="s">
        <v>39</v>
      </c>
      <c r="C15" s="10">
        <v>0.2</v>
      </c>
      <c r="G15" s="1"/>
      <c r="I15" s="6">
        <f>I14*-0.2</f>
        <v>-57539.723517200007</v>
      </c>
      <c r="J15" s="6">
        <f t="shared" ref="J15:S15" si="3">J14*-0.2</f>
        <v>-59265.915222716008</v>
      </c>
      <c r="K15" s="6">
        <f t="shared" si="3"/>
        <v>-61043.892679397497</v>
      </c>
      <c r="L15" s="6">
        <f t="shared" si="3"/>
        <v>-62875.209459779413</v>
      </c>
      <c r="M15" s="6">
        <f t="shared" si="3"/>
        <v>-64761.4657435728</v>
      </c>
      <c r="N15" s="6">
        <f t="shared" si="3"/>
        <v>-66704.309715879994</v>
      </c>
      <c r="O15" s="6">
        <f t="shared" si="3"/>
        <v>-68705.439007356399</v>
      </c>
      <c r="P15" s="6">
        <f t="shared" si="3"/>
        <v>-70766.602177577079</v>
      </c>
      <c r="Q15" s="6">
        <f t="shared" si="3"/>
        <v>-72889.600242904402</v>
      </c>
      <c r="R15" s="6">
        <f t="shared" si="3"/>
        <v>-75076.28825019153</v>
      </c>
      <c r="S15" s="6">
        <f t="shared" si="3"/>
        <v>-77328.576897697276</v>
      </c>
    </row>
    <row r="16" spans="2:309" x14ac:dyDescent="0.2">
      <c r="B16" s="7" t="s">
        <v>86</v>
      </c>
      <c r="C16" s="12"/>
      <c r="D16" s="12"/>
      <c r="E16" s="12"/>
      <c r="F16" s="12"/>
      <c r="G16" s="13">
        <f>SUM(G14:G15)</f>
        <v>271183.54000000004</v>
      </c>
      <c r="H16" s="12"/>
      <c r="I16" s="7">
        <f>SUM(I14:I15)</f>
        <v>230158.8940688</v>
      </c>
      <c r="J16" s="7">
        <f t="shared" ref="J16:S16" si="4">SUM(J14:J15)</f>
        <v>237063.66089086403</v>
      </c>
      <c r="K16" s="7">
        <f t="shared" si="4"/>
        <v>244175.57071758999</v>
      </c>
      <c r="L16" s="7">
        <f t="shared" si="4"/>
        <v>251500.83783911765</v>
      </c>
      <c r="M16" s="7">
        <f t="shared" si="4"/>
        <v>259045.8629742912</v>
      </c>
      <c r="N16" s="7">
        <f t="shared" si="4"/>
        <v>266817.23886351997</v>
      </c>
      <c r="O16" s="7">
        <f t="shared" si="4"/>
        <v>274821.75602942554</v>
      </c>
      <c r="P16" s="7">
        <f t="shared" si="4"/>
        <v>283066.40871030831</v>
      </c>
      <c r="Q16" s="7">
        <f t="shared" si="4"/>
        <v>291558.40097161761</v>
      </c>
      <c r="R16" s="7">
        <f t="shared" si="4"/>
        <v>300305.15300076612</v>
      </c>
      <c r="S16" s="7">
        <f t="shared" si="4"/>
        <v>309314.3075907891</v>
      </c>
    </row>
  </sheetData>
  <mergeCells count="1">
    <mergeCell ref="S3:S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Introduction</vt:lpstr>
      <vt:lpstr>Assumptions and Key Inputs</vt:lpstr>
      <vt:lpstr>1. Madison Analysis</vt:lpstr>
      <vt:lpstr>2. Feasibility Test</vt:lpstr>
      <vt:lpstr>3. Yield on Cost</vt:lpstr>
      <vt:lpstr>4. Pro Forma NPV</vt:lpstr>
      <vt:lpstr>Supporting Documents --&gt;</vt:lpstr>
      <vt:lpstr>Construction Loan</vt:lpstr>
      <vt:lpstr>NOI at Completion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Katuwal, Shaira</dc:creator>
  <cp:keywords/>
  <dc:description/>
  <cp:lastModifiedBy>Katuwal, Shaira</cp:lastModifiedBy>
  <cp:revision/>
  <dcterms:created xsi:type="dcterms:W3CDTF">2025-12-06T00:01:42Z</dcterms:created>
  <dcterms:modified xsi:type="dcterms:W3CDTF">2026-05-30T21:02:31Z</dcterms:modified>
  <cp:category/>
  <cp:contentStatus/>
</cp:coreProperties>
</file>