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https://indiana-my.sharepoint.com/personal/skatuwal_iu_edu/Documents/IU Kelley/Fall 2025/Real Estate Investments/"/>
    </mc:Choice>
  </mc:AlternateContent>
  <xr:revisionPtr revIDLastSave="144" documentId="8_{F78BCBE6-5827-4647-9925-9258BCCFA4C5}" xr6:coauthVersionLast="47" xr6:coauthVersionMax="47" xr10:uidLastSave="{E12BEF19-9F4D-EA4B-8AC1-087B2C911CAD}"/>
  <bookViews>
    <workbookView xWindow="0" yWindow="660" windowWidth="29400" windowHeight="18460" activeTab="2" xr2:uid="{CB0705E9-5D85-B34A-8342-467D4277EE0E}"/>
  </bookViews>
  <sheets>
    <sheet name="Multifamily Investment Decision" sheetId="1" r:id="rId1"/>
    <sheet name="Commercial RE Development" sheetId="2" r:id="rId2"/>
    <sheet name="Appraisal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3" l="1"/>
  <c r="H45" i="3"/>
  <c r="I45" i="3"/>
  <c r="G47" i="3"/>
  <c r="H47" i="3"/>
  <c r="I47" i="3"/>
  <c r="I49" i="3" s="1"/>
  <c r="I51" i="3" s="1"/>
  <c r="I53" i="3" s="1"/>
  <c r="I55" i="3" s="1"/>
  <c r="I57" i="3" s="1"/>
  <c r="I59" i="3" s="1"/>
  <c r="I61" i="3" s="1"/>
  <c r="I63" i="3" s="1"/>
  <c r="I65" i="3" s="1"/>
  <c r="I66" i="3" s="1"/>
  <c r="H48" i="3"/>
  <c r="I48" i="3"/>
  <c r="G49" i="3"/>
  <c r="G51" i="3" s="1"/>
  <c r="G53" i="3" s="1"/>
  <c r="G55" i="3" s="1"/>
  <c r="G57" i="3" s="1"/>
  <c r="G59" i="3" s="1"/>
  <c r="G61" i="3" s="1"/>
  <c r="G63" i="3" s="1"/>
  <c r="G65" i="3" s="1"/>
  <c r="G66" i="3" s="1"/>
  <c r="H49" i="3"/>
  <c r="H51" i="3" s="1"/>
  <c r="H53" i="3" s="1"/>
  <c r="H55" i="3" s="1"/>
  <c r="H57" i="3" s="1"/>
  <c r="H59" i="3" s="1"/>
  <c r="H61" i="3" s="1"/>
  <c r="H63" i="3" s="1"/>
  <c r="H65" i="3" s="1"/>
  <c r="H66" i="3" s="1"/>
  <c r="G50" i="3"/>
  <c r="H50" i="3"/>
  <c r="I50" i="3"/>
  <c r="G52" i="3"/>
  <c r="H52" i="3"/>
  <c r="I52" i="3"/>
  <c r="G54" i="3"/>
  <c r="H54" i="3"/>
  <c r="I54" i="3"/>
  <c r="I56" i="3"/>
  <c r="G58" i="3"/>
  <c r="I60" i="3"/>
  <c r="G62" i="3"/>
  <c r="H62" i="3"/>
  <c r="I62" i="3"/>
  <c r="H64" i="3"/>
  <c r="I64" i="3"/>
  <c r="F82" i="3"/>
  <c r="F83" i="3"/>
  <c r="F85" i="3"/>
  <c r="F88" i="3" s="1"/>
  <c r="F90" i="3" s="1"/>
  <c r="F86" i="3"/>
  <c r="F87" i="3"/>
  <c r="E121" i="3"/>
  <c r="E122" i="3"/>
  <c r="E123" i="3"/>
  <c r="E124" i="3"/>
  <c r="E125" i="3"/>
  <c r="E126" i="3"/>
  <c r="C51" i="2" l="1"/>
  <c r="C57" i="2"/>
  <c r="E63" i="2"/>
  <c r="C70" i="2" s="1"/>
  <c r="E64" i="2"/>
  <c r="C74" i="2" s="1"/>
  <c r="C93" i="2"/>
  <c r="D95" i="2"/>
  <c r="C96" i="2" s="1"/>
  <c r="E95" i="2"/>
  <c r="C121" i="2"/>
  <c r="D121" i="2"/>
  <c r="E121" i="2"/>
  <c r="F121" i="2"/>
  <c r="G121" i="2"/>
  <c r="C122" i="2"/>
  <c r="D122" i="2"/>
  <c r="E122" i="2" s="1"/>
  <c r="C126" i="2"/>
  <c r="C124" i="2" l="1"/>
  <c r="E70" i="2"/>
  <c r="G70" i="2" s="1"/>
  <c r="F70" i="2"/>
  <c r="C71" i="2"/>
  <c r="E124" i="2"/>
  <c r="F122" i="2"/>
  <c r="G122" i="2" s="1"/>
  <c r="G124" i="2" s="1"/>
  <c r="D124" i="2"/>
  <c r="C127" i="2"/>
  <c r="C75" i="2"/>
  <c r="L40" i="1"/>
  <c r="M27" i="1"/>
  <c r="L75" i="1" s="1"/>
  <c r="N25" i="1"/>
  <c r="O25" i="1" s="1"/>
  <c r="N24" i="1"/>
  <c r="O24" i="1" s="1"/>
  <c r="P24" i="1" s="1"/>
  <c r="Q24" i="1" s="1"/>
  <c r="Q33" i="1" s="1"/>
  <c r="M17" i="1"/>
  <c r="M16" i="1"/>
  <c r="L46" i="1" s="1"/>
  <c r="C72" i="2" l="1"/>
  <c r="C73" i="2" s="1"/>
  <c r="D71" i="2"/>
  <c r="F71" i="2" s="1"/>
  <c r="F124" i="2"/>
  <c r="C76" i="2"/>
  <c r="N27" i="1"/>
  <c r="N28" i="1" s="1"/>
  <c r="M19" i="1"/>
  <c r="L56" i="1" s="1"/>
  <c r="P25" i="1"/>
  <c r="O27" i="1"/>
  <c r="Q34" i="1"/>
  <c r="Q36" i="1" s="1"/>
  <c r="L47" i="1"/>
  <c r="N30" i="1"/>
  <c r="N38" i="1" s="1"/>
  <c r="M28" i="1"/>
  <c r="M30" i="1" s="1"/>
  <c r="L73" i="1" s="1"/>
  <c r="G71" i="2" l="1"/>
  <c r="E71" i="2"/>
  <c r="D72" i="2" s="1"/>
  <c r="F72" i="2"/>
  <c r="C77" i="2"/>
  <c r="L48" i="1"/>
  <c r="L51" i="1"/>
  <c r="L57" i="1"/>
  <c r="L67" i="1" s="1"/>
  <c r="L70" i="1" s="1"/>
  <c r="N40" i="1"/>
  <c r="O28" i="1"/>
  <c r="O30" i="1" s="1"/>
  <c r="O38" i="1" s="1"/>
  <c r="Q25" i="1"/>
  <c r="Q27" i="1" s="1"/>
  <c r="P27" i="1"/>
  <c r="M38" i="1"/>
  <c r="N51" i="1"/>
  <c r="M51" i="1"/>
  <c r="O51" i="1"/>
  <c r="L59" i="1" s="1"/>
  <c r="M62" i="1"/>
  <c r="N62" i="1" s="1"/>
  <c r="C78" i="2" l="1"/>
  <c r="G72" i="2"/>
  <c r="E72" i="2"/>
  <c r="O62" i="1"/>
  <c r="P62" i="1" s="1"/>
  <c r="O53" i="1"/>
  <c r="O54" i="1" s="1"/>
  <c r="L76" i="1"/>
  <c r="O63" i="1"/>
  <c r="O64" i="1" s="1"/>
  <c r="O40" i="1"/>
  <c r="P28" i="1"/>
  <c r="P30" i="1" s="1"/>
  <c r="N63" i="1"/>
  <c r="N64" i="1" s="1"/>
  <c r="M40" i="1"/>
  <c r="M63" i="1"/>
  <c r="L74" i="1" s="1"/>
  <c r="Q28" i="1"/>
  <c r="Q30" i="1" s="1"/>
  <c r="D73" i="2" l="1"/>
  <c r="C79" i="2"/>
  <c r="P63" i="1"/>
  <c r="P64" i="1" s="1"/>
  <c r="P65" i="1" s="1"/>
  <c r="P38" i="1"/>
  <c r="L43" i="1" s="1"/>
  <c r="M64" i="1"/>
  <c r="N65" i="1"/>
  <c r="N70" i="1"/>
  <c r="O65" i="1"/>
  <c r="O70" i="1"/>
  <c r="C80" i="2" l="1"/>
  <c r="F73" i="2"/>
  <c r="M65" i="1"/>
  <c r="M70" i="1"/>
  <c r="P40" i="1"/>
  <c r="L41" i="1" s="1"/>
  <c r="P70" i="1"/>
  <c r="G73" i="2" l="1"/>
  <c r="E73" i="2"/>
  <c r="C81" i="2"/>
  <c r="C82" i="2"/>
  <c r="L71" i="1"/>
  <c r="L66" i="1"/>
  <c r="L68" i="1" s="1"/>
  <c r="D74" i="2" l="1"/>
  <c r="F74" i="2" l="1"/>
  <c r="G74" i="2" l="1"/>
  <c r="E74" i="2"/>
  <c r="D75" i="2" l="1"/>
  <c r="F75" i="2" l="1"/>
  <c r="G75" i="2" l="1"/>
  <c r="E75" i="2"/>
  <c r="D76" i="2" l="1"/>
  <c r="F76" i="2" s="1"/>
  <c r="G76" i="2" s="1"/>
  <c r="E76" i="2" l="1"/>
  <c r="D77" i="2" l="1"/>
  <c r="F77" i="2" s="1"/>
  <c r="G77" i="2" s="1"/>
  <c r="E77" i="2" l="1"/>
  <c r="D78" i="2" l="1"/>
  <c r="F78" i="2" s="1"/>
  <c r="G78" i="2" s="1"/>
  <c r="E78" i="2" l="1"/>
  <c r="D79" i="2"/>
  <c r="F79" i="2" s="1"/>
  <c r="G79" i="2" s="1"/>
  <c r="E79" i="2" l="1"/>
  <c r="D80" i="2" l="1"/>
  <c r="F80" i="2" s="1"/>
  <c r="G80" i="2" s="1"/>
  <c r="E80" i="2" l="1"/>
  <c r="D81" i="2" l="1"/>
  <c r="F81" i="2" l="1"/>
  <c r="D82" i="2"/>
  <c r="G81" i="2" l="1"/>
  <c r="G82" i="2" s="1"/>
  <c r="F82" i="2"/>
  <c r="E8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Shaira Katuwal</author>
  </authors>
  <commentList>
    <comment ref="D71" authorId="0" shapeId="0" xr:uid="{A995CEF2-8F9D-4643-8A82-433BF0A46E15}">
      <text>
        <r>
          <rPr>
            <b/>
            <sz val="10"/>
            <color rgb="FF000000"/>
            <rFont val="Tahoma"/>
            <family val="2"/>
          </rPr>
          <t>Shaira Katuwal:</t>
        </r>
        <r>
          <rPr>
            <sz val="10"/>
            <color rgb="FF000000"/>
            <rFont val="Tahoma"/>
            <family val="2"/>
          </rPr>
          <t xml:space="preserve">
</t>
        </r>
        <r>
          <rPr>
            <sz val="10"/>
            <color rgb="FF000000"/>
            <rFont val="Tahoma"/>
            <family val="2"/>
          </rPr>
          <t xml:space="preserve">Bank gives you the 15579 included in the loan because at this time you have nothing to pay back, once received you pay the interest immidiately
</t>
        </r>
      </text>
    </comment>
  </commentList>
</comments>
</file>

<file path=xl/sharedStrings.xml><?xml version="1.0" encoding="utf-8"?>
<sst xmlns="http://schemas.openxmlformats.org/spreadsheetml/2006/main" count="290" uniqueCount="215">
  <si>
    <t>A Case Study of Multifamily Investment Decision with Annex Group</t>
  </si>
  <si>
    <t>Given</t>
  </si>
  <si>
    <t>Year 1</t>
  </si>
  <si>
    <t>Purchase Price</t>
  </si>
  <si>
    <t>PGI</t>
  </si>
  <si>
    <t>Growth on PGI</t>
  </si>
  <si>
    <t>VC</t>
  </si>
  <si>
    <t>Operating Expenses</t>
  </si>
  <si>
    <t>of EGI</t>
  </si>
  <si>
    <t>Growth on MV of Investment</t>
  </si>
  <si>
    <t>Selling Expense</t>
  </si>
  <si>
    <t>Holding Period</t>
  </si>
  <si>
    <t>4 years</t>
  </si>
  <si>
    <t>Unlevered Rate of Return</t>
  </si>
  <si>
    <t>Levered Rate of Return</t>
  </si>
  <si>
    <t>Borrow amount</t>
  </si>
  <si>
    <t>Borrow Term</t>
  </si>
  <si>
    <t>30 years</t>
  </si>
  <si>
    <t>Annual Interest Rate</t>
  </si>
  <si>
    <t>Financing Cost</t>
  </si>
  <si>
    <t>No repayment penalties</t>
  </si>
  <si>
    <t>EGI</t>
  </si>
  <si>
    <t>OE</t>
  </si>
  <si>
    <t>NOI</t>
  </si>
  <si>
    <t>Selling Price at year 5</t>
  </si>
  <si>
    <t>Selling expense</t>
  </si>
  <si>
    <t>Net Sale Proceeds</t>
  </si>
  <si>
    <t>Cash Flows</t>
  </si>
  <si>
    <t>PV of NOIs</t>
  </si>
  <si>
    <t>NPV</t>
  </si>
  <si>
    <t>IRR</t>
  </si>
  <si>
    <t>Loan amount</t>
  </si>
  <si>
    <t>Monthly payment</t>
  </si>
  <si>
    <t>Annual payment</t>
  </si>
  <si>
    <t>Years</t>
  </si>
  <si>
    <t>RMB</t>
  </si>
  <si>
    <t>Year 4 Reduction</t>
  </si>
  <si>
    <t>Year 4 Interest</t>
  </si>
  <si>
    <t>Financing cost</t>
  </si>
  <si>
    <t>Required Initial Equity</t>
  </si>
  <si>
    <t>Before tax equity reversion (BTER)</t>
  </si>
  <si>
    <t>Year</t>
  </si>
  <si>
    <t>Debt Service</t>
  </si>
  <si>
    <t>BTCF</t>
  </si>
  <si>
    <t>Total BTCF</t>
  </si>
  <si>
    <t>PV</t>
  </si>
  <si>
    <t>Total Inflows (PV)</t>
  </si>
  <si>
    <t>Total Outflows (Equity)</t>
  </si>
  <si>
    <t>Cap rate</t>
  </si>
  <si>
    <t>Equity dividend rate</t>
  </si>
  <si>
    <t>Gross Income Multiplier</t>
  </si>
  <si>
    <t>Debt Coverage Ratio</t>
  </si>
  <si>
    <t>Levered IRR model</t>
  </si>
  <si>
    <t>Unlevered IRR model</t>
  </si>
  <si>
    <t>Operating Expense Ratio</t>
  </si>
  <si>
    <t>Total expenses</t>
  </si>
  <si>
    <t>Other</t>
  </si>
  <si>
    <t>Insurance</t>
  </si>
  <si>
    <t>Utilities</t>
  </si>
  <si>
    <t>Common area maintenance</t>
  </si>
  <si>
    <t>Real estate taxes</t>
  </si>
  <si>
    <t>General and administrative</t>
  </si>
  <si>
    <t>Management and leasing fees</t>
  </si>
  <si>
    <t>Expenses:</t>
  </si>
  <si>
    <t>Expected gross income</t>
  </si>
  <si>
    <t>Less: Vacancy allowance</t>
  </si>
  <si>
    <t>Gross potential income</t>
  </si>
  <si>
    <t>Tenant reimbursements</t>
  </si>
  <si>
    <t>Overage (5% of gross sales)</t>
  </si>
  <si>
    <t>Minimum rent</t>
  </si>
  <si>
    <t>Income:</t>
  </si>
  <si>
    <t>Item</t>
  </si>
  <si>
    <t>Equity needed during construction year</t>
  </si>
  <si>
    <t>Equity needed</t>
  </si>
  <si>
    <t>year 3</t>
  </si>
  <si>
    <t>year 2</t>
  </si>
  <si>
    <t>year 1</t>
  </si>
  <si>
    <t>Yield to permanent lender</t>
  </si>
  <si>
    <t>3% permanent loan fee</t>
  </si>
  <si>
    <t>Debt service/year</t>
  </si>
  <si>
    <t>Debt service/month</t>
  </si>
  <si>
    <t>Interest rate</t>
  </si>
  <si>
    <t>Term of Loan</t>
  </si>
  <si>
    <t>Debt amortization</t>
  </si>
  <si>
    <t>Total Loan</t>
  </si>
  <si>
    <t>Actual Draw</t>
  </si>
  <si>
    <t>Draw</t>
  </si>
  <si>
    <t>Loan Balance</t>
  </si>
  <si>
    <t>Interest you pay</t>
  </si>
  <si>
    <t>Project Cost that bank gives you</t>
  </si>
  <si>
    <t>End of month</t>
  </si>
  <si>
    <t>huge default risk to the bank &gt;&gt; Negative Amortization</t>
  </si>
  <si>
    <t>Loan Fee</t>
  </si>
  <si>
    <t>monthly</t>
  </si>
  <si>
    <t>% draw last remaining months</t>
  </si>
  <si>
    <t>% draw first 4 months</t>
  </si>
  <si>
    <t>months</t>
  </si>
  <si>
    <t>Term</t>
  </si>
  <si>
    <t>Construction Loan</t>
  </si>
  <si>
    <t>Interest carry</t>
  </si>
  <si>
    <t>Soft Construction</t>
  </si>
  <si>
    <t>Hard Construction</t>
  </si>
  <si>
    <t>Site Improvement</t>
  </si>
  <si>
    <t>Equity needed = purchase price-loan amount+financing cost</t>
  </si>
  <si>
    <t xml:space="preserve"> Loan amount as % of total cost</t>
  </si>
  <si>
    <t>Site improvement + hard construction costs+soft costs+ interest carry</t>
  </si>
  <si>
    <t>A Case Study of Shopping Center Development</t>
  </si>
  <si>
    <t>Value</t>
  </si>
  <si>
    <t>Comparable 4</t>
  </si>
  <si>
    <t>Comparable 3</t>
  </si>
  <si>
    <t>Comparable 2</t>
  </si>
  <si>
    <t>Comparable 1</t>
  </si>
  <si>
    <t>Ro</t>
  </si>
  <si>
    <t>Sale Price</t>
  </si>
  <si>
    <t>30 years fixed-rate</t>
  </si>
  <si>
    <t>Mortgage</t>
  </si>
  <si>
    <t>Debt</t>
  </si>
  <si>
    <t>Equity</t>
  </si>
  <si>
    <t>Given,</t>
  </si>
  <si>
    <t>Vacancy and collection losses</t>
  </si>
  <si>
    <t>Rent/month per each</t>
  </si>
  <si>
    <t>Number of units</t>
  </si>
  <si>
    <t>  Mortgage payments</t>
  </si>
  <si>
    <t>  Tax depreciation</t>
  </si>
  <si>
    <t>  Management</t>
  </si>
  <si>
    <t>CAPx</t>
  </si>
  <si>
    <t>  Reserve for capital expenditures</t>
  </si>
  <si>
    <t>  Maintenance</t>
  </si>
  <si>
    <t>  Water</t>
  </si>
  <si>
    <t>MI</t>
  </si>
  <si>
    <t>  Janitor</t>
  </si>
  <si>
    <t>  Heat</t>
  </si>
  <si>
    <t>  Power</t>
  </si>
  <si>
    <t>Less: Operating &amp; capital expenses</t>
  </si>
  <si>
    <t>Rental income (last year)</t>
  </si>
  <si>
    <t>Final Price</t>
  </si>
  <si>
    <t>New Price</t>
  </si>
  <si>
    <t>Fence, pool</t>
  </si>
  <si>
    <t>Porch, patio, deck</t>
  </si>
  <si>
    <t>Garage space</t>
  </si>
  <si>
    <t>Half Baths</t>
  </si>
  <si>
    <t>Full Baths</t>
  </si>
  <si>
    <t>Living area</t>
  </si>
  <si>
    <t>Effective Age</t>
  </si>
  <si>
    <t>Site/lot size</t>
  </si>
  <si>
    <t>Location Premium</t>
  </si>
  <si>
    <t>Expenditure immed. after purchase</t>
  </si>
  <si>
    <t xml:space="preserve">Market Conditions </t>
  </si>
  <si>
    <t>Comp 3</t>
  </si>
  <si>
    <t>Comp 2</t>
  </si>
  <si>
    <t>Comp 1</t>
  </si>
  <si>
    <t>Subject</t>
  </si>
  <si>
    <t>Adjustments:</t>
  </si>
  <si>
    <t>for Kensington and Millhoper</t>
  </si>
  <si>
    <t>Market Premium</t>
  </si>
  <si>
    <t>per space</t>
  </si>
  <si>
    <t>Pation/deck</t>
  </si>
  <si>
    <t>Pool</t>
  </si>
  <si>
    <t>per car space</t>
  </si>
  <si>
    <t>Garage</t>
  </si>
  <si>
    <t>per each</t>
  </si>
  <si>
    <t>Bath</t>
  </si>
  <si>
    <t>Halfbath</t>
  </si>
  <si>
    <t>less per year</t>
  </si>
  <si>
    <t>Age</t>
  </si>
  <si>
    <t>per square foot</t>
  </si>
  <si>
    <t>Lot size</t>
  </si>
  <si>
    <t>per month</t>
  </si>
  <si>
    <t>Market Condition</t>
  </si>
  <si>
    <t>market research</t>
  </si>
  <si>
    <t>Home Price</t>
  </si>
  <si>
    <t>None </t>
  </si>
  <si>
    <t>Nonrealty components </t>
  </si>
  <si>
    <t>Same</t>
  </si>
  <si>
    <t>Same </t>
  </si>
  <si>
    <t>Single-family </t>
  </si>
  <si>
    <t>Use</t>
  </si>
  <si>
    <t>N.A.</t>
  </si>
  <si>
    <t>Economics characteristics</t>
  </si>
  <si>
    <t>Fence, pool, etc. </t>
  </si>
  <si>
    <t>Cov. Porch</t>
  </si>
  <si>
    <t>Cov. Porch/wood deck</t>
  </si>
  <si>
    <t>Garage Spaces for cars</t>
  </si>
  <si>
    <t>Number of half baths</t>
  </si>
  <si>
    <t>Number of full baths </t>
  </si>
  <si>
    <t>Effective age</t>
  </si>
  <si>
    <t>Average</t>
  </si>
  <si>
    <t>Condition</t>
  </si>
  <si>
    <t>Typical</t>
  </si>
  <si>
    <t>Construction quality</t>
  </si>
  <si>
    <t>Physical characteristics: </t>
  </si>
  <si>
    <t>Millhoper</t>
  </si>
  <si>
    <t>Kensington</t>
  </si>
  <si>
    <t>Huntington</t>
  </si>
  <si>
    <t>Huntington </t>
  </si>
  <si>
    <t>Location</t>
  </si>
  <si>
    <t>Property characteristics </t>
  </si>
  <si>
    <t>Market conditions increase</t>
  </si>
  <si>
    <t>Today </t>
  </si>
  <si>
    <t>Market conditions months</t>
  </si>
  <si>
    <t>None</t>
  </si>
  <si>
    <t>Expenditures immed. after purchase </t>
  </si>
  <si>
    <t>Arm's Length</t>
  </si>
  <si>
    <t>Conditions of sale</t>
  </si>
  <si>
    <t>Conventional</t>
  </si>
  <si>
    <t>Financing terms</t>
  </si>
  <si>
    <t>Fee Simple</t>
  </si>
  <si>
    <t>Property rights conveyed  </t>
  </si>
  <si>
    <t>Transaction characteristics </t>
  </si>
  <si>
    <t>Sale price of comparable </t>
  </si>
  <si>
    <t>Comp Sale 3 </t>
  </si>
  <si>
    <t>Comp Sale 2 </t>
  </si>
  <si>
    <t>Comp Sale 1 </t>
  </si>
  <si>
    <t>Subject </t>
  </si>
  <si>
    <t>Elements of Comparison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</si>
</sst>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5" formatCode="_(&quot;$&quot;* #,##0_);_(&quot;$&quot;* \(#,##0\);_(&quot;$&quot;* &quot;-&quot;??_);_(@_)"/>
  </numFmts>
  <fonts count="2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11"/>
      <color theme="1"/>
      <name val="Aptos Narrow"/>
      <scheme val="minor"/>
    </font>
    <font>
      <b/>
      <sz val="11"/>
      <color theme="0"/>
      <name val="Aptos Narrow"/>
      <scheme val="minor"/>
    </font>
    <font>
      <b/>
      <sz val="16"/>
      <color theme="0"/>
      <name val="Helvetica Neue"/>
      <family val="2"/>
    </font>
    <font>
      <sz val="11"/>
      <color theme="0"/>
      <name val="Aptos Narrow"/>
      <family val="2"/>
      <scheme val="minor"/>
    </font>
    <font>
      <sz val="11"/>
      <color rgb="FF273540"/>
      <name val="Helvetica Neue"/>
      <family val="2"/>
    </font>
    <font>
      <b/>
      <sz val="10"/>
      <color rgb="FF000000"/>
      <name val="Tahoma"/>
      <family val="2"/>
    </font>
    <font>
      <sz val="10"/>
      <color rgb="FF000000"/>
      <name val="Tahoma"/>
      <family val="2"/>
    </font>
    <font>
      <sz val="11"/>
      <color theme="1"/>
      <name val="Aptos Narrow"/>
      <scheme val="minor"/>
    </font>
    <font>
      <sz val="16"/>
      <color rgb="FF273540"/>
      <name val="Aptos Narrow"/>
      <scheme val="minor"/>
    </font>
    <font>
      <sz val="11"/>
      <color rgb="FF273540"/>
      <name val="Aptos Narrow"/>
      <scheme val="minor"/>
    </font>
    <font>
      <b/>
      <sz val="11"/>
      <color rgb="FF1F1F1F"/>
      <name val="Aptos Narrow"/>
      <scheme val="minor"/>
    </font>
    <font>
      <sz val="11"/>
      <color rgb="FF1F1F1F"/>
      <name val="Aptos Narrow"/>
      <scheme val="minor"/>
    </font>
    <font>
      <sz val="11"/>
      <color rgb="FF000000"/>
      <name val="Aptos Narrow"/>
      <family val="2"/>
      <scheme val="minor"/>
    </font>
    <font>
      <sz val="11"/>
      <color rgb="FF273540"/>
      <name val="Aptos Narrow"/>
      <family val="2"/>
      <scheme val="minor"/>
    </font>
    <font>
      <b/>
      <sz val="11"/>
      <color rgb="FF273540"/>
      <name val="Aptos Narrow"/>
      <family val="2"/>
      <scheme val="minor"/>
    </font>
  </fonts>
  <fills count="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4"/>
        <bgColor indexed="64"/>
      </patternFill>
    </fill>
    <fill>
      <patternFill patternType="solid">
        <fgColor theme="8" tint="0.59999389629810485"/>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top/>
      <bottom style="thin">
        <color indexed="64"/>
      </bottom>
      <diagonal/>
    </border>
    <border>
      <left/>
      <right style="thin">
        <color indexed="64"/>
      </right>
      <top style="thin">
        <color indexed="64"/>
      </top>
      <bottom style="double">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0" fontId="2" fillId="2" borderId="1" xfId="0" applyFont="1" applyFill="1" applyBorder="1"/>
    <xf numFmtId="0" fontId="2" fillId="2" borderId="1" xfId="0" applyFont="1" applyFill="1" applyBorder="1" applyAlignment="1">
      <alignment horizontal="right"/>
    </xf>
    <xf numFmtId="0" fontId="0" fillId="0" borderId="1" xfId="0" applyBorder="1"/>
    <xf numFmtId="0" fontId="0" fillId="0" borderId="1" xfId="0" applyBorder="1" applyAlignment="1">
      <alignment horizontal="right"/>
    </xf>
    <xf numFmtId="9" fontId="0" fillId="0" borderId="1" xfId="0" applyNumberFormat="1" applyBorder="1" applyAlignment="1">
      <alignment horizontal="right"/>
    </xf>
    <xf numFmtId="44" fontId="0" fillId="0" borderId="1" xfId="1" applyFont="1" applyBorder="1" applyAlignment="1">
      <alignment horizontal="right"/>
    </xf>
    <xf numFmtId="44" fontId="0" fillId="0" borderId="1" xfId="1" applyFont="1" applyBorder="1"/>
    <xf numFmtId="44" fontId="3" fillId="0" borderId="1" xfId="1" applyFont="1" applyBorder="1" applyAlignment="1">
      <alignment horizontal="right"/>
    </xf>
    <xf numFmtId="44" fontId="0" fillId="3" borderId="2" xfId="1" applyFont="1" applyFill="1" applyBorder="1" applyAlignment="1">
      <alignment horizontal="right"/>
    </xf>
    <xf numFmtId="0" fontId="0" fillId="0" borderId="0" xfId="0" applyAlignment="1">
      <alignment horizontal="right"/>
    </xf>
    <xf numFmtId="44" fontId="0" fillId="0" borderId="0" xfId="1" applyFont="1" applyAlignment="1">
      <alignment horizontal="right"/>
    </xf>
    <xf numFmtId="44" fontId="0" fillId="0" borderId="0" xfId="1" applyFont="1"/>
    <xf numFmtId="44" fontId="0" fillId="3" borderId="3" xfId="1" applyFont="1" applyFill="1" applyBorder="1"/>
    <xf numFmtId="44" fontId="0" fillId="0" borderId="1" xfId="0" applyNumberFormat="1" applyBorder="1" applyAlignment="1">
      <alignment horizontal="right"/>
    </xf>
    <xf numFmtId="44" fontId="0" fillId="3" borderId="3" xfId="1" applyFont="1" applyFill="1" applyBorder="1" applyAlignment="1">
      <alignment horizontal="right"/>
    </xf>
    <xf numFmtId="10" fontId="0" fillId="3" borderId="0" xfId="0" applyNumberFormat="1" applyFill="1" applyAlignment="1">
      <alignment horizontal="right"/>
    </xf>
    <xf numFmtId="0" fontId="0" fillId="0" borderId="1" xfId="0" applyBorder="1" applyAlignment="1">
      <alignment horizontal="left"/>
    </xf>
    <xf numFmtId="8" fontId="3" fillId="3" borderId="1" xfId="0" applyNumberFormat="1" applyFont="1" applyFill="1" applyBorder="1" applyAlignment="1">
      <alignment horizontal="right"/>
    </xf>
    <xf numFmtId="44" fontId="0" fillId="3" borderId="0" xfId="1" applyFont="1" applyFill="1" applyAlignment="1">
      <alignment horizontal="right"/>
    </xf>
    <xf numFmtId="44" fontId="0" fillId="0" borderId="0" xfId="0" applyNumberFormat="1" applyAlignment="1">
      <alignment horizontal="right"/>
    </xf>
    <xf numFmtId="8" fontId="0" fillId="0" borderId="0" xfId="0" applyNumberFormat="1"/>
    <xf numFmtId="44" fontId="0" fillId="0" borderId="0" xfId="0" applyNumberFormat="1"/>
    <xf numFmtId="44" fontId="0" fillId="3" borderId="3" xfId="0" applyNumberFormat="1" applyFill="1" applyBorder="1" applyAlignment="1">
      <alignment horizontal="right"/>
    </xf>
    <xf numFmtId="44" fontId="0" fillId="0" borderId="1" xfId="0" applyNumberFormat="1" applyBorder="1"/>
    <xf numFmtId="44" fontId="0" fillId="0" borderId="2" xfId="1" applyFont="1" applyFill="1" applyBorder="1" applyAlignment="1">
      <alignment horizontal="right"/>
    </xf>
    <xf numFmtId="0" fontId="0" fillId="0" borderId="0" xfId="0" applyAlignment="1">
      <alignment horizontal="left"/>
    </xf>
    <xf numFmtId="44" fontId="0" fillId="3" borderId="0" xfId="0" applyNumberFormat="1" applyFill="1" applyAlignment="1">
      <alignment horizontal="right"/>
    </xf>
    <xf numFmtId="10" fontId="0" fillId="0" borderId="0" xfId="0" applyNumberFormat="1" applyFill="1" applyAlignment="1">
      <alignment horizontal="right"/>
    </xf>
    <xf numFmtId="0" fontId="0" fillId="0" borderId="0" xfId="0" applyFill="1" applyAlignment="1">
      <alignment horizontal="right"/>
    </xf>
    <xf numFmtId="10" fontId="0" fillId="0" borderId="0" xfId="2" applyNumberFormat="1" applyFont="1" applyFill="1" applyAlignment="1">
      <alignment horizontal="right"/>
    </xf>
    <xf numFmtId="2" fontId="0" fillId="0" borderId="0" xfId="0" applyNumberFormat="1" applyFill="1" applyAlignment="1">
      <alignment horizontal="right"/>
    </xf>
    <xf numFmtId="44" fontId="0" fillId="0" borderId="0" xfId="0" applyNumberFormat="1" applyFill="1"/>
    <xf numFmtId="8" fontId="0" fillId="0" borderId="0" xfId="1" applyNumberFormat="1" applyFont="1" applyFill="1"/>
    <xf numFmtId="44" fontId="0" fillId="0" borderId="0" xfId="1" applyFont="1" applyFill="1"/>
    <xf numFmtId="0" fontId="5" fillId="0" borderId="0" xfId="0" applyFont="1"/>
    <xf numFmtId="0" fontId="6" fillId="2" borderId="0" xfId="0" applyFont="1" applyFill="1"/>
    <xf numFmtId="0" fontId="6" fillId="2" borderId="0" xfId="0" applyFont="1" applyFill="1" applyAlignment="1">
      <alignment horizontal="right"/>
    </xf>
    <xf numFmtId="0" fontId="0" fillId="0" borderId="0" xfId="0" applyBorder="1"/>
    <xf numFmtId="0" fontId="0" fillId="0" borderId="0" xfId="0" applyBorder="1" applyAlignment="1">
      <alignment horizontal="right"/>
    </xf>
    <xf numFmtId="44" fontId="0" fillId="0" borderId="0" xfId="1" applyFont="1" applyFill="1" applyBorder="1" applyAlignment="1">
      <alignment horizontal="right"/>
    </xf>
    <xf numFmtId="0" fontId="0" fillId="2" borderId="0" xfId="0" applyFill="1" applyAlignment="1">
      <alignment horizontal="right"/>
    </xf>
    <xf numFmtId="44" fontId="0" fillId="2" borderId="0" xfId="1" applyFont="1" applyFill="1" applyAlignment="1">
      <alignment horizontal="right"/>
    </xf>
    <xf numFmtId="44" fontId="0" fillId="2" borderId="0" xfId="1" applyFont="1" applyFill="1"/>
    <xf numFmtId="0" fontId="7" fillId="4" borderId="0" xfId="0" applyFont="1" applyFill="1"/>
    <xf numFmtId="0" fontId="8" fillId="4" borderId="0" xfId="0" applyFont="1" applyFill="1"/>
    <xf numFmtId="0" fontId="8" fillId="4" borderId="0" xfId="0" applyFont="1" applyFill="1" applyAlignment="1">
      <alignment horizontal="right"/>
    </xf>
    <xf numFmtId="0" fontId="7" fillId="0" borderId="0" xfId="0" applyFont="1" applyFill="1"/>
    <xf numFmtId="0" fontId="8" fillId="0" borderId="0" xfId="0" applyFont="1" applyFill="1"/>
    <xf numFmtId="0" fontId="8" fillId="0" borderId="0" xfId="0" applyFont="1" applyFill="1" applyAlignment="1">
      <alignment horizontal="right"/>
    </xf>
    <xf numFmtId="6" fontId="3" fillId="0" borderId="0" xfId="0" applyNumberFormat="1" applyFont="1"/>
    <xf numFmtId="0" fontId="2" fillId="2" borderId="0" xfId="0" applyFont="1" applyFill="1"/>
    <xf numFmtId="0" fontId="9" fillId="0" borderId="0" xfId="0" applyFont="1"/>
    <xf numFmtId="0" fontId="12" fillId="0" borderId="0" xfId="0" applyFont="1"/>
    <xf numFmtId="10" fontId="12" fillId="3" borderId="0" xfId="2" applyNumberFormat="1" applyFont="1" applyFill="1"/>
    <xf numFmtId="0" fontId="13" fillId="0" borderId="0" xfId="0" applyFont="1"/>
    <xf numFmtId="0" fontId="14" fillId="0" borderId="0" xfId="0" applyFont="1"/>
    <xf numFmtId="44" fontId="6" fillId="2" borderId="0" xfId="1" applyFont="1" applyFill="1"/>
    <xf numFmtId="44" fontId="12" fillId="0" borderId="0" xfId="1" applyFont="1"/>
    <xf numFmtId="0" fontId="12" fillId="0" borderId="0" xfId="1" applyNumberFormat="1" applyFont="1"/>
    <xf numFmtId="9" fontId="12" fillId="0" borderId="0" xfId="1" applyNumberFormat="1" applyFont="1"/>
    <xf numFmtId="44" fontId="12" fillId="0" borderId="0" xfId="0" applyNumberFormat="1" applyFont="1"/>
    <xf numFmtId="44" fontId="12" fillId="3" borderId="0" xfId="1" applyFont="1" applyFill="1"/>
    <xf numFmtId="44" fontId="12" fillId="0" borderId="3" xfId="1" applyFont="1" applyBorder="1"/>
    <xf numFmtId="9" fontId="12" fillId="0" borderId="0" xfId="0" applyNumberFormat="1" applyFont="1"/>
    <xf numFmtId="10" fontId="12" fillId="0" borderId="0" xfId="0" applyNumberFormat="1" applyFont="1"/>
    <xf numFmtId="8" fontId="12" fillId="0" borderId="0" xfId="0" applyNumberFormat="1" applyFont="1"/>
    <xf numFmtId="0" fontId="16" fillId="0" borderId="0" xfId="0" applyFont="1"/>
    <xf numFmtId="6" fontId="16" fillId="0" borderId="0" xfId="0" applyNumberFormat="1" applyFont="1"/>
    <xf numFmtId="3" fontId="16" fillId="0" borderId="0" xfId="0" applyNumberFormat="1" applyFont="1"/>
    <xf numFmtId="6" fontId="15" fillId="0" borderId="0" xfId="0" applyNumberFormat="1" applyFont="1"/>
    <xf numFmtId="6" fontId="5" fillId="0" borderId="0" xfId="0" applyNumberFormat="1" applyFont="1"/>
    <xf numFmtId="8" fontId="12" fillId="3" borderId="0" xfId="0" applyNumberFormat="1" applyFont="1" applyFill="1"/>
    <xf numFmtId="2" fontId="12" fillId="3" borderId="0" xfId="0" applyNumberFormat="1" applyFont="1" applyFill="1"/>
    <xf numFmtId="0" fontId="12" fillId="0" borderId="0" xfId="0" applyFont="1" applyBorder="1"/>
    <xf numFmtId="0" fontId="12" fillId="0" borderId="4" xfId="0" applyFont="1" applyBorder="1"/>
    <xf numFmtId="10" fontId="12" fillId="0" borderId="4" xfId="2" applyNumberFormat="1" applyFont="1" applyFill="1" applyBorder="1"/>
    <xf numFmtId="165" fontId="12" fillId="0" borderId="0" xfId="1" applyNumberFormat="1" applyFont="1" applyBorder="1"/>
    <xf numFmtId="165" fontId="12" fillId="0" borderId="4" xfId="1" applyNumberFormat="1" applyFont="1" applyBorder="1"/>
    <xf numFmtId="165" fontId="12" fillId="3" borderId="0" xfId="1" applyNumberFormat="1" applyFont="1" applyFill="1"/>
    <xf numFmtId="0" fontId="12" fillId="0" borderId="3" xfId="0" applyFont="1" applyBorder="1"/>
    <xf numFmtId="44" fontId="12" fillId="0" borderId="0" xfId="1" applyFont="1" applyFill="1"/>
    <xf numFmtId="44" fontId="12" fillId="0" borderId="0" xfId="0" applyNumberFormat="1" applyFont="1" applyFill="1"/>
    <xf numFmtId="44" fontId="12" fillId="0" borderId="3" xfId="1" applyFont="1" applyFill="1" applyBorder="1"/>
    <xf numFmtId="0" fontId="12" fillId="0" borderId="0" xfId="0" applyFont="1" applyFill="1"/>
    <xf numFmtId="0" fontId="15" fillId="0" borderId="3" xfId="0" applyFont="1" applyBorder="1"/>
    <xf numFmtId="0" fontId="15" fillId="0" borderId="5" xfId="0" applyFont="1" applyBorder="1"/>
    <xf numFmtId="0" fontId="15" fillId="0" borderId="6" xfId="0" applyFont="1" applyBorder="1"/>
    <xf numFmtId="0" fontId="16" fillId="0" borderId="6" xfId="0" applyFont="1" applyBorder="1"/>
    <xf numFmtId="0" fontId="12" fillId="0" borderId="6" xfId="0" applyFont="1" applyBorder="1"/>
    <xf numFmtId="6" fontId="5" fillId="0" borderId="0" xfId="0" applyNumberFormat="1" applyFont="1" applyFill="1"/>
    <xf numFmtId="8" fontId="12" fillId="0" borderId="0" xfId="0" applyNumberFormat="1" applyFont="1" applyFill="1"/>
    <xf numFmtId="165" fontId="0" fillId="5" borderId="7" xfId="0" applyNumberFormat="1" applyFill="1" applyBorder="1"/>
    <xf numFmtId="0" fontId="3" fillId="0" borderId="4" xfId="0" applyFont="1" applyBorder="1"/>
    <xf numFmtId="0" fontId="0" fillId="0" borderId="4" xfId="0" applyBorder="1" applyAlignment="1">
      <alignment horizontal="left"/>
    </xf>
    <xf numFmtId="0" fontId="0" fillId="0" borderId="8" xfId="0" applyBorder="1"/>
    <xf numFmtId="10" fontId="0" fillId="5" borderId="9" xfId="0" applyNumberFormat="1" applyFill="1" applyBorder="1"/>
    <xf numFmtId="0" fontId="0" fillId="0" borderId="10" xfId="0" applyBorder="1"/>
    <xf numFmtId="0" fontId="0" fillId="0" borderId="10" xfId="0" applyBorder="1" applyAlignment="1">
      <alignment horizontal="left"/>
    </xf>
    <xf numFmtId="0" fontId="0" fillId="0" borderId="11" xfId="0" applyBorder="1"/>
    <xf numFmtId="10" fontId="0" fillId="0" borderId="12" xfId="2" applyNumberFormat="1" applyFont="1" applyBorder="1"/>
    <xf numFmtId="0" fontId="0" fillId="0" borderId="12" xfId="0" applyBorder="1"/>
    <xf numFmtId="0" fontId="0" fillId="0" borderId="12" xfId="0" applyBorder="1" applyAlignment="1">
      <alignment horizontal="left"/>
    </xf>
    <xf numFmtId="0" fontId="17" fillId="0" borderId="12" xfId="0" applyFont="1" applyBorder="1"/>
    <xf numFmtId="10" fontId="0" fillId="0" borderId="1" xfId="2" applyNumberFormat="1" applyFont="1" applyBorder="1"/>
    <xf numFmtId="0" fontId="17" fillId="0" borderId="1" xfId="0" applyFont="1" applyBorder="1"/>
    <xf numFmtId="0" fontId="2" fillId="2" borderId="1" xfId="0" applyFont="1" applyFill="1" applyBorder="1" applyAlignment="1">
      <alignment horizontal="left"/>
    </xf>
    <xf numFmtId="9" fontId="0" fillId="0" borderId="1" xfId="0" applyNumberFormat="1" applyBorder="1" applyAlignment="1">
      <alignment horizontal="left"/>
    </xf>
    <xf numFmtId="165" fontId="0" fillId="0" borderId="1" xfId="0" applyNumberFormat="1" applyBorder="1" applyAlignment="1">
      <alignment horizontal="left"/>
    </xf>
    <xf numFmtId="0" fontId="8" fillId="2" borderId="0" xfId="0" applyFont="1" applyFill="1" applyAlignment="1">
      <alignment horizontal="left"/>
    </xf>
    <xf numFmtId="0" fontId="8" fillId="2" borderId="0" xfId="0" applyFont="1" applyFill="1"/>
    <xf numFmtId="0" fontId="0" fillId="2" borderId="0" xfId="0" applyFill="1"/>
    <xf numFmtId="0" fontId="0" fillId="2" borderId="0" xfId="0" applyFill="1" applyAlignment="1">
      <alignment horizontal="left"/>
    </xf>
    <xf numFmtId="9" fontId="0" fillId="0" borderId="1" xfId="0" applyNumberFormat="1" applyBorder="1"/>
    <xf numFmtId="0" fontId="9" fillId="0" borderId="1" xfId="0" applyFont="1" applyBorder="1"/>
    <xf numFmtId="165" fontId="9" fillId="0" borderId="1" xfId="1" applyNumberFormat="1" applyFont="1" applyBorder="1" applyAlignment="1">
      <alignment horizontal="left"/>
    </xf>
    <xf numFmtId="3" fontId="9" fillId="0" borderId="1" xfId="0" applyNumberFormat="1" applyFont="1" applyBorder="1" applyAlignment="1">
      <alignment horizontal="left"/>
    </xf>
    <xf numFmtId="165" fontId="0" fillId="5" borderId="1" xfId="0" applyNumberFormat="1" applyFill="1" applyBorder="1"/>
    <xf numFmtId="165" fontId="0" fillId="0" borderId="1" xfId="0" applyNumberFormat="1" applyBorder="1"/>
    <xf numFmtId="165" fontId="9" fillId="0" borderId="1" xfId="0" applyNumberFormat="1" applyFont="1" applyBorder="1" applyAlignment="1">
      <alignment horizontal="left"/>
    </xf>
    <xf numFmtId="44" fontId="3" fillId="0" borderId="0" xfId="0" applyNumberFormat="1" applyFont="1"/>
    <xf numFmtId="44" fontId="3" fillId="2" borderId="0" xfId="0" applyNumberFormat="1" applyFont="1" applyFill="1"/>
    <xf numFmtId="6" fontId="3" fillId="5" borderId="1" xfId="0" applyNumberFormat="1" applyFont="1" applyFill="1" applyBorder="1"/>
    <xf numFmtId="0" fontId="3" fillId="5" borderId="1" xfId="0" applyFont="1" applyFill="1" applyBorder="1"/>
    <xf numFmtId="6" fontId="0" fillId="6" borderId="1" xfId="0" applyNumberFormat="1" applyFill="1" applyBorder="1"/>
    <xf numFmtId="0" fontId="0" fillId="6" borderId="1" xfId="0" applyFill="1" applyBorder="1"/>
    <xf numFmtId="6" fontId="0" fillId="0" borderId="1" xfId="0" applyNumberFormat="1" applyBorder="1"/>
    <xf numFmtId="3" fontId="18" fillId="0" borderId="1" xfId="0" applyNumberFormat="1" applyFont="1" applyBorder="1"/>
    <xf numFmtId="0" fontId="18" fillId="0" borderId="1" xfId="0" applyFont="1" applyBorder="1"/>
    <xf numFmtId="0" fontId="18" fillId="6" borderId="1" xfId="0" applyFont="1" applyFill="1" applyBorder="1"/>
    <xf numFmtId="6" fontId="0" fillId="0" borderId="1" xfId="1" applyNumberFormat="1" applyFont="1" applyBorder="1"/>
    <xf numFmtId="0" fontId="2" fillId="2" borderId="4" xfId="0" applyFont="1" applyFill="1" applyBorder="1"/>
    <xf numFmtId="9" fontId="0" fillId="3" borderId="1" xfId="0" applyNumberFormat="1" applyFill="1" applyBorder="1" applyAlignment="1">
      <alignment horizontal="left"/>
    </xf>
    <xf numFmtId="0" fontId="18" fillId="0" borderId="0" xfId="0" applyFont="1" applyAlignment="1">
      <alignment horizontal="left"/>
    </xf>
    <xf numFmtId="0" fontId="0" fillId="3" borderId="1" xfId="0" applyFill="1" applyBorder="1" applyAlignment="1">
      <alignment horizontal="left"/>
    </xf>
    <xf numFmtId="3" fontId="0" fillId="3" borderId="1" xfId="0" applyNumberFormat="1" applyFill="1" applyBorder="1" applyAlignment="1">
      <alignment horizontal="left"/>
    </xf>
    <xf numFmtId="10" fontId="0" fillId="3" borderId="1" xfId="0" applyNumberFormat="1" applyFill="1" applyBorder="1" applyAlignment="1">
      <alignment horizontal="left"/>
    </xf>
    <xf numFmtId="0" fontId="8" fillId="2" borderId="1" xfId="0" applyFont="1" applyFill="1" applyBorder="1" applyAlignment="1">
      <alignment horizontal="left"/>
    </xf>
    <xf numFmtId="0" fontId="8" fillId="2" borderId="1" xfId="0" applyFont="1" applyFill="1" applyBorder="1"/>
    <xf numFmtId="0" fontId="18" fillId="0" borderId="0" xfId="0" applyFont="1"/>
    <xf numFmtId="0" fontId="18" fillId="0" borderId="1" xfId="0" applyFont="1" applyBorder="1" applyAlignment="1">
      <alignment horizontal="left"/>
    </xf>
    <xf numFmtId="3" fontId="18" fillId="0" borderId="1" xfId="0" applyNumberFormat="1" applyFont="1" applyBorder="1" applyAlignment="1">
      <alignment horizontal="left"/>
    </xf>
    <xf numFmtId="0" fontId="19" fillId="0" borderId="1" xfId="0" applyFont="1" applyBorder="1"/>
    <xf numFmtId="9" fontId="18" fillId="0" borderId="1" xfId="0" applyNumberFormat="1" applyFont="1" applyBorder="1" applyAlignment="1">
      <alignment horizontal="left"/>
    </xf>
    <xf numFmtId="6" fontId="18" fillId="0" borderId="1" xfId="0" applyNumberFormat="1" applyFont="1" applyBorder="1" applyAlignment="1">
      <alignment horizontal="left"/>
    </xf>
    <xf numFmtId="0" fontId="2" fillId="2" borderId="4" xfId="0" applyFont="1" applyFill="1" applyBorder="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20320</xdr:colOff>
      <xdr:row>2</xdr:row>
      <xdr:rowOff>25400</xdr:rowOff>
    </xdr:from>
    <xdr:to>
      <xdr:col>8</xdr:col>
      <xdr:colOff>477520</xdr:colOff>
      <xdr:row>37</xdr:row>
      <xdr:rowOff>142240</xdr:rowOff>
    </xdr:to>
    <xdr:sp macro="" textlink="">
      <xdr:nvSpPr>
        <xdr:cNvPr id="2" name="TextBox 1">
          <a:extLst>
            <a:ext uri="{FF2B5EF4-FFF2-40B4-BE49-F238E27FC236}">
              <a16:creationId xmlns:a16="http://schemas.microsoft.com/office/drawing/2014/main" id="{F8A026B6-C778-404B-BB45-06E10D12632C}"/>
            </a:ext>
          </a:extLst>
        </xdr:cNvPr>
        <xdr:cNvSpPr txBox="1"/>
      </xdr:nvSpPr>
      <xdr:spPr>
        <a:xfrm>
          <a:off x="416560" y="533400"/>
          <a:ext cx="6217920" cy="691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a:solidFill>
                <a:schemeClr val="dk1"/>
              </a:solidFill>
              <a:effectLst/>
              <a:latin typeface="+mn-lt"/>
              <a:ea typeface="+mn-ea"/>
              <a:cs typeface="+mn-cs"/>
            </a:rPr>
            <a:t>Led by Chief Executive Officer, Kyle Bach, The Annex Group, LLC (Annex) is a fast-growing Indianapolis based company focused on both market rate student housing properties that are leased primarily to students and affordable housing apartments located in college towns that are leased primarily to non-students.  In 2018 Annex was listed as the 7</a:t>
          </a:r>
          <a:r>
            <a:rPr lang="en-US" sz="1200" b="0" i="0" baseline="30000">
              <a:solidFill>
                <a:schemeClr val="dk1"/>
              </a:solidFill>
              <a:effectLst/>
              <a:latin typeface="+mn-lt"/>
              <a:ea typeface="+mn-ea"/>
              <a:cs typeface="+mn-cs"/>
            </a:rPr>
            <a:t>th</a:t>
          </a:r>
          <a:r>
            <a:rPr lang="en-US" sz="1200" b="0" i="0">
              <a:solidFill>
                <a:schemeClr val="dk1"/>
              </a:solidFill>
              <a:effectLst/>
              <a:latin typeface="+mn-lt"/>
              <a:ea typeface="+mn-ea"/>
              <a:cs typeface="+mn-cs"/>
            </a:rPr>
            <a:t> fastest growing private company in central Indiana by the Indianapolis Business Journal.</a:t>
          </a:r>
        </a:p>
        <a:p>
          <a:r>
            <a:rPr lang="en-US" sz="1200" b="0" i="0">
              <a:solidFill>
                <a:schemeClr val="dk1"/>
              </a:solidFill>
              <a:effectLst/>
              <a:latin typeface="+mn-lt"/>
              <a:ea typeface="+mn-ea"/>
              <a:cs typeface="+mn-cs"/>
            </a:rPr>
            <a:t>Like many fast-growing companies in capital intensive industries like real estate, The Annex Group sometimes considers joint ventures to help fund its projects.  One such project is the Annex on 10</a:t>
          </a:r>
          <a:r>
            <a:rPr lang="en-US" sz="1200" b="0" i="0" baseline="30000">
              <a:solidFill>
                <a:schemeClr val="dk1"/>
              </a:solidFill>
              <a:effectLst/>
              <a:latin typeface="+mn-lt"/>
              <a:ea typeface="+mn-ea"/>
              <a:cs typeface="+mn-cs"/>
            </a:rPr>
            <a:t>th</a:t>
          </a:r>
          <a:r>
            <a:rPr lang="en-US" sz="1200" b="0" i="0">
              <a:solidFill>
                <a:schemeClr val="dk1"/>
              </a:solidFill>
              <a:effectLst/>
              <a:latin typeface="+mn-lt"/>
              <a:ea typeface="+mn-ea"/>
              <a:cs typeface="+mn-cs"/>
            </a:rPr>
            <a:t> development near the IUPUI campus in Indianapolis, Indiana.  Hageman Group was the joint venture equity partner for the initial development of the Annex on 10</a:t>
          </a:r>
          <a:r>
            <a:rPr lang="en-US" sz="1200" b="0" i="0" baseline="30000">
              <a:solidFill>
                <a:schemeClr val="dk1"/>
              </a:solidFill>
              <a:effectLst/>
              <a:latin typeface="+mn-lt"/>
              <a:ea typeface="+mn-ea"/>
              <a:cs typeface="+mn-cs"/>
            </a:rPr>
            <a:t>th</a:t>
          </a:r>
          <a:r>
            <a:rPr lang="en-US" sz="1200" b="0" i="0">
              <a:solidFill>
                <a:schemeClr val="dk1"/>
              </a:solidFill>
              <a:effectLst/>
              <a:latin typeface="+mn-lt"/>
              <a:ea typeface="+mn-ea"/>
              <a:cs typeface="+mn-cs"/>
            </a:rPr>
            <a:t> project.</a:t>
          </a:r>
        </a:p>
        <a:p>
          <a:r>
            <a:rPr lang="en-US" sz="1200" b="0" i="0">
              <a:solidFill>
                <a:schemeClr val="dk1"/>
              </a:solidFill>
              <a:effectLst/>
              <a:latin typeface="+mn-lt"/>
              <a:ea typeface="+mn-ea"/>
              <a:cs typeface="+mn-cs"/>
            </a:rPr>
            <a:t>Annex on 10th development is an apartment complex. The following details are collected for feasibility analysis:</a:t>
          </a:r>
          <a:br>
            <a:rPr lang="en-US" sz="1200" b="0" i="0">
              <a:solidFill>
                <a:schemeClr val="dk1"/>
              </a:solidFill>
              <a:effectLst/>
              <a:latin typeface="+mn-lt"/>
              <a:ea typeface="+mn-ea"/>
              <a:cs typeface="+mn-cs"/>
            </a:rPr>
          </a:br>
          <a:endParaRPr lang="en-US" sz="1200" b="0" i="0">
            <a:solidFill>
              <a:schemeClr val="dk1"/>
            </a:solidFill>
            <a:effectLst/>
            <a:latin typeface="+mn-lt"/>
            <a:ea typeface="+mn-ea"/>
            <a:cs typeface="+mn-cs"/>
          </a:endParaRPr>
        </a:p>
        <a:p>
          <a:r>
            <a:rPr lang="en-US" sz="1200" b="0" i="0">
              <a:solidFill>
                <a:schemeClr val="dk1"/>
              </a:solidFill>
              <a:effectLst/>
              <a:latin typeface="+mn-lt"/>
              <a:ea typeface="+mn-ea"/>
              <a:cs typeface="+mn-cs"/>
            </a:rPr>
            <a:t>The purchase price is $1,000,000.</a:t>
          </a:r>
        </a:p>
        <a:p>
          <a:r>
            <a:rPr lang="en-US" sz="1200" b="0" i="0">
              <a:solidFill>
                <a:schemeClr val="dk1"/>
              </a:solidFill>
              <a:effectLst/>
              <a:latin typeface="+mn-lt"/>
              <a:ea typeface="+mn-ea"/>
              <a:cs typeface="+mn-cs"/>
            </a:rPr>
            <a:t>Potential gross income (PGI) for the first year of operations is projected to be $171,000.</a:t>
          </a:r>
        </a:p>
        <a:p>
          <a:r>
            <a:rPr lang="en-US" sz="1200" b="0" i="0">
              <a:solidFill>
                <a:schemeClr val="dk1"/>
              </a:solidFill>
              <a:effectLst/>
              <a:latin typeface="+mn-lt"/>
              <a:ea typeface="+mn-ea"/>
              <a:cs typeface="+mn-cs"/>
            </a:rPr>
            <a:t>PGI is expected to increase at 4 percent per year.</a:t>
          </a:r>
        </a:p>
        <a:p>
          <a:r>
            <a:rPr lang="en-US" sz="1200" b="0" i="0">
              <a:solidFill>
                <a:schemeClr val="dk1"/>
              </a:solidFill>
              <a:effectLst/>
              <a:latin typeface="+mn-lt"/>
              <a:ea typeface="+mn-ea"/>
              <a:cs typeface="+mn-cs"/>
            </a:rPr>
            <a:t>No vacancies are expected.</a:t>
          </a:r>
        </a:p>
        <a:p>
          <a:r>
            <a:rPr lang="en-US" sz="1200" b="0" i="0">
              <a:solidFill>
                <a:schemeClr val="dk1"/>
              </a:solidFill>
              <a:effectLst/>
              <a:latin typeface="+mn-lt"/>
              <a:ea typeface="+mn-ea"/>
              <a:cs typeface="+mn-cs"/>
            </a:rPr>
            <a:t>Operating expenses are estimated at 35 percent of effective gross income. Ignore capital expenditures.</a:t>
          </a:r>
        </a:p>
        <a:p>
          <a:r>
            <a:rPr lang="en-US" sz="1200" b="0" i="0">
              <a:solidFill>
                <a:schemeClr val="dk1"/>
              </a:solidFill>
              <a:effectLst/>
              <a:latin typeface="+mn-lt"/>
              <a:ea typeface="+mn-ea"/>
              <a:cs typeface="+mn-cs"/>
            </a:rPr>
            <a:t>The market value of the investment is expected to increase 4 percent per year.</a:t>
          </a:r>
        </a:p>
        <a:p>
          <a:r>
            <a:rPr lang="en-US" sz="1200" b="0" i="0">
              <a:solidFill>
                <a:schemeClr val="dk1"/>
              </a:solidFill>
              <a:effectLst/>
              <a:latin typeface="+mn-lt"/>
              <a:ea typeface="+mn-ea"/>
              <a:cs typeface="+mn-cs"/>
            </a:rPr>
            <a:t>Selling expenses will be 4 percent.</a:t>
          </a:r>
        </a:p>
        <a:p>
          <a:r>
            <a:rPr lang="en-US" sz="1200" b="0" i="0">
              <a:solidFill>
                <a:schemeClr val="dk1"/>
              </a:solidFill>
              <a:effectLst/>
              <a:latin typeface="+mn-lt"/>
              <a:ea typeface="+mn-ea"/>
              <a:cs typeface="+mn-cs"/>
            </a:rPr>
            <a:t>The holding period is 4 years.</a:t>
          </a:r>
        </a:p>
        <a:p>
          <a:r>
            <a:rPr lang="en-US" sz="1200" b="0" i="0">
              <a:solidFill>
                <a:schemeClr val="dk1"/>
              </a:solidFill>
              <a:effectLst/>
              <a:latin typeface="+mn-lt"/>
              <a:ea typeface="+mn-ea"/>
              <a:cs typeface="+mn-cs"/>
            </a:rPr>
            <a:t>The appropriate unlevered rate of return to discount projected NOIs and the projected NSP is 12 percent.</a:t>
          </a:r>
        </a:p>
        <a:p>
          <a:r>
            <a:rPr lang="en-US" sz="1200" b="0" i="0">
              <a:solidFill>
                <a:schemeClr val="dk1"/>
              </a:solidFill>
              <a:effectLst/>
              <a:latin typeface="+mn-lt"/>
              <a:ea typeface="+mn-ea"/>
              <a:cs typeface="+mn-cs"/>
            </a:rPr>
            <a:t>The required levered rate of return is 14 percent.</a:t>
          </a:r>
        </a:p>
        <a:p>
          <a:r>
            <a:rPr lang="en-US" sz="1200" b="0" i="0">
              <a:solidFill>
                <a:schemeClr val="dk1"/>
              </a:solidFill>
              <a:effectLst/>
              <a:latin typeface="+mn-lt"/>
              <a:ea typeface="+mn-ea"/>
              <a:cs typeface="+mn-cs"/>
            </a:rPr>
            <a:t>70 percent of the acquisition price can be borrowed with a 30-year, monthly payment mortgage.</a:t>
          </a:r>
        </a:p>
        <a:p>
          <a:r>
            <a:rPr lang="en-US" sz="1200" b="0" i="0">
              <a:solidFill>
                <a:schemeClr val="dk1"/>
              </a:solidFill>
              <a:effectLst/>
              <a:latin typeface="+mn-lt"/>
              <a:ea typeface="+mn-ea"/>
              <a:cs typeface="+mn-cs"/>
            </a:rPr>
            <a:t>The annual interest rate on the mortgage will be 8.0 percent.</a:t>
          </a:r>
        </a:p>
        <a:p>
          <a:r>
            <a:rPr lang="en-US" sz="1200" b="0" i="0">
              <a:solidFill>
                <a:schemeClr val="dk1"/>
              </a:solidFill>
              <a:effectLst/>
              <a:latin typeface="+mn-lt"/>
              <a:ea typeface="+mn-ea"/>
              <a:cs typeface="+mn-cs"/>
            </a:rPr>
            <a:t>Financing costs will equal 2 percent of the loan amount.</a:t>
          </a:r>
        </a:p>
        <a:p>
          <a:r>
            <a:rPr lang="en-US" sz="1200" b="0" i="0">
              <a:solidFill>
                <a:schemeClr val="dk1"/>
              </a:solidFill>
              <a:effectLst/>
              <a:latin typeface="+mn-lt"/>
              <a:ea typeface="+mn-ea"/>
              <a:cs typeface="+mn-cs"/>
            </a:rPr>
            <a:t>There are no prepayment penalties.</a:t>
          </a:r>
        </a:p>
        <a:p>
          <a:r>
            <a:rPr lang="en-US" sz="1200" b="0" i="0">
              <a:solidFill>
                <a:schemeClr val="dk1"/>
              </a:solidFill>
              <a:effectLst/>
              <a:latin typeface="+mn-lt"/>
              <a:ea typeface="+mn-ea"/>
              <a:cs typeface="+mn-cs"/>
            </a:rPr>
            <a:t> </a:t>
          </a:r>
        </a:p>
        <a:p>
          <a:r>
            <a:rPr lang="en-US" sz="1200" b="0" i="0">
              <a:solidFill>
                <a:schemeClr val="dk1"/>
              </a:solidFill>
              <a:effectLst/>
              <a:latin typeface="+mn-lt"/>
              <a:ea typeface="+mn-ea"/>
              <a:cs typeface="+mn-cs"/>
            </a:rPr>
            <a:t>Can you help Annex Group to provide a detailed pro-forma DCF analysis for this project?</a:t>
          </a:r>
        </a:p>
        <a:p>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88900</xdr:colOff>
      <xdr:row>2</xdr:row>
      <xdr:rowOff>0</xdr:rowOff>
    </xdr:from>
    <xdr:to>
      <xdr:col>7</xdr:col>
      <xdr:colOff>736600</xdr:colOff>
      <xdr:row>14</xdr:row>
      <xdr:rowOff>177800</xdr:rowOff>
    </xdr:to>
    <xdr:sp macro="" textlink="">
      <xdr:nvSpPr>
        <xdr:cNvPr id="2" name="TextBox 1">
          <a:extLst>
            <a:ext uri="{FF2B5EF4-FFF2-40B4-BE49-F238E27FC236}">
              <a16:creationId xmlns:a16="http://schemas.microsoft.com/office/drawing/2014/main" id="{23254351-7763-AC4C-B030-492412F5728E}"/>
            </a:ext>
          </a:extLst>
        </xdr:cNvPr>
        <xdr:cNvSpPr txBox="1"/>
      </xdr:nvSpPr>
      <xdr:spPr>
        <a:xfrm>
          <a:off x="711200" y="190500"/>
          <a:ext cx="11137900" cy="246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Southfork Development Co. Southfork plans to develop, and then own and operate, Rolling Meadows for a long period of time. Rolling Meadows Center is a high-quality shopping center development located in an upper-income neighborhood.</a:t>
          </a:r>
        </a:p>
        <a:p>
          <a:r>
            <a:rPr lang="en-US" sz="1100" b="0" i="0">
              <a:solidFill>
                <a:schemeClr val="dk1"/>
              </a:solidFill>
              <a:effectLst/>
              <a:latin typeface="+mn-lt"/>
              <a:ea typeface="+mn-ea"/>
              <a:cs typeface="+mn-cs"/>
            </a:rPr>
            <a:t>It plans to use both interim and permanent financing and has approached the Citadel Life Insurance Company to provide permanent financing. If Southfork planned to sell the shopping center after completion and lease-up, it might have elected to pursue a mini-perm loan. In either case, much of the underwriting analysis and contingencies that follow would be applicable.</a:t>
          </a:r>
        </a:p>
        <a:p>
          <a:r>
            <a:rPr lang="en-US" sz="1100" b="0" i="0">
              <a:solidFill>
                <a:schemeClr val="dk1"/>
              </a:solidFill>
              <a:effectLst/>
              <a:latin typeface="+mn-lt"/>
              <a:ea typeface="+mn-ea"/>
              <a:cs typeface="+mn-cs"/>
            </a:rPr>
            <a:t>Table 1 below contains a breakdown of site size, floor-to-area ratio, parking, and anticipated construction and permanent financing. It also provides percentage breakdowns for building coverage, parking, and open space.</a:t>
          </a:r>
        </a:p>
        <a:p>
          <a:endParaRPr lang="en-US" sz="1100"/>
        </a:p>
        <a:p>
          <a:r>
            <a:rPr lang="en-US" sz="1100" b="0" i="0">
              <a:solidFill>
                <a:schemeClr val="dk1"/>
              </a:solidFill>
              <a:effectLst/>
              <a:latin typeface="+mn-lt"/>
              <a:ea typeface="+mn-ea"/>
              <a:cs typeface="+mn-cs"/>
            </a:rPr>
            <a:t>The lender will review the percentage breakdowns to ascertain whether the density of the project development on the site is too high and whether parking is adequate. The lender will pay particular attention to the site plan and ease of traffic circulation on the site. Citadel will have access to comparative data for this project from previous project financing files and from industry statistics.</a:t>
          </a:r>
        </a:p>
        <a:p>
          <a:r>
            <a:rPr lang="en-US" sz="1100" b="0" i="0">
              <a:solidFill>
                <a:schemeClr val="dk1"/>
              </a:solidFill>
              <a:effectLst/>
              <a:latin typeface="+mn-lt"/>
              <a:ea typeface="+mn-ea"/>
              <a:cs typeface="+mn-cs"/>
            </a:rPr>
            <a:t>Table 2 below breaks down development costs into land acquisition costs, off-site costs, hard costs, and soft costs. These costs are also broken down as a percentage of total cost and cost per square foot of gross building area (GBA)</a:t>
          </a:r>
        </a:p>
      </xdr:txBody>
    </xdr:sp>
    <xdr:clientData/>
  </xdr:twoCellAnchor>
  <xdr:oneCellAnchor>
    <xdr:from>
      <xdr:col>1</xdr:col>
      <xdr:colOff>139700</xdr:colOff>
      <xdr:row>16</xdr:row>
      <xdr:rowOff>25400</xdr:rowOff>
    </xdr:from>
    <xdr:ext cx="6499145" cy="5575300"/>
    <xdr:pic>
      <xdr:nvPicPr>
        <xdr:cNvPr id="3" name="Picture 2">
          <a:extLst>
            <a:ext uri="{FF2B5EF4-FFF2-40B4-BE49-F238E27FC236}">
              <a16:creationId xmlns:a16="http://schemas.microsoft.com/office/drawing/2014/main" id="{79E702A2-9B2B-8C45-8F2D-91911AA069A5}"/>
            </a:ext>
          </a:extLst>
        </xdr:cNvPr>
        <xdr:cNvPicPr>
          <a:picLocks noChangeAspect="1"/>
        </xdr:cNvPicPr>
      </xdr:nvPicPr>
      <xdr:blipFill>
        <a:blip xmlns:r="http://schemas.openxmlformats.org/officeDocument/2006/relationships" r:embed="rId1"/>
        <a:stretch>
          <a:fillRect/>
        </a:stretch>
      </xdr:blipFill>
      <xdr:spPr>
        <a:xfrm>
          <a:off x="139700" y="2882900"/>
          <a:ext cx="6499145" cy="5575300"/>
        </a:xfrm>
        <a:prstGeom prst="rect">
          <a:avLst/>
        </a:prstGeom>
      </xdr:spPr>
    </xdr:pic>
    <xdr:clientData/>
  </xdr:oneCellAnchor>
  <xdr:oneCellAnchor>
    <xdr:from>
      <xdr:col>4</xdr:col>
      <xdr:colOff>215900</xdr:colOff>
      <xdr:row>16</xdr:row>
      <xdr:rowOff>38100</xdr:rowOff>
    </xdr:from>
    <xdr:ext cx="4592612" cy="6705600"/>
    <xdr:pic>
      <xdr:nvPicPr>
        <xdr:cNvPr id="4" name="Picture 3">
          <a:extLst>
            <a:ext uri="{FF2B5EF4-FFF2-40B4-BE49-F238E27FC236}">
              <a16:creationId xmlns:a16="http://schemas.microsoft.com/office/drawing/2014/main" id="{CD35E1E2-D01B-044B-86A4-AFFCD3489A5E}"/>
            </a:ext>
          </a:extLst>
        </xdr:cNvPr>
        <xdr:cNvPicPr>
          <a:picLocks noChangeAspect="1"/>
        </xdr:cNvPicPr>
      </xdr:nvPicPr>
      <xdr:blipFill>
        <a:blip xmlns:r="http://schemas.openxmlformats.org/officeDocument/2006/relationships" r:embed="rId2"/>
        <a:stretch>
          <a:fillRect/>
        </a:stretch>
      </xdr:blipFill>
      <xdr:spPr>
        <a:xfrm>
          <a:off x="6680200" y="2895600"/>
          <a:ext cx="4592612" cy="67056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50800</xdr:colOff>
      <xdr:row>99</xdr:row>
      <xdr:rowOff>182880</xdr:rowOff>
    </xdr:from>
    <xdr:to>
      <xdr:col>6</xdr:col>
      <xdr:colOff>822960</xdr:colOff>
      <xdr:row>111</xdr:row>
      <xdr:rowOff>142240</xdr:rowOff>
    </xdr:to>
    <xdr:sp macro="" textlink="">
      <xdr:nvSpPr>
        <xdr:cNvPr id="2" name="TextBox 1">
          <a:extLst>
            <a:ext uri="{FF2B5EF4-FFF2-40B4-BE49-F238E27FC236}">
              <a16:creationId xmlns:a16="http://schemas.microsoft.com/office/drawing/2014/main" id="{5A0C6313-D956-AA47-90D2-B929D6CAA4CF}"/>
            </a:ext>
          </a:extLst>
        </xdr:cNvPr>
        <xdr:cNvSpPr txBox="1"/>
      </xdr:nvSpPr>
      <xdr:spPr>
        <a:xfrm>
          <a:off x="927100" y="19042380"/>
          <a:ext cx="5153660" cy="224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Case 3:</a:t>
          </a:r>
        </a:p>
        <a:p>
          <a:r>
            <a:rPr lang="en-US" sz="1100" b="0" i="0">
              <a:solidFill>
                <a:schemeClr val="dk1"/>
              </a:solidFill>
              <a:effectLst/>
              <a:latin typeface="+mn-lt"/>
              <a:ea typeface="+mn-ea"/>
              <a:cs typeface="+mn-cs"/>
            </a:rPr>
            <a:t>You have been asked to estimate the market value of an apartment complex that is producing annual net operating income of $44,500.  Four highly similar and competitive apartment properties within two blocks of the subject property have sold in the past three months.  All four offer essentially the same amenities and services as the subject.  All were open-market transactions with similar terms of sale.  All were financed with 30-year fixed-rate mortgages using 70 percent debt and 30 percent equity.  The sale prices and estimated first-year net operating incomes were as follows:</a:t>
          </a:r>
        </a:p>
        <a:p>
          <a:r>
            <a:rPr lang="en-US" sz="1100" b="0" i="0">
              <a:solidFill>
                <a:schemeClr val="dk1"/>
              </a:solidFill>
              <a:effectLst/>
              <a:latin typeface="+mn-lt"/>
              <a:ea typeface="+mn-ea"/>
              <a:cs typeface="+mn-cs"/>
            </a:rPr>
            <a:t>Comparable 1:  Sale price $500,000; NOI $55,000</a:t>
          </a:r>
        </a:p>
        <a:p>
          <a:r>
            <a:rPr lang="en-US" sz="1100" b="0" i="0">
              <a:solidFill>
                <a:schemeClr val="dk1"/>
              </a:solidFill>
              <a:effectLst/>
              <a:latin typeface="+mn-lt"/>
              <a:ea typeface="+mn-ea"/>
              <a:cs typeface="+mn-cs"/>
            </a:rPr>
            <a:t>Comparable 2:  Sale price $420,000; NOI $50,400</a:t>
          </a:r>
        </a:p>
        <a:p>
          <a:r>
            <a:rPr lang="en-US" sz="1100" b="0" i="0">
              <a:solidFill>
                <a:schemeClr val="dk1"/>
              </a:solidFill>
              <a:effectLst/>
              <a:latin typeface="+mn-lt"/>
              <a:ea typeface="+mn-ea"/>
              <a:cs typeface="+mn-cs"/>
            </a:rPr>
            <a:t>Comparable 3:  Sale price $475,000; NOI $53,400</a:t>
          </a:r>
        </a:p>
        <a:p>
          <a:r>
            <a:rPr lang="en-US" sz="1100" b="0" i="0">
              <a:solidFill>
                <a:schemeClr val="dk1"/>
              </a:solidFill>
              <a:effectLst/>
              <a:latin typeface="+mn-lt"/>
              <a:ea typeface="+mn-ea"/>
              <a:cs typeface="+mn-cs"/>
            </a:rPr>
            <a:t>Comparable 4:  Sale price $600,000; NOI $69,000</a:t>
          </a:r>
        </a:p>
        <a:p>
          <a:r>
            <a:rPr lang="en-US" sz="1100" b="0" i="0">
              <a:solidFill>
                <a:schemeClr val="dk1"/>
              </a:solidFill>
              <a:effectLst/>
              <a:latin typeface="+mn-lt"/>
              <a:ea typeface="+mn-ea"/>
              <a:cs typeface="+mn-cs"/>
            </a:rPr>
            <a:t>Question:</a:t>
          </a:r>
        </a:p>
        <a:p>
          <a:r>
            <a:rPr lang="en-US" sz="1100" b="0" i="0">
              <a:solidFill>
                <a:schemeClr val="dk1"/>
              </a:solidFill>
              <a:effectLst/>
              <a:latin typeface="+mn-lt"/>
              <a:ea typeface="+mn-ea"/>
              <a:cs typeface="+mn-cs"/>
            </a:rPr>
            <a:t>1. What is the indicated value of the subject using direct capitalization?</a:t>
          </a:r>
        </a:p>
        <a:p>
          <a:endParaRPr lang="en-US" sz="1100"/>
        </a:p>
      </xdr:txBody>
    </xdr:sp>
    <xdr:clientData/>
  </xdr:twoCellAnchor>
  <xdr:twoCellAnchor>
    <xdr:from>
      <xdr:col>1</xdr:col>
      <xdr:colOff>20320</xdr:colOff>
      <xdr:row>69</xdr:row>
      <xdr:rowOff>40640</xdr:rowOff>
    </xdr:from>
    <xdr:to>
      <xdr:col>6</xdr:col>
      <xdr:colOff>955040</xdr:colOff>
      <xdr:row>76</xdr:row>
      <xdr:rowOff>91440</xdr:rowOff>
    </xdr:to>
    <xdr:sp macro="" textlink="">
      <xdr:nvSpPr>
        <xdr:cNvPr id="3" name="TextBox 2">
          <a:extLst>
            <a:ext uri="{FF2B5EF4-FFF2-40B4-BE49-F238E27FC236}">
              <a16:creationId xmlns:a16="http://schemas.microsoft.com/office/drawing/2014/main" id="{BF1C821D-0454-0540-B8A0-F3246F018C13}"/>
            </a:ext>
          </a:extLst>
        </xdr:cNvPr>
        <xdr:cNvSpPr txBox="1"/>
      </xdr:nvSpPr>
      <xdr:spPr>
        <a:xfrm>
          <a:off x="896620" y="13185140"/>
          <a:ext cx="5240020"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Case 2: </a:t>
          </a:r>
        </a:p>
        <a:p>
          <a:r>
            <a:rPr lang="en-US" sz="1100" b="0" i="0">
              <a:solidFill>
                <a:schemeClr val="dk1"/>
              </a:solidFill>
              <a:effectLst/>
              <a:latin typeface="+mn-lt"/>
              <a:ea typeface="+mn-ea"/>
              <a:cs typeface="+mn-cs"/>
            </a:rPr>
            <a:t>Given the following owner’s income and expense estimates for an apartment property, formulate a reconstructed operating statement.  The building consists of 10 units that could rent for $550 per month each.</a:t>
          </a:r>
        </a:p>
        <a:p>
          <a:r>
            <a:rPr lang="en-US" sz="1100" b="0" i="0">
              <a:solidFill>
                <a:schemeClr val="dk1"/>
              </a:solidFill>
              <a:effectLst/>
              <a:latin typeface="+mn-lt"/>
              <a:ea typeface="+mn-ea"/>
              <a:cs typeface="+mn-cs"/>
            </a:rPr>
            <a:t>Estimating vacancy and collection losses at 5 percent of potential gross income, reconstruct the operating statement to obtain an estimate of NOI. Assume an above-line treatment of CAPX. Remember, there may be items in the owner’s statement that should not be included in the reconstructed operating statement. </a:t>
          </a:r>
        </a:p>
        <a:p>
          <a:r>
            <a:rPr lang="en-US" sz="1100" b="0" i="0">
              <a:solidFill>
                <a:schemeClr val="dk1"/>
              </a:solidFill>
              <a:effectLst/>
              <a:latin typeface="+mn-lt"/>
              <a:ea typeface="+mn-ea"/>
              <a:cs typeface="+mn-cs"/>
            </a:rPr>
            <a:t>Questions:</a:t>
          </a:r>
        </a:p>
        <a:p>
          <a:r>
            <a:rPr lang="en-US" sz="1100" b="0" i="0">
              <a:solidFill>
                <a:schemeClr val="dk1"/>
              </a:solidFill>
              <a:effectLst/>
              <a:latin typeface="+mn-lt"/>
              <a:ea typeface="+mn-ea"/>
              <a:cs typeface="+mn-cs"/>
            </a:rPr>
            <a:t>1. Using the NOI and a Ro of 11.0 percent, calculate the property’s indicated market value. Round your answer to the nearest $1,000.</a:t>
          </a:r>
        </a:p>
      </xdr:txBody>
    </xdr:sp>
    <xdr:clientData/>
  </xdr:twoCellAnchor>
  <xdr:twoCellAnchor>
    <xdr:from>
      <xdr:col>0</xdr:col>
      <xdr:colOff>609600</xdr:colOff>
      <xdr:row>1</xdr:row>
      <xdr:rowOff>81280</xdr:rowOff>
    </xdr:from>
    <xdr:to>
      <xdr:col>3</xdr:col>
      <xdr:colOff>690880</xdr:colOff>
      <xdr:row>36</xdr:row>
      <xdr:rowOff>40640</xdr:rowOff>
    </xdr:to>
    <xdr:sp macro="" textlink="">
      <xdr:nvSpPr>
        <xdr:cNvPr id="4" name="TextBox 3">
          <a:extLst>
            <a:ext uri="{FF2B5EF4-FFF2-40B4-BE49-F238E27FC236}">
              <a16:creationId xmlns:a16="http://schemas.microsoft.com/office/drawing/2014/main" id="{0E09D809-78E8-2245-9951-4CBF77F289A0}"/>
            </a:ext>
          </a:extLst>
        </xdr:cNvPr>
        <xdr:cNvSpPr txBox="1"/>
      </xdr:nvSpPr>
      <xdr:spPr>
        <a:xfrm>
          <a:off x="609600" y="271780"/>
          <a:ext cx="2710180" cy="662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Case 1</a:t>
          </a:r>
        </a:p>
        <a:p>
          <a:r>
            <a:rPr lang="en-US" sz="1100" b="0" i="0">
              <a:solidFill>
                <a:schemeClr val="dk1"/>
              </a:solidFill>
              <a:effectLst/>
              <a:latin typeface="+mn-lt"/>
              <a:ea typeface="+mn-ea"/>
              <a:cs typeface="+mn-cs"/>
            </a:rPr>
            <a:t>You are appraising a single-family residence located in the Huntington neighborhood at 4632 NW 56th Drive. The property is being acquired by a mortgage applicant and you have been asked to appraise the property by the lender. Seven potential comparable sales were initially identified. However, three of these seven were highly similar to the subject property in their transactional, physical, and locational characteristics. You therefore decided to exclude the other four transactions from the comparable set.</a:t>
          </a:r>
        </a:p>
        <a:p>
          <a:r>
            <a:rPr lang="en-US" sz="1100" b="0" i="0">
              <a:solidFill>
                <a:schemeClr val="dk1"/>
              </a:solidFill>
              <a:effectLst/>
              <a:latin typeface="+mn-lt"/>
              <a:ea typeface="+mn-ea"/>
              <a:cs typeface="+mn-cs"/>
            </a:rPr>
            <a:t>The elements of comparison you used to compare and adjust the sale prices of the comparable properties are listed in the market data grid below. The property rights being conveyed in the acquisition of the subject property are fee-simple absolute. Conventional mortgage financing will be used by the purchaser and the acquisition appears to be an arm’s-length transaction. Thus, no adjustments need to be made to the sale prices of the comparable properties for the type of property rights conveyed, financing terms, or conditions of sale. However, the buyer of Comparable 2 was aware that she would have to replace one of the air-conditioning units immediately after acquiring the property (which she did); thus, she was able to negotiate a $3,000 price reduction from the seller.</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Comparable 1 sold three months ago, while Comparables 2 and 3 sold six months ago. Based on your knowledge of recent price appreciation in this market, you have decided that Comparable 1 would sell for 2 percent more if sold today and that Comparables 2 and 3 would sell for 4 percent more if sold today. The subject property is located in Huntington, as is Comparable 1. However, Comparables 2 and 3 are located in Kensington and Millhoper, respectively. Although Huntington is a high-end neighborhood, both Kensington and Millhoper are generally considered to be slightly more desirable. In fact, homes in these two neighborhoods generally sell for about a 3 percent price premium relative to similar homes in Huntington.</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In these neighborhoods, an incremental square foot of lot size or living area is worth about $20 per square foot and $80 per square foot, respectively. Each year of effective age reduces the value of properties in this market by about $3,000 per year. Your experience suggests that each additional half-bath is worth $500; each additional full bath $1,000. Additional garage spaces, wood decks, and pools in Page 189these neighborhoods are worth $8,000, $1,000, and $12,000, respectively. No significant nonrealty items were included in the comparable transactions.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Questions :</a:t>
          </a:r>
        </a:p>
        <a:p>
          <a:r>
            <a:rPr lang="en-US" sz="1100" b="0" i="0">
              <a:solidFill>
                <a:schemeClr val="dk1"/>
              </a:solidFill>
              <a:effectLst/>
              <a:latin typeface="+mn-lt"/>
              <a:ea typeface="+mn-ea"/>
              <a:cs typeface="+mn-cs"/>
            </a:rPr>
            <a:t>1. Based on the above discussion of the elements of comparison, complete an adjustment grid for the three comparable properties.</a:t>
          </a:r>
        </a:p>
        <a:p>
          <a:r>
            <a:rPr lang="en-US" sz="1100" b="0" i="0">
              <a:solidFill>
                <a:schemeClr val="dk1"/>
              </a:solidFill>
              <a:effectLst/>
              <a:latin typeface="+mn-lt"/>
              <a:ea typeface="+mn-ea"/>
              <a:cs typeface="+mn-cs"/>
            </a:rPr>
            <a:t>2. What is the final adjusted sale price for Comparables 1, 2, and 3?</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758B-F91B-C043-9A01-C8C5489EBF44}">
  <dimension ref="B1:Q76"/>
  <sheetViews>
    <sheetView zoomScale="125" workbookViewId="0">
      <selection sqref="A1:XFD1"/>
    </sheetView>
  </sheetViews>
  <sheetFormatPr baseColWidth="10" defaultRowHeight="15" x14ac:dyDescent="0.2"/>
  <cols>
    <col min="1" max="1" width="5.1640625" customWidth="1"/>
    <col min="10" max="10" width="6" customWidth="1"/>
    <col min="11" max="11" width="26.5" bestFit="1" customWidth="1"/>
    <col min="12" max="12" width="14.1640625" style="10" bestFit="1" customWidth="1"/>
    <col min="13" max="17" width="13.6640625" bestFit="1" customWidth="1"/>
  </cols>
  <sheetData>
    <row r="1" spans="2:13" s="45" customFormat="1" ht="20" x14ac:dyDescent="0.2">
      <c r="B1" s="44" t="s">
        <v>0</v>
      </c>
      <c r="L1" s="46"/>
    </row>
    <row r="2" spans="2:13" s="48" customFormat="1" ht="20" x14ac:dyDescent="0.2">
      <c r="B2" s="47"/>
      <c r="L2" s="49"/>
    </row>
    <row r="3" spans="2:13" x14ac:dyDescent="0.2">
      <c r="K3" s="1" t="s">
        <v>1</v>
      </c>
      <c r="L3" s="2"/>
      <c r="M3" s="1"/>
    </row>
    <row r="4" spans="2:13" x14ac:dyDescent="0.2">
      <c r="K4" s="3"/>
      <c r="L4" s="4" t="s">
        <v>2</v>
      </c>
      <c r="M4" s="3"/>
    </row>
    <row r="5" spans="2:13" x14ac:dyDescent="0.2">
      <c r="K5" s="3" t="s">
        <v>3</v>
      </c>
      <c r="L5" s="4">
        <v>1000000</v>
      </c>
      <c r="M5" s="3"/>
    </row>
    <row r="6" spans="2:13" x14ac:dyDescent="0.2">
      <c r="K6" s="3" t="s">
        <v>4</v>
      </c>
      <c r="L6" s="4">
        <v>171000</v>
      </c>
      <c r="M6" s="3"/>
    </row>
    <row r="7" spans="2:13" x14ac:dyDescent="0.2">
      <c r="K7" s="3" t="s">
        <v>5</v>
      </c>
      <c r="L7" s="5">
        <v>0.04</v>
      </c>
      <c r="M7" s="3"/>
    </row>
    <row r="8" spans="2:13" x14ac:dyDescent="0.2">
      <c r="K8" s="3" t="s">
        <v>6</v>
      </c>
      <c r="L8" s="4">
        <v>0</v>
      </c>
      <c r="M8" s="3"/>
    </row>
    <row r="9" spans="2:13" x14ac:dyDescent="0.2">
      <c r="K9" s="3" t="s">
        <v>7</v>
      </c>
      <c r="L9" s="5">
        <v>0.35</v>
      </c>
      <c r="M9" s="3" t="s">
        <v>8</v>
      </c>
    </row>
    <row r="10" spans="2:13" x14ac:dyDescent="0.2">
      <c r="K10" s="3" t="s">
        <v>9</v>
      </c>
      <c r="L10" s="5">
        <v>0.04</v>
      </c>
      <c r="M10" s="3"/>
    </row>
    <row r="11" spans="2:13" x14ac:dyDescent="0.2">
      <c r="K11" s="3" t="s">
        <v>10</v>
      </c>
      <c r="L11" s="5">
        <v>0.04</v>
      </c>
      <c r="M11" s="3"/>
    </row>
    <row r="12" spans="2:13" x14ac:dyDescent="0.2">
      <c r="K12" s="3" t="s">
        <v>11</v>
      </c>
      <c r="L12" s="5" t="s">
        <v>12</v>
      </c>
      <c r="M12" s="3"/>
    </row>
    <row r="13" spans="2:13" x14ac:dyDescent="0.2">
      <c r="K13" s="3" t="s">
        <v>13</v>
      </c>
      <c r="L13" s="5">
        <v>0.12</v>
      </c>
      <c r="M13" s="3"/>
    </row>
    <row r="14" spans="2:13" x14ac:dyDescent="0.2">
      <c r="K14" s="3" t="s">
        <v>14</v>
      </c>
      <c r="L14" s="5">
        <v>0.14000000000000001</v>
      </c>
      <c r="M14" s="3"/>
    </row>
    <row r="15" spans="2:13" x14ac:dyDescent="0.2">
      <c r="K15" s="3"/>
      <c r="L15" s="4"/>
      <c r="M15" s="3"/>
    </row>
    <row r="16" spans="2:13" x14ac:dyDescent="0.2">
      <c r="K16" s="3" t="s">
        <v>15</v>
      </c>
      <c r="L16" s="5">
        <v>0.7</v>
      </c>
      <c r="M16" s="3">
        <f>L16*L5</f>
        <v>700000</v>
      </c>
    </row>
    <row r="17" spans="11:17" x14ac:dyDescent="0.2">
      <c r="K17" s="3" t="s">
        <v>16</v>
      </c>
      <c r="L17" s="4" t="s">
        <v>17</v>
      </c>
      <c r="M17" s="3">
        <f>30*12</f>
        <v>360</v>
      </c>
    </row>
    <row r="18" spans="11:17" x14ac:dyDescent="0.2">
      <c r="K18" s="3" t="s">
        <v>18</v>
      </c>
      <c r="L18" s="5">
        <v>0.08</v>
      </c>
      <c r="M18" s="3"/>
    </row>
    <row r="19" spans="11:17" x14ac:dyDescent="0.2">
      <c r="K19" s="3" t="s">
        <v>19</v>
      </c>
      <c r="L19" s="5">
        <v>0.02</v>
      </c>
      <c r="M19" s="3">
        <f>L19*M16</f>
        <v>14000</v>
      </c>
    </row>
    <row r="20" spans="11:17" x14ac:dyDescent="0.2">
      <c r="K20" s="3" t="s">
        <v>20</v>
      </c>
      <c r="L20" s="4"/>
      <c r="M20" s="3"/>
    </row>
    <row r="23" spans="11:17" x14ac:dyDescent="0.2">
      <c r="K23" s="3"/>
      <c r="L23" s="4">
        <v>0</v>
      </c>
      <c r="M23" s="4">
        <v>1</v>
      </c>
      <c r="N23" s="3">
        <v>2</v>
      </c>
      <c r="O23" s="3">
        <v>3</v>
      </c>
      <c r="P23" s="3">
        <v>4</v>
      </c>
      <c r="Q23" s="3">
        <v>5</v>
      </c>
    </row>
    <row r="24" spans="11:17" x14ac:dyDescent="0.2">
      <c r="K24" s="3" t="s">
        <v>3</v>
      </c>
      <c r="L24" s="4"/>
      <c r="M24" s="6">
        <v>1000000</v>
      </c>
      <c r="N24" s="7">
        <f>M24*(1+$L$10)</f>
        <v>1040000</v>
      </c>
      <c r="O24" s="7">
        <f t="shared" ref="O24:P24" si="0">N24*(1+$L$10)</f>
        <v>1081600</v>
      </c>
      <c r="P24" s="7">
        <f t="shared" si="0"/>
        <v>1124864</v>
      </c>
      <c r="Q24" s="7">
        <f>P24*(1+$L$10)</f>
        <v>1169858.5600000001</v>
      </c>
    </row>
    <row r="25" spans="11:17" x14ac:dyDescent="0.2">
      <c r="K25" s="3" t="s">
        <v>4</v>
      </c>
      <c r="L25" s="4"/>
      <c r="M25" s="6">
        <v>171000</v>
      </c>
      <c r="N25" s="7">
        <f>M25*(1+$L$7)</f>
        <v>177840</v>
      </c>
      <c r="O25" s="7">
        <f t="shared" ref="O25:Q25" si="1">N25*(1+$L$7)</f>
        <v>184953.60000000001</v>
      </c>
      <c r="P25" s="7">
        <f t="shared" si="1"/>
        <v>192351.74400000001</v>
      </c>
      <c r="Q25" s="7">
        <f t="shared" si="1"/>
        <v>200045.81376000002</v>
      </c>
    </row>
    <row r="26" spans="11:17" x14ac:dyDescent="0.2">
      <c r="K26" s="3" t="s">
        <v>6</v>
      </c>
      <c r="L26" s="4"/>
      <c r="M26" s="6">
        <v>0</v>
      </c>
      <c r="N26" s="7">
        <v>0</v>
      </c>
      <c r="O26" s="7">
        <v>0</v>
      </c>
      <c r="P26" s="7">
        <v>0</v>
      </c>
      <c r="Q26" s="7">
        <v>1</v>
      </c>
    </row>
    <row r="27" spans="11:17" x14ac:dyDescent="0.2">
      <c r="K27" s="3" t="s">
        <v>21</v>
      </c>
      <c r="L27" s="4"/>
      <c r="M27" s="8">
        <f>M25-M26</f>
        <v>171000</v>
      </c>
      <c r="N27" s="8">
        <f>N25-N26</f>
        <v>177840</v>
      </c>
      <c r="O27" s="8">
        <f>O25-O26</f>
        <v>184953.60000000001</v>
      </c>
      <c r="P27" s="8">
        <f>P25-P26</f>
        <v>192351.74400000001</v>
      </c>
      <c r="Q27" s="8">
        <f>Q25-Q26</f>
        <v>200044.81376000002</v>
      </c>
    </row>
    <row r="28" spans="11:17" x14ac:dyDescent="0.2">
      <c r="K28" s="3" t="s">
        <v>22</v>
      </c>
      <c r="L28" s="4"/>
      <c r="M28" s="6">
        <f>$L$9*M27</f>
        <v>59849.999999999993</v>
      </c>
      <c r="N28" s="6">
        <f t="shared" ref="N28:Q28" si="2">$L$9*N27</f>
        <v>62243.999999999993</v>
      </c>
      <c r="O28" s="6">
        <f t="shared" si="2"/>
        <v>64733.759999999995</v>
      </c>
      <c r="P28" s="6">
        <f t="shared" si="2"/>
        <v>67323.110400000005</v>
      </c>
      <c r="Q28" s="6">
        <f t="shared" si="2"/>
        <v>70015.684816000008</v>
      </c>
    </row>
    <row r="29" spans="11:17" x14ac:dyDescent="0.2">
      <c r="K29" s="3"/>
      <c r="L29" s="4"/>
      <c r="M29" s="6"/>
      <c r="N29" s="7"/>
      <c r="O29" s="7"/>
      <c r="P29" s="7"/>
      <c r="Q29" s="7"/>
    </row>
    <row r="30" spans="11:17" ht="16" thickBot="1" x14ac:dyDescent="0.25">
      <c r="K30" s="3" t="s">
        <v>23</v>
      </c>
      <c r="L30" s="4"/>
      <c r="M30" s="9">
        <f>M27-M28</f>
        <v>111150</v>
      </c>
      <c r="N30" s="9">
        <f t="shared" ref="N30:Q30" si="3">N27-N28</f>
        <v>115596</v>
      </c>
      <c r="O30" s="9">
        <f t="shared" si="3"/>
        <v>120219.84000000001</v>
      </c>
      <c r="P30" s="9">
        <f t="shared" si="3"/>
        <v>125028.6336</v>
      </c>
      <c r="Q30" s="25">
        <f t="shared" si="3"/>
        <v>130029.12894400001</v>
      </c>
    </row>
    <row r="31" spans="11:17" ht="16" thickTop="1" x14ac:dyDescent="0.2">
      <c r="K31" s="38"/>
      <c r="L31" s="39"/>
      <c r="M31" s="40"/>
      <c r="N31" s="40"/>
      <c r="O31" s="40"/>
      <c r="P31" s="40"/>
      <c r="Q31" s="40"/>
    </row>
    <row r="32" spans="11:17" x14ac:dyDescent="0.2">
      <c r="K32" s="36" t="s">
        <v>53</v>
      </c>
      <c r="L32" s="41"/>
      <c r="M32" s="42"/>
      <c r="N32" s="42"/>
      <c r="O32" s="42"/>
      <c r="P32" s="42"/>
      <c r="Q32" s="43"/>
    </row>
    <row r="33" spans="11:17" x14ac:dyDescent="0.2">
      <c r="K33" t="s">
        <v>24</v>
      </c>
      <c r="M33" s="11"/>
      <c r="N33" s="12"/>
      <c r="O33" s="12"/>
      <c r="P33" s="12"/>
      <c r="Q33" s="12">
        <f>Q24</f>
        <v>1169858.5600000001</v>
      </c>
    </row>
    <row r="34" spans="11:17" x14ac:dyDescent="0.2">
      <c r="K34" t="s">
        <v>25</v>
      </c>
      <c r="M34" s="11"/>
      <c r="N34" s="12"/>
      <c r="O34" s="12"/>
      <c r="P34" s="12"/>
      <c r="Q34" s="12">
        <f>L11*Q33</f>
        <v>46794.342400000001</v>
      </c>
    </row>
    <row r="35" spans="11:17" x14ac:dyDescent="0.2">
      <c r="M35" s="11"/>
      <c r="N35" s="12"/>
      <c r="O35" s="12"/>
      <c r="P35" s="12"/>
      <c r="Q35" s="12"/>
    </row>
    <row r="36" spans="11:17" ht="16" thickBot="1" x14ac:dyDescent="0.25">
      <c r="K36" t="s">
        <v>26</v>
      </c>
      <c r="M36" s="11"/>
      <c r="N36" s="12"/>
      <c r="O36" s="12"/>
      <c r="P36" s="12"/>
      <c r="Q36" s="13">
        <f>Q33-Q34</f>
        <v>1123064.2176000001</v>
      </c>
    </row>
    <row r="37" spans="11:17" ht="16" thickTop="1" x14ac:dyDescent="0.2">
      <c r="M37" s="11"/>
      <c r="N37" s="12"/>
      <c r="O37" s="12"/>
      <c r="P37" s="12"/>
      <c r="Q37" s="12"/>
    </row>
    <row r="38" spans="11:17" x14ac:dyDescent="0.2">
      <c r="K38" s="3" t="s">
        <v>27</v>
      </c>
      <c r="L38" s="6">
        <v>-1000000</v>
      </c>
      <c r="M38" s="14">
        <f>M30</f>
        <v>111150</v>
      </c>
      <c r="N38" s="14">
        <f t="shared" ref="N38:O38" si="4">N30</f>
        <v>115596</v>
      </c>
      <c r="O38" s="14">
        <f t="shared" si="4"/>
        <v>120219.84000000001</v>
      </c>
      <c r="P38" s="14">
        <f>P30+Q36</f>
        <v>1248092.8512000002</v>
      </c>
    </row>
    <row r="39" spans="11:17" x14ac:dyDescent="0.2">
      <c r="M39" s="10"/>
    </row>
    <row r="40" spans="11:17" x14ac:dyDescent="0.2">
      <c r="K40" t="s">
        <v>28</v>
      </c>
      <c r="L40" s="12">
        <f t="shared" ref="L40:O40" si="5">L38/(1+$L$13)^L23</f>
        <v>-1000000</v>
      </c>
      <c r="M40" s="12">
        <f t="shared" si="5"/>
        <v>99241.07142857142</v>
      </c>
      <c r="N40" s="12">
        <f t="shared" si="5"/>
        <v>92152.423469387737</v>
      </c>
      <c r="O40" s="12">
        <f t="shared" si="5"/>
        <v>85570.107507288616</v>
      </c>
      <c r="P40" s="12">
        <f>P38/(1+$L$13)^P23</f>
        <v>793185.57046543097</v>
      </c>
      <c r="Q40" s="12"/>
    </row>
    <row r="41" spans="11:17" ht="16" thickBot="1" x14ac:dyDescent="0.25">
      <c r="K41" t="s">
        <v>29</v>
      </c>
      <c r="L41" s="15">
        <f>SUM(M40:P40)+L40</f>
        <v>70149.172870678827</v>
      </c>
      <c r="N41" s="12"/>
      <c r="O41" s="12"/>
      <c r="P41" s="12"/>
      <c r="Q41" s="12"/>
    </row>
    <row r="42" spans="11:17" ht="16" thickTop="1" x14ac:dyDescent="0.2">
      <c r="M42" s="11"/>
      <c r="N42" s="12"/>
      <c r="O42" s="12"/>
      <c r="P42" s="12"/>
      <c r="Q42" s="12"/>
    </row>
    <row r="43" spans="11:17" x14ac:dyDescent="0.2">
      <c r="K43" t="s">
        <v>30</v>
      </c>
      <c r="L43" s="16">
        <f>IRR(L38:P38)</f>
        <v>0.14216308031732505</v>
      </c>
      <c r="M43" s="12"/>
      <c r="N43" s="12"/>
      <c r="O43" s="12"/>
      <c r="P43" s="12"/>
      <c r="Q43" s="12"/>
    </row>
    <row r="44" spans="11:17" x14ac:dyDescent="0.2">
      <c r="L44" s="28"/>
      <c r="M44" s="12"/>
      <c r="N44" s="12"/>
      <c r="O44" s="12"/>
      <c r="P44" s="12"/>
      <c r="Q44" s="12"/>
    </row>
    <row r="45" spans="11:17" x14ac:dyDescent="0.2">
      <c r="K45" s="36" t="s">
        <v>52</v>
      </c>
      <c r="L45" s="37"/>
      <c r="M45" s="42"/>
      <c r="N45" s="43"/>
      <c r="O45" s="43"/>
      <c r="P45" s="43"/>
      <c r="Q45" s="43"/>
    </row>
    <row r="46" spans="11:17" x14ac:dyDescent="0.2">
      <c r="K46" t="s">
        <v>31</v>
      </c>
      <c r="L46" s="11">
        <f>M16</f>
        <v>700000</v>
      </c>
      <c r="M46" s="11"/>
      <c r="N46" s="12"/>
      <c r="O46" s="12"/>
      <c r="P46" s="12"/>
      <c r="Q46" s="12"/>
    </row>
    <row r="47" spans="11:17" x14ac:dyDescent="0.2">
      <c r="K47" t="s">
        <v>32</v>
      </c>
      <c r="L47" s="11">
        <f>PMT(L18/12,M17,L46,0)</f>
        <v>-5136.3520171556329</v>
      </c>
      <c r="M47" s="11"/>
      <c r="N47" s="12"/>
      <c r="O47" s="12"/>
      <c r="P47" s="12"/>
      <c r="Q47" s="12"/>
    </row>
    <row r="48" spans="11:17" ht="16" thickBot="1" x14ac:dyDescent="0.25">
      <c r="K48" t="s">
        <v>33</v>
      </c>
      <c r="L48" s="15">
        <f>L47*12</f>
        <v>-61636.224205867591</v>
      </c>
      <c r="M48" s="26"/>
    </row>
    <row r="49" spans="11:16" ht="16" thickTop="1" x14ac:dyDescent="0.2"/>
    <row r="50" spans="11:16" x14ac:dyDescent="0.2">
      <c r="K50" s="3" t="s">
        <v>34</v>
      </c>
      <c r="L50" s="17">
        <v>1</v>
      </c>
      <c r="M50" s="17">
        <v>2</v>
      </c>
      <c r="N50" s="17">
        <v>3</v>
      </c>
      <c r="O50" s="17">
        <v>4</v>
      </c>
    </row>
    <row r="51" spans="11:16" x14ac:dyDescent="0.2">
      <c r="K51" s="3" t="s">
        <v>35</v>
      </c>
      <c r="L51" s="18">
        <f>PV($L$18/12,$M$17-M23*12,$L$47,0)</f>
        <v>694152.45213320397</v>
      </c>
      <c r="M51" s="18">
        <f t="shared" ref="M51:O51" si="6">PV($L$18/12,$M$17-N23*12,$L$47,0)</f>
        <v>687819.56067743222</v>
      </c>
      <c r="N51" s="18">
        <f t="shared" si="6"/>
        <v>680961.04235416558</v>
      </c>
      <c r="O51" s="18">
        <f t="shared" si="6"/>
        <v>673533.27039263782</v>
      </c>
    </row>
    <row r="52" spans="11:16" x14ac:dyDescent="0.2">
      <c r="L52" s="26"/>
      <c r="M52" s="26"/>
      <c r="N52" s="26"/>
      <c r="O52" s="26"/>
    </row>
    <row r="53" spans="11:16" x14ac:dyDescent="0.2">
      <c r="K53" t="s">
        <v>36</v>
      </c>
      <c r="O53" s="33">
        <f>N51-O51</f>
        <v>7427.7719615277601</v>
      </c>
    </row>
    <row r="54" spans="11:16" x14ac:dyDescent="0.2">
      <c r="K54" t="s">
        <v>37</v>
      </c>
      <c r="O54" s="34">
        <f>L48+O53</f>
        <v>-54208.452244339831</v>
      </c>
    </row>
    <row r="56" spans="11:16" x14ac:dyDescent="0.2">
      <c r="K56" t="s">
        <v>38</v>
      </c>
      <c r="L56" s="11">
        <f>M19</f>
        <v>14000</v>
      </c>
    </row>
    <row r="57" spans="11:16" x14ac:dyDescent="0.2">
      <c r="K57" t="s">
        <v>39</v>
      </c>
      <c r="L57" s="19">
        <f>L5-L46+L56</f>
        <v>314000</v>
      </c>
    </row>
    <row r="59" spans="11:16" x14ac:dyDescent="0.2">
      <c r="K59" t="s">
        <v>40</v>
      </c>
      <c r="L59" s="27">
        <f>Q36-O51</f>
        <v>449530.94720736227</v>
      </c>
    </row>
    <row r="61" spans="11:16" x14ac:dyDescent="0.2">
      <c r="K61" t="s">
        <v>41</v>
      </c>
      <c r="L61" s="10">
        <v>0</v>
      </c>
      <c r="M61">
        <v>1</v>
      </c>
      <c r="N61">
        <v>2</v>
      </c>
      <c r="O61">
        <v>3</v>
      </c>
      <c r="P61">
        <v>4</v>
      </c>
    </row>
    <row r="62" spans="11:16" x14ac:dyDescent="0.2">
      <c r="K62" t="s">
        <v>42</v>
      </c>
      <c r="M62" s="21">
        <f>-L48</f>
        <v>61636.224205867591</v>
      </c>
      <c r="N62" s="21">
        <f>M62</f>
        <v>61636.224205867591</v>
      </c>
      <c r="O62" s="21">
        <f>N62</f>
        <v>61636.224205867591</v>
      </c>
      <c r="P62" s="21">
        <f t="shared" ref="P62" si="7">O62</f>
        <v>61636.224205867591</v>
      </c>
    </row>
    <row r="63" spans="11:16" x14ac:dyDescent="0.2">
      <c r="K63" t="s">
        <v>43</v>
      </c>
      <c r="M63" s="22">
        <f>M38-M62</f>
        <v>49513.775794132409</v>
      </c>
      <c r="N63" s="22">
        <f t="shared" ref="N63:O63" si="8">N38-N62</f>
        <v>53959.775794132409</v>
      </c>
      <c r="O63" s="22">
        <f t="shared" si="8"/>
        <v>58583.61579413242</v>
      </c>
      <c r="P63" s="32">
        <f>P30-P62</f>
        <v>63392.40939413241</v>
      </c>
    </row>
    <row r="64" spans="11:16" x14ac:dyDescent="0.2">
      <c r="K64" t="s">
        <v>44</v>
      </c>
      <c r="M64" s="22">
        <f>M63</f>
        <v>49513.775794132409</v>
      </c>
      <c r="N64" s="22">
        <f t="shared" ref="N64:O64" si="9">N63</f>
        <v>53959.775794132409</v>
      </c>
      <c r="O64" s="22">
        <f t="shared" si="9"/>
        <v>58583.61579413242</v>
      </c>
      <c r="P64" s="22">
        <f>P63+L59</f>
        <v>512923.35660149471</v>
      </c>
    </row>
    <row r="65" spans="11:16" x14ac:dyDescent="0.2">
      <c r="K65" t="s">
        <v>45</v>
      </c>
      <c r="M65" s="22">
        <f t="shared" ref="M65:O65" si="10">M64/(1+$L$14)^M61</f>
        <v>43433.136661519653</v>
      </c>
      <c r="N65" s="22">
        <f t="shared" si="10"/>
        <v>41520.295317122494</v>
      </c>
      <c r="O65" s="22">
        <f t="shared" si="10"/>
        <v>39542.271977161938</v>
      </c>
      <c r="P65" s="22">
        <f>P64/(1+$L$14)^P61</f>
        <v>303691.80324626155</v>
      </c>
    </row>
    <row r="66" spans="11:16" x14ac:dyDescent="0.2">
      <c r="K66" t="s">
        <v>46</v>
      </c>
      <c r="L66" s="20">
        <f>SUM(M65:P65)</f>
        <v>428187.50720206567</v>
      </c>
    </row>
    <row r="67" spans="11:16" x14ac:dyDescent="0.2">
      <c r="K67" t="s">
        <v>47</v>
      </c>
      <c r="L67" s="11">
        <f>L57</f>
        <v>314000</v>
      </c>
    </row>
    <row r="68" spans="11:16" ht="16" thickBot="1" x14ac:dyDescent="0.25">
      <c r="K68" t="s">
        <v>29</v>
      </c>
      <c r="L68" s="23">
        <f>L66-L67</f>
        <v>114187.50720206567</v>
      </c>
    </row>
    <row r="69" spans="11:16" ht="16" thickTop="1" x14ac:dyDescent="0.2"/>
    <row r="70" spans="11:16" x14ac:dyDescent="0.2">
      <c r="K70" s="3" t="s">
        <v>27</v>
      </c>
      <c r="L70" s="14">
        <f>-L67</f>
        <v>-314000</v>
      </c>
      <c r="M70" s="24">
        <f>M64</f>
        <v>49513.775794132409</v>
      </c>
      <c r="N70" s="24">
        <f t="shared" ref="N70:P70" si="11">N64</f>
        <v>53959.775794132409</v>
      </c>
      <c r="O70" s="24">
        <f t="shared" si="11"/>
        <v>58583.61579413242</v>
      </c>
      <c r="P70" s="24">
        <f t="shared" si="11"/>
        <v>512923.35660149471</v>
      </c>
    </row>
    <row r="71" spans="11:16" x14ac:dyDescent="0.2">
      <c r="K71" t="s">
        <v>30</v>
      </c>
      <c r="L71" s="16">
        <f>IRR(L70:P70)</f>
        <v>0.25028105069190842</v>
      </c>
    </row>
    <row r="72" spans="11:16" x14ac:dyDescent="0.2">
      <c r="L72" s="29"/>
    </row>
    <row r="73" spans="11:16" x14ac:dyDescent="0.2">
      <c r="K73" t="s">
        <v>48</v>
      </c>
      <c r="L73" s="30">
        <f>M30/L5</f>
        <v>0.11115</v>
      </c>
    </row>
    <row r="74" spans="11:16" x14ac:dyDescent="0.2">
      <c r="K74" t="s">
        <v>49</v>
      </c>
      <c r="L74" s="30">
        <f>M63/L67</f>
        <v>0.15768718405774654</v>
      </c>
    </row>
    <row r="75" spans="11:16" x14ac:dyDescent="0.2">
      <c r="K75" t="s">
        <v>50</v>
      </c>
      <c r="L75" s="31">
        <f>L5/M27</f>
        <v>5.8479532163742691</v>
      </c>
    </row>
    <row r="76" spans="11:16" x14ac:dyDescent="0.2">
      <c r="K76" t="s">
        <v>51</v>
      </c>
      <c r="L76" s="31">
        <f>M30/M62</f>
        <v>1.8033226634511923</v>
      </c>
    </row>
  </sheetData>
  <phoneticPr fontId="4" type="noConversion"/>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DB36-2695-6F49-BBF0-FD6A7853B33F}">
  <dimension ref="B1:L127"/>
  <sheetViews>
    <sheetView workbookViewId="0">
      <selection activeCell="K14" sqref="K14"/>
    </sheetView>
  </sheetViews>
  <sheetFormatPr baseColWidth="10" defaultRowHeight="15" x14ac:dyDescent="0.2"/>
  <cols>
    <col min="1" max="1" width="8.1640625" style="53" customWidth="1"/>
    <col min="2" max="2" width="52.83203125" style="53" bestFit="1" customWidth="1"/>
    <col min="3" max="3" width="17.33203125" style="53" customWidth="1"/>
    <col min="4" max="4" width="14.6640625" style="53" bestFit="1" customWidth="1"/>
    <col min="5" max="5" width="18.6640625" style="53" customWidth="1"/>
    <col min="6" max="6" width="16.83203125" style="53" customWidth="1"/>
    <col min="7" max="7" width="17.33203125" style="53" customWidth="1"/>
    <col min="8" max="8" width="17.6640625" style="53" customWidth="1"/>
    <col min="9" max="16384" width="10.83203125" style="53"/>
  </cols>
  <sheetData>
    <row r="1" spans="2:12" s="45" customFormat="1" ht="20" x14ac:dyDescent="0.2">
      <c r="B1" s="44" t="s">
        <v>106</v>
      </c>
      <c r="L1" s="46"/>
    </row>
    <row r="2" spans="2:12" s="48" customFormat="1" ht="20" x14ac:dyDescent="0.2">
      <c r="B2" s="47"/>
      <c r="L2" s="49"/>
    </row>
    <row r="51" spans="2:8" ht="22" x14ac:dyDescent="0.3">
      <c r="B51" s="75" t="s">
        <v>104</v>
      </c>
      <c r="C51" s="76">
        <f>9001416/11982287</f>
        <v>0.75122687346747741</v>
      </c>
      <c r="H51" s="55"/>
    </row>
    <row r="52" spans="2:8" x14ac:dyDescent="0.2">
      <c r="B52" s="74" t="s">
        <v>103</v>
      </c>
      <c r="C52" s="74"/>
    </row>
    <row r="53" spans="2:8" ht="22" x14ac:dyDescent="0.3">
      <c r="B53" s="74" t="s">
        <v>102</v>
      </c>
      <c r="C53" s="77">
        <v>850000</v>
      </c>
      <c r="H53" s="55"/>
    </row>
    <row r="54" spans="2:8" ht="22" x14ac:dyDescent="0.3">
      <c r="B54" s="74" t="s">
        <v>101</v>
      </c>
      <c r="C54" s="77">
        <v>7055500</v>
      </c>
      <c r="H54" s="55"/>
    </row>
    <row r="55" spans="2:8" ht="22" x14ac:dyDescent="0.3">
      <c r="B55" s="74" t="s">
        <v>100</v>
      </c>
      <c r="C55" s="77">
        <v>403500</v>
      </c>
      <c r="H55" s="55"/>
    </row>
    <row r="56" spans="2:8" ht="22" x14ac:dyDescent="0.3">
      <c r="B56" s="75" t="s">
        <v>99</v>
      </c>
      <c r="C56" s="78">
        <v>692416</v>
      </c>
      <c r="H56" s="55"/>
    </row>
    <row r="57" spans="2:8" ht="22" x14ac:dyDescent="0.3">
      <c r="B57" s="56" t="s">
        <v>105</v>
      </c>
      <c r="C57" s="79">
        <f>C54+C55+C56+C53</f>
        <v>9001416</v>
      </c>
      <c r="H57" s="55"/>
    </row>
    <row r="58" spans="2:8" ht="22" x14ac:dyDescent="0.3">
      <c r="H58" s="55"/>
    </row>
    <row r="59" spans="2:8" ht="22" x14ac:dyDescent="0.3">
      <c r="H59" s="55"/>
    </row>
    <row r="60" spans="2:8" x14ac:dyDescent="0.2">
      <c r="B60" s="36" t="s">
        <v>98</v>
      </c>
      <c r="C60" s="57"/>
      <c r="D60" s="36"/>
      <c r="E60" s="36"/>
      <c r="F60" s="36"/>
    </row>
    <row r="61" spans="2:8" x14ac:dyDescent="0.2">
      <c r="B61" s="53" t="s">
        <v>31</v>
      </c>
      <c r="C61" s="58">
        <v>8309000</v>
      </c>
    </row>
    <row r="62" spans="2:8" x14ac:dyDescent="0.2">
      <c r="B62" s="53" t="s">
        <v>97</v>
      </c>
      <c r="C62" s="59">
        <v>12</v>
      </c>
      <c r="D62" s="53" t="s">
        <v>96</v>
      </c>
    </row>
    <row r="63" spans="2:8" x14ac:dyDescent="0.2">
      <c r="B63" s="53" t="s">
        <v>95</v>
      </c>
      <c r="C63" s="60">
        <v>0.75</v>
      </c>
      <c r="E63" s="61">
        <f>(C63*C61)/4</f>
        <v>1557937.5</v>
      </c>
      <c r="F63" s="53" t="s">
        <v>93</v>
      </c>
    </row>
    <row r="64" spans="2:8" x14ac:dyDescent="0.2">
      <c r="B64" s="53" t="s">
        <v>94</v>
      </c>
      <c r="C64" s="60">
        <v>0.25</v>
      </c>
      <c r="E64" s="61">
        <f>(C64*C61)/8</f>
        <v>259656.25</v>
      </c>
      <c r="F64" s="53" t="s">
        <v>93</v>
      </c>
    </row>
    <row r="65" spans="2:7" x14ac:dyDescent="0.2">
      <c r="B65" s="53" t="s">
        <v>81</v>
      </c>
      <c r="C65" s="60">
        <v>0.12</v>
      </c>
    </row>
    <row r="66" spans="2:7" x14ac:dyDescent="0.2">
      <c r="B66" s="53" t="s">
        <v>92</v>
      </c>
      <c r="C66" s="60">
        <v>0.02</v>
      </c>
    </row>
    <row r="67" spans="2:7" x14ac:dyDescent="0.2">
      <c r="C67" s="58"/>
      <c r="E67" s="53" t="s">
        <v>91</v>
      </c>
    </row>
    <row r="68" spans="2:7" ht="16" thickBot="1" x14ac:dyDescent="0.25">
      <c r="B68" s="80" t="s">
        <v>90</v>
      </c>
      <c r="C68" s="63" t="s">
        <v>89</v>
      </c>
      <c r="D68" s="80" t="s">
        <v>88</v>
      </c>
      <c r="E68" s="80" t="s">
        <v>87</v>
      </c>
      <c r="F68" s="80" t="s">
        <v>86</v>
      </c>
      <c r="G68" s="80" t="s">
        <v>85</v>
      </c>
    </row>
    <row r="69" spans="2:7" ht="16" thickTop="1" x14ac:dyDescent="0.2">
      <c r="B69" s="53">
        <v>0</v>
      </c>
      <c r="C69" s="58"/>
    </row>
    <row r="70" spans="2:7" x14ac:dyDescent="0.2">
      <c r="B70" s="53">
        <v>1</v>
      </c>
      <c r="C70" s="81">
        <f>E63</f>
        <v>1557937.5</v>
      </c>
      <c r="D70" s="82"/>
      <c r="E70" s="82">
        <f>C70</f>
        <v>1557937.5</v>
      </c>
      <c r="F70" s="82">
        <f>C70+D70</f>
        <v>1557937.5</v>
      </c>
      <c r="G70" s="82">
        <f>E70</f>
        <v>1557937.5</v>
      </c>
    </row>
    <row r="71" spans="2:7" x14ac:dyDescent="0.2">
      <c r="B71" s="53">
        <v>2</v>
      </c>
      <c r="C71" s="81">
        <f>C70</f>
        <v>1557937.5</v>
      </c>
      <c r="D71" s="82">
        <f>12%/12*C71</f>
        <v>15579.375</v>
      </c>
      <c r="E71" s="82">
        <f>E70+F71</f>
        <v>3131454.375</v>
      </c>
      <c r="F71" s="82">
        <f>D71+C71</f>
        <v>1573516.875</v>
      </c>
      <c r="G71" s="82">
        <f>F71-D71</f>
        <v>1557937.5</v>
      </c>
    </row>
    <row r="72" spans="2:7" x14ac:dyDescent="0.2">
      <c r="B72" s="53">
        <v>3</v>
      </c>
      <c r="C72" s="81">
        <f>C71</f>
        <v>1557937.5</v>
      </c>
      <c r="D72" s="82">
        <f>12%/12*E71</f>
        <v>31314.543750000001</v>
      </c>
      <c r="E72" s="82">
        <f>E71+F72</f>
        <v>4720706.4187500002</v>
      </c>
      <c r="F72" s="82">
        <f>C72+D72</f>
        <v>1589252.04375</v>
      </c>
      <c r="G72" s="82">
        <f>F72-D72</f>
        <v>1557937.5</v>
      </c>
    </row>
    <row r="73" spans="2:7" x14ac:dyDescent="0.2">
      <c r="B73" s="53">
        <v>4</v>
      </c>
      <c r="C73" s="81">
        <f>C72</f>
        <v>1557937.5</v>
      </c>
      <c r="D73" s="82">
        <f>12%/12*E72</f>
        <v>47207.0641875</v>
      </c>
      <c r="E73" s="82">
        <f>E72+F73</f>
        <v>6325850.9829374999</v>
      </c>
      <c r="F73" s="82">
        <f>C73+D73</f>
        <v>1605144.5641874999</v>
      </c>
      <c r="G73" s="82">
        <f>F73-D73</f>
        <v>1557937.5</v>
      </c>
    </row>
    <row r="74" spans="2:7" x14ac:dyDescent="0.2">
      <c r="B74" s="53">
        <v>5</v>
      </c>
      <c r="C74" s="81">
        <f>E64</f>
        <v>259656.25</v>
      </c>
      <c r="D74" s="82">
        <f>12%/12*E73</f>
        <v>63258.509829374998</v>
      </c>
      <c r="E74" s="82">
        <f>E73+F74</f>
        <v>6648765.7427668748</v>
      </c>
      <c r="F74" s="82">
        <f>C74+D74</f>
        <v>322914.75982937502</v>
      </c>
      <c r="G74" s="82">
        <f>F74-D74</f>
        <v>259656.25000000003</v>
      </c>
    </row>
    <row r="75" spans="2:7" x14ac:dyDescent="0.2">
      <c r="B75" s="53">
        <v>6</v>
      </c>
      <c r="C75" s="81">
        <f>C74</f>
        <v>259656.25</v>
      </c>
      <c r="D75" s="82">
        <f>12%/12*E74</f>
        <v>66487.657427668746</v>
      </c>
      <c r="E75" s="82">
        <f>E74+F75</f>
        <v>6974909.6501945434</v>
      </c>
      <c r="F75" s="82">
        <f>C75+D75</f>
        <v>326143.90742766875</v>
      </c>
      <c r="G75" s="82">
        <f>F75-D75</f>
        <v>259656.25</v>
      </c>
    </row>
    <row r="76" spans="2:7" x14ac:dyDescent="0.2">
      <c r="B76" s="53">
        <v>7</v>
      </c>
      <c r="C76" s="81">
        <f>C75</f>
        <v>259656.25</v>
      </c>
      <c r="D76" s="82">
        <f>12%/12*E75</f>
        <v>69749.096501945431</v>
      </c>
      <c r="E76" s="82">
        <f>E75+F76</f>
        <v>7304314.9966964889</v>
      </c>
      <c r="F76" s="82">
        <f>C76+D76</f>
        <v>329405.3465019454</v>
      </c>
      <c r="G76" s="82">
        <f>F76-D76</f>
        <v>259656.24999999997</v>
      </c>
    </row>
    <row r="77" spans="2:7" x14ac:dyDescent="0.2">
      <c r="B77" s="53">
        <v>8</v>
      </c>
      <c r="C77" s="81">
        <f>C76</f>
        <v>259656.25</v>
      </c>
      <c r="D77" s="82">
        <f>12%/12*E76</f>
        <v>73043.149966964891</v>
      </c>
      <c r="E77" s="82">
        <f>E76+F77</f>
        <v>7637014.3966634534</v>
      </c>
      <c r="F77" s="82">
        <f>C77+D77</f>
        <v>332699.39996696491</v>
      </c>
      <c r="G77" s="82">
        <f>F77-D77</f>
        <v>259656.25</v>
      </c>
    </row>
    <row r="78" spans="2:7" x14ac:dyDescent="0.2">
      <c r="B78" s="53">
        <v>9</v>
      </c>
      <c r="C78" s="81">
        <f>C77</f>
        <v>259656.25</v>
      </c>
      <c r="D78" s="82">
        <f>12%/12*E77</f>
        <v>76370.14396663454</v>
      </c>
      <c r="E78" s="82">
        <f>E77+F78</f>
        <v>7973040.7906300882</v>
      </c>
      <c r="F78" s="82">
        <f>C78+D78</f>
        <v>336026.39396663452</v>
      </c>
      <c r="G78" s="82">
        <f>F78-D78</f>
        <v>259656.25</v>
      </c>
    </row>
    <row r="79" spans="2:7" x14ac:dyDescent="0.2">
      <c r="B79" s="53">
        <v>10</v>
      </c>
      <c r="C79" s="81">
        <f>C78</f>
        <v>259656.25</v>
      </c>
      <c r="D79" s="82">
        <f>12%/12*E78</f>
        <v>79730.407906300883</v>
      </c>
      <c r="E79" s="82">
        <f>E78+F79</f>
        <v>8312427.4485363886</v>
      </c>
      <c r="F79" s="82">
        <f>C79+D79</f>
        <v>339386.65790630085</v>
      </c>
      <c r="G79" s="82">
        <f>F79-D79</f>
        <v>259656.24999999997</v>
      </c>
    </row>
    <row r="80" spans="2:7" x14ac:dyDescent="0.2">
      <c r="B80" s="53">
        <v>11</v>
      </c>
      <c r="C80" s="81">
        <f>C79</f>
        <v>259656.25</v>
      </c>
      <c r="D80" s="82">
        <f>12%/12*E79</f>
        <v>83124.274485363887</v>
      </c>
      <c r="E80" s="82">
        <f>E79+F80</f>
        <v>8655207.9730217531</v>
      </c>
      <c r="F80" s="82">
        <f>C80+D80</f>
        <v>342780.52448536386</v>
      </c>
      <c r="G80" s="82">
        <f>F80-D80</f>
        <v>259656.24999999997</v>
      </c>
    </row>
    <row r="81" spans="2:7" x14ac:dyDescent="0.2">
      <c r="B81" s="53">
        <v>12</v>
      </c>
      <c r="C81" s="81">
        <f>C80</f>
        <v>259656.25</v>
      </c>
      <c r="D81" s="82">
        <f>12%/12*E80</f>
        <v>86552.079730217534</v>
      </c>
      <c r="E81" s="82">
        <f>E80+F81</f>
        <v>9001416.3027519714</v>
      </c>
      <c r="F81" s="82">
        <f>C81+D81</f>
        <v>346208.32973021752</v>
      </c>
      <c r="G81" s="82">
        <f>F81-D81</f>
        <v>259656.25</v>
      </c>
    </row>
    <row r="82" spans="2:7" ht="16" thickBot="1" x14ac:dyDescent="0.25">
      <c r="C82" s="83">
        <f>SUM(C70:C81)</f>
        <v>8309000</v>
      </c>
      <c r="D82" s="83">
        <f>SUM(D70:D81)</f>
        <v>692416.30275197094</v>
      </c>
      <c r="E82" s="81"/>
      <c r="F82" s="83">
        <f>SUM(F70:F81)</f>
        <v>9001416.3027519714</v>
      </c>
      <c r="G82" s="83">
        <f>SUM(G70:G81)</f>
        <v>8309000</v>
      </c>
    </row>
    <row r="83" spans="2:7" ht="16" thickTop="1" x14ac:dyDescent="0.2">
      <c r="C83" s="58"/>
    </row>
    <row r="84" spans="2:7" x14ac:dyDescent="0.2">
      <c r="B84" s="53" t="s">
        <v>84</v>
      </c>
      <c r="C84" s="58">
        <v>9001416</v>
      </c>
    </row>
    <row r="85" spans="2:7" x14ac:dyDescent="0.2">
      <c r="B85" s="53" t="s">
        <v>83</v>
      </c>
      <c r="C85" s="59">
        <v>25</v>
      </c>
    </row>
    <row r="86" spans="2:7" x14ac:dyDescent="0.2">
      <c r="B86" s="53" t="s">
        <v>82</v>
      </c>
      <c r="C86" s="53">
        <v>10</v>
      </c>
    </row>
    <row r="87" spans="2:7" x14ac:dyDescent="0.2">
      <c r="B87" s="53" t="s">
        <v>81</v>
      </c>
      <c r="C87" s="64">
        <v>0.12</v>
      </c>
    </row>
    <row r="88" spans="2:7" x14ac:dyDescent="0.2">
      <c r="B88" s="53" t="s">
        <v>80</v>
      </c>
      <c r="C88" s="62">
        <v>94805</v>
      </c>
    </row>
    <row r="89" spans="2:7" x14ac:dyDescent="0.2">
      <c r="B89" s="53" t="s">
        <v>79</v>
      </c>
      <c r="C89" s="58">
        <v>1137661</v>
      </c>
    </row>
    <row r="90" spans="2:7" x14ac:dyDescent="0.2">
      <c r="B90" s="53" t="s">
        <v>78</v>
      </c>
      <c r="C90" s="58">
        <v>270042</v>
      </c>
    </row>
    <row r="91" spans="2:7" x14ac:dyDescent="0.2">
      <c r="B91" s="53" t="s">
        <v>77</v>
      </c>
      <c r="C91" s="65">
        <v>0.1255</v>
      </c>
    </row>
    <row r="93" spans="2:7" x14ac:dyDescent="0.2">
      <c r="B93" s="53" t="s">
        <v>32</v>
      </c>
      <c r="C93" s="66">
        <f>PMT(C87/12,C85*12,C84)</f>
        <v>-94805.086451640032</v>
      </c>
    </row>
    <row r="94" spans="2:7" ht="16" thickBot="1" x14ac:dyDescent="0.25">
      <c r="B94" s="80"/>
      <c r="C94" s="80" t="s">
        <v>76</v>
      </c>
      <c r="D94" s="80" t="s">
        <v>75</v>
      </c>
      <c r="E94" s="80" t="s">
        <v>74</v>
      </c>
    </row>
    <row r="95" spans="2:7" ht="16" thickTop="1" x14ac:dyDescent="0.2">
      <c r="B95" s="53" t="s">
        <v>73</v>
      </c>
      <c r="C95" s="84">
        <v>2950071</v>
      </c>
      <c r="D95" s="84">
        <f>9032216-9001416</f>
        <v>30800</v>
      </c>
      <c r="E95" s="84">
        <f>11982287-9001416</f>
        <v>2980871</v>
      </c>
      <c r="F95" s="35"/>
    </row>
    <row r="96" spans="2:7" x14ac:dyDescent="0.2">
      <c r="B96" s="53" t="s">
        <v>72</v>
      </c>
      <c r="C96" s="84">
        <f>C95+D95</f>
        <v>2980871</v>
      </c>
      <c r="D96" s="84"/>
      <c r="E96" s="84"/>
    </row>
    <row r="99" spans="2:7" ht="16" thickBot="1" x14ac:dyDescent="0.25">
      <c r="B99" s="86" t="s">
        <v>71</v>
      </c>
      <c r="C99" s="85">
        <v>2</v>
      </c>
      <c r="D99" s="85">
        <v>3</v>
      </c>
      <c r="E99" s="85">
        <v>4</v>
      </c>
      <c r="F99" s="85">
        <v>5</v>
      </c>
      <c r="G99" s="85">
        <v>6</v>
      </c>
    </row>
    <row r="100" spans="2:7" ht="16" thickTop="1" x14ac:dyDescent="0.2">
      <c r="B100" s="87" t="s">
        <v>70</v>
      </c>
      <c r="C100" s="67"/>
      <c r="D100" s="67"/>
      <c r="E100" s="67"/>
      <c r="F100" s="67"/>
      <c r="G100" s="67"/>
    </row>
    <row r="101" spans="2:7" x14ac:dyDescent="0.2">
      <c r="B101" s="88" t="s">
        <v>69</v>
      </c>
      <c r="C101" s="68">
        <v>1650000</v>
      </c>
      <c r="D101" s="68">
        <v>1749000</v>
      </c>
      <c r="E101" s="68">
        <v>1853940</v>
      </c>
      <c r="F101" s="68">
        <v>1965176</v>
      </c>
      <c r="G101" s="68">
        <v>2083087</v>
      </c>
    </row>
    <row r="102" spans="2:7" x14ac:dyDescent="0.2">
      <c r="B102" s="88" t="s">
        <v>68</v>
      </c>
      <c r="C102" s="69">
        <v>30000</v>
      </c>
      <c r="D102" s="69">
        <v>124800</v>
      </c>
      <c r="E102" s="69">
        <v>129792</v>
      </c>
      <c r="F102" s="69">
        <v>134984</v>
      </c>
      <c r="G102" s="69">
        <v>140383</v>
      </c>
    </row>
    <row r="103" spans="2:7" x14ac:dyDescent="0.2">
      <c r="B103" s="87" t="s">
        <v>67</v>
      </c>
      <c r="C103" s="67"/>
      <c r="D103" s="67"/>
      <c r="E103" s="67"/>
      <c r="F103" s="67"/>
      <c r="G103" s="67"/>
    </row>
    <row r="104" spans="2:7" x14ac:dyDescent="0.2">
      <c r="B104" s="88" t="s">
        <v>60</v>
      </c>
      <c r="C104" s="69">
        <v>137500</v>
      </c>
      <c r="D104" s="69">
        <v>143000</v>
      </c>
      <c r="E104" s="69">
        <v>148720</v>
      </c>
      <c r="F104" s="69">
        <v>154669</v>
      </c>
      <c r="G104" s="69">
        <v>160856</v>
      </c>
    </row>
    <row r="105" spans="2:7" x14ac:dyDescent="0.2">
      <c r="B105" s="88" t="s">
        <v>59</v>
      </c>
      <c r="C105" s="69">
        <v>385000</v>
      </c>
      <c r="D105" s="69">
        <v>400400</v>
      </c>
      <c r="E105" s="69">
        <v>416416</v>
      </c>
      <c r="F105" s="69">
        <v>433073</v>
      </c>
      <c r="G105" s="69">
        <v>450396</v>
      </c>
    </row>
    <row r="106" spans="2:7" x14ac:dyDescent="0.2">
      <c r="B106" s="88" t="s">
        <v>58</v>
      </c>
      <c r="C106" s="69">
        <v>367500</v>
      </c>
      <c r="D106" s="69">
        <v>382200</v>
      </c>
      <c r="E106" s="69">
        <v>397488</v>
      </c>
      <c r="F106" s="69">
        <v>413388</v>
      </c>
      <c r="G106" s="69">
        <v>429923</v>
      </c>
    </row>
    <row r="107" spans="2:7" x14ac:dyDescent="0.2">
      <c r="B107" s="88" t="s">
        <v>57</v>
      </c>
      <c r="C107" s="69">
        <v>33000</v>
      </c>
      <c r="D107" s="69">
        <v>34320</v>
      </c>
      <c r="E107" s="69">
        <v>35693</v>
      </c>
      <c r="F107" s="69">
        <v>37121</v>
      </c>
      <c r="G107" s="69">
        <v>38605</v>
      </c>
    </row>
    <row r="108" spans="2:7" x14ac:dyDescent="0.2">
      <c r="B108" s="87" t="s">
        <v>66</v>
      </c>
      <c r="C108" s="70">
        <v>2603000</v>
      </c>
      <c r="D108" s="70">
        <v>2833720</v>
      </c>
      <c r="E108" s="70">
        <v>2982049</v>
      </c>
      <c r="F108" s="70">
        <v>3138410</v>
      </c>
      <c r="G108" s="70">
        <v>3303249</v>
      </c>
    </row>
    <row r="109" spans="2:7" x14ac:dyDescent="0.2">
      <c r="B109" s="88" t="s">
        <v>65</v>
      </c>
      <c r="C109" s="69">
        <v>780900</v>
      </c>
      <c r="D109" s="69">
        <v>141686</v>
      </c>
      <c r="E109" s="69">
        <v>149102</v>
      </c>
      <c r="F109" s="69">
        <v>156920</v>
      </c>
      <c r="G109" s="69">
        <v>165162</v>
      </c>
    </row>
    <row r="110" spans="2:7" x14ac:dyDescent="0.2">
      <c r="B110" s="87" t="s">
        <v>64</v>
      </c>
      <c r="C110" s="70">
        <v>1822100</v>
      </c>
      <c r="D110" s="70">
        <v>2692034</v>
      </c>
      <c r="E110" s="70">
        <v>2832947</v>
      </c>
      <c r="F110" s="70">
        <v>2981490</v>
      </c>
      <c r="G110" s="70">
        <v>3138087</v>
      </c>
    </row>
    <row r="111" spans="2:7" x14ac:dyDescent="0.2">
      <c r="B111" s="87" t="s">
        <v>63</v>
      </c>
      <c r="C111" s="67"/>
      <c r="D111" s="67"/>
      <c r="E111" s="67"/>
      <c r="F111" s="67"/>
      <c r="G111" s="67"/>
    </row>
    <row r="112" spans="2:7" x14ac:dyDescent="0.2">
      <c r="B112" s="88" t="s">
        <v>62</v>
      </c>
      <c r="C112" s="68">
        <v>104500</v>
      </c>
      <c r="D112" s="68">
        <v>93690</v>
      </c>
      <c r="E112" s="68">
        <v>99187</v>
      </c>
      <c r="F112" s="68">
        <v>105008</v>
      </c>
      <c r="G112" s="68">
        <v>111174</v>
      </c>
    </row>
    <row r="113" spans="2:7" x14ac:dyDescent="0.2">
      <c r="B113" s="88" t="s">
        <v>61</v>
      </c>
      <c r="C113" s="69">
        <v>77000</v>
      </c>
      <c r="D113" s="69">
        <v>80080</v>
      </c>
      <c r="E113" s="69">
        <v>83283</v>
      </c>
      <c r="F113" s="69">
        <v>86615</v>
      </c>
      <c r="G113" s="69">
        <v>90079</v>
      </c>
    </row>
    <row r="114" spans="2:7" x14ac:dyDescent="0.2">
      <c r="B114" s="88" t="s">
        <v>60</v>
      </c>
      <c r="C114" s="69">
        <v>137500</v>
      </c>
      <c r="D114" s="69">
        <v>143000</v>
      </c>
      <c r="E114" s="69">
        <v>148720</v>
      </c>
      <c r="F114" s="69">
        <v>154669</v>
      </c>
      <c r="G114" s="69">
        <v>160856</v>
      </c>
    </row>
    <row r="115" spans="2:7" x14ac:dyDescent="0.2">
      <c r="B115" s="88" t="s">
        <v>59</v>
      </c>
      <c r="C115" s="69">
        <v>385000</v>
      </c>
      <c r="D115" s="69">
        <v>400400</v>
      </c>
      <c r="E115" s="69">
        <v>416416</v>
      </c>
      <c r="F115" s="69">
        <v>433073</v>
      </c>
      <c r="G115" s="69">
        <v>450396</v>
      </c>
    </row>
    <row r="116" spans="2:7" x14ac:dyDescent="0.2">
      <c r="B116" s="88" t="s">
        <v>58</v>
      </c>
      <c r="C116" s="69">
        <v>300300</v>
      </c>
      <c r="D116" s="69">
        <v>312312</v>
      </c>
      <c r="E116" s="69">
        <v>324804</v>
      </c>
      <c r="F116" s="69">
        <v>337797</v>
      </c>
      <c r="G116" s="69">
        <v>351309</v>
      </c>
    </row>
    <row r="117" spans="2:7" x14ac:dyDescent="0.2">
      <c r="B117" s="88" t="s">
        <v>57</v>
      </c>
      <c r="C117" s="69">
        <v>33000</v>
      </c>
      <c r="D117" s="69">
        <v>34320</v>
      </c>
      <c r="E117" s="69">
        <v>35693</v>
      </c>
      <c r="F117" s="69">
        <v>37121</v>
      </c>
      <c r="G117" s="69">
        <v>38605</v>
      </c>
    </row>
    <row r="118" spans="2:7" x14ac:dyDescent="0.2">
      <c r="B118" s="88" t="s">
        <v>56</v>
      </c>
      <c r="C118" s="69">
        <v>27500</v>
      </c>
      <c r="D118" s="69">
        <v>28600</v>
      </c>
      <c r="E118" s="69">
        <v>29744</v>
      </c>
      <c r="F118" s="69">
        <v>30934</v>
      </c>
      <c r="G118" s="69">
        <v>32171</v>
      </c>
    </row>
    <row r="119" spans="2:7" x14ac:dyDescent="0.2">
      <c r="B119" s="87" t="s">
        <v>55</v>
      </c>
      <c r="C119" s="70">
        <v>1064800</v>
      </c>
      <c r="D119" s="70">
        <v>1092402</v>
      </c>
      <c r="E119" s="70">
        <v>1137847</v>
      </c>
      <c r="F119" s="70">
        <v>1185215</v>
      </c>
      <c r="G119" s="70">
        <v>1234589</v>
      </c>
    </row>
    <row r="120" spans="2:7" x14ac:dyDescent="0.2">
      <c r="B120" s="89"/>
    </row>
    <row r="121" spans="2:7" x14ac:dyDescent="0.2">
      <c r="B121" s="87" t="s">
        <v>23</v>
      </c>
      <c r="C121" s="71">
        <f>C110-C119</f>
        <v>757300</v>
      </c>
      <c r="D121" s="90">
        <f>D110-D119</f>
        <v>1599632</v>
      </c>
      <c r="E121" s="90">
        <f>E110-E119</f>
        <v>1695100</v>
      </c>
      <c r="F121" s="90">
        <f>F110-F119</f>
        <v>1796275</v>
      </c>
      <c r="G121" s="90">
        <f>G110-G119</f>
        <v>1903498</v>
      </c>
    </row>
    <row r="122" spans="2:7" x14ac:dyDescent="0.2">
      <c r="B122" s="88" t="s">
        <v>42</v>
      </c>
      <c r="C122" s="61">
        <f>C89</f>
        <v>1137661</v>
      </c>
      <c r="D122" s="82">
        <f>C122</f>
        <v>1137661</v>
      </c>
      <c r="E122" s="82">
        <f>D122</f>
        <v>1137661</v>
      </c>
      <c r="F122" s="82">
        <f>E122</f>
        <v>1137661</v>
      </c>
      <c r="G122" s="82">
        <f>F122</f>
        <v>1137661</v>
      </c>
    </row>
    <row r="123" spans="2:7" x14ac:dyDescent="0.2">
      <c r="B123" s="89"/>
      <c r="D123" s="84"/>
      <c r="E123" s="84"/>
      <c r="F123" s="84"/>
      <c r="G123" s="84"/>
    </row>
    <row r="124" spans="2:7" x14ac:dyDescent="0.2">
      <c r="B124" s="89" t="s">
        <v>43</v>
      </c>
      <c r="C124" s="72">
        <f>C121-C122</f>
        <v>-380361</v>
      </c>
      <c r="D124" s="91">
        <f>D121-D122</f>
        <v>461971</v>
      </c>
      <c r="E124" s="91">
        <f>E121-E122</f>
        <v>557439</v>
      </c>
      <c r="F124" s="91">
        <f>F121-F122</f>
        <v>658614</v>
      </c>
      <c r="G124" s="91">
        <f>G121-G122</f>
        <v>765837</v>
      </c>
    </row>
    <row r="125" spans="2:7" x14ac:dyDescent="0.2">
      <c r="B125" s="89"/>
      <c r="D125" s="84"/>
      <c r="E125" s="84"/>
      <c r="F125" s="84"/>
      <c r="G125" s="84"/>
    </row>
    <row r="126" spans="2:7" x14ac:dyDescent="0.2">
      <c r="B126" s="89" t="s">
        <v>54</v>
      </c>
      <c r="C126" s="54">
        <f>D119/D110</f>
        <v>0.40579056579523143</v>
      </c>
    </row>
    <row r="127" spans="2:7" x14ac:dyDescent="0.2">
      <c r="B127" s="89" t="s">
        <v>51</v>
      </c>
      <c r="C127" s="73">
        <f>D121/D122</f>
        <v>1.4060708770011454</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881-4D03-8142-9A64-EE5DA4AB0974}">
  <dimension ref="B1:I127"/>
  <sheetViews>
    <sheetView tabSelected="1" zoomScale="125" zoomScaleNormal="110" workbookViewId="0">
      <selection activeCell="D78" sqref="D78"/>
    </sheetView>
  </sheetViews>
  <sheetFormatPr baseColWidth="10" defaultColWidth="11.5" defaultRowHeight="15" x14ac:dyDescent="0.2"/>
  <cols>
    <col min="1" max="1" width="17.1640625" bestFit="1" customWidth="1"/>
    <col min="2" max="2" width="31.5" bestFit="1" customWidth="1"/>
    <col min="3" max="3" width="23.5" style="26" bestFit="1" customWidth="1"/>
    <col min="4" max="4" width="12.83203125" customWidth="1"/>
    <col min="5" max="5" width="26.5" customWidth="1"/>
    <col min="6" max="6" width="15.1640625" customWidth="1"/>
    <col min="7" max="7" width="22.6640625" bestFit="1" customWidth="1"/>
    <col min="8" max="8" width="11.83203125" customWidth="1"/>
    <col min="9" max="9" width="14.5" customWidth="1"/>
  </cols>
  <sheetData>
    <row r="1" spans="4:9" x14ac:dyDescent="0.2">
      <c r="D1" s="10"/>
    </row>
    <row r="3" spans="4:9" x14ac:dyDescent="0.2">
      <c r="D3" s="10"/>
    </row>
    <row r="4" spans="4:9" x14ac:dyDescent="0.2">
      <c r="D4" s="10"/>
    </row>
    <row r="5" spans="4:9" x14ac:dyDescent="0.2">
      <c r="D5" s="10"/>
      <c r="E5" s="51" t="s">
        <v>118</v>
      </c>
      <c r="F5" s="51"/>
      <c r="G5" s="51"/>
      <c r="H5" s="51"/>
      <c r="I5" s="51"/>
    </row>
    <row r="6" spans="4:9" x14ac:dyDescent="0.2">
      <c r="D6" s="10"/>
      <c r="E6" s="131" t="s">
        <v>214</v>
      </c>
      <c r="F6" s="145" t="s">
        <v>213</v>
      </c>
      <c r="G6" s="145" t="s">
        <v>212</v>
      </c>
      <c r="H6" s="145" t="s">
        <v>211</v>
      </c>
      <c r="I6" s="145" t="s">
        <v>210</v>
      </c>
    </row>
    <row r="7" spans="4:9" x14ac:dyDescent="0.2">
      <c r="D7" s="10"/>
      <c r="E7" s="128" t="s">
        <v>209</v>
      </c>
      <c r="F7" s="140"/>
      <c r="G7" s="144">
        <v>510000</v>
      </c>
      <c r="H7" s="144">
        <v>525000</v>
      </c>
      <c r="I7" s="144">
        <v>499000</v>
      </c>
    </row>
    <row r="8" spans="4:9" x14ac:dyDescent="0.2">
      <c r="D8" s="10"/>
      <c r="E8" s="128" t="s">
        <v>208</v>
      </c>
      <c r="F8" s="140"/>
      <c r="G8" s="140"/>
      <c r="H8" s="140"/>
      <c r="I8" s="140"/>
    </row>
    <row r="9" spans="4:9" x14ac:dyDescent="0.2">
      <c r="D9" s="10"/>
      <c r="E9" s="128" t="s">
        <v>207</v>
      </c>
      <c r="F9" s="140" t="s">
        <v>206</v>
      </c>
      <c r="G9" s="140" t="s">
        <v>173</v>
      </c>
      <c r="H9" s="140" t="s">
        <v>173</v>
      </c>
      <c r="I9" s="140" t="s">
        <v>173</v>
      </c>
    </row>
    <row r="10" spans="4:9" x14ac:dyDescent="0.2">
      <c r="D10" s="10"/>
      <c r="E10" s="128" t="s">
        <v>205</v>
      </c>
      <c r="F10" s="140" t="s">
        <v>204</v>
      </c>
      <c r="G10" s="140" t="s">
        <v>173</v>
      </c>
      <c r="H10" s="140" t="s">
        <v>173</v>
      </c>
      <c r="I10" s="140" t="s">
        <v>173</v>
      </c>
    </row>
    <row r="11" spans="4:9" x14ac:dyDescent="0.2">
      <c r="D11" s="10"/>
      <c r="E11" s="128" t="s">
        <v>203</v>
      </c>
      <c r="F11" s="140" t="s">
        <v>202</v>
      </c>
      <c r="G11" s="140" t="s">
        <v>173</v>
      </c>
      <c r="H11" s="140" t="s">
        <v>173</v>
      </c>
      <c r="I11" s="140" t="s">
        <v>173</v>
      </c>
    </row>
    <row r="12" spans="4:9" x14ac:dyDescent="0.2">
      <c r="E12" s="128" t="s">
        <v>201</v>
      </c>
      <c r="F12" s="140"/>
      <c r="G12" s="140" t="s">
        <v>200</v>
      </c>
      <c r="H12" s="144">
        <v>3000</v>
      </c>
      <c r="I12" s="140" t="s">
        <v>200</v>
      </c>
    </row>
    <row r="13" spans="4:9" x14ac:dyDescent="0.2">
      <c r="E13" s="128" t="s">
        <v>199</v>
      </c>
      <c r="F13" s="140" t="s">
        <v>198</v>
      </c>
      <c r="G13" s="140">
        <v>3</v>
      </c>
      <c r="H13" s="140">
        <v>6</v>
      </c>
      <c r="I13" s="140">
        <v>6</v>
      </c>
    </row>
    <row r="14" spans="4:9" x14ac:dyDescent="0.2">
      <c r="D14" s="10"/>
      <c r="E14" s="128" t="s">
        <v>197</v>
      </c>
      <c r="F14" s="140"/>
      <c r="G14" s="143">
        <v>0.02</v>
      </c>
      <c r="H14" s="143">
        <v>0.04</v>
      </c>
      <c r="I14" s="143">
        <v>0.04</v>
      </c>
    </row>
    <row r="15" spans="4:9" x14ac:dyDescent="0.2">
      <c r="D15" s="10"/>
      <c r="E15" s="142" t="s">
        <v>196</v>
      </c>
      <c r="F15" s="140"/>
      <c r="G15" s="140"/>
      <c r="H15" s="140"/>
      <c r="I15" s="140"/>
    </row>
    <row r="16" spans="4:9" x14ac:dyDescent="0.2">
      <c r="E16" s="128" t="s">
        <v>195</v>
      </c>
      <c r="F16" s="140" t="s">
        <v>194</v>
      </c>
      <c r="G16" s="140" t="s">
        <v>193</v>
      </c>
      <c r="H16" s="140" t="s">
        <v>192</v>
      </c>
      <c r="I16" s="140" t="s">
        <v>191</v>
      </c>
    </row>
    <row r="17" spans="4:9" x14ac:dyDescent="0.2">
      <c r="E17" s="142" t="s">
        <v>190</v>
      </c>
      <c r="F17" s="140"/>
      <c r="G17" s="140"/>
      <c r="H17" s="140"/>
      <c r="I17" s="140"/>
    </row>
    <row r="18" spans="4:9" x14ac:dyDescent="0.2">
      <c r="D18" s="10"/>
      <c r="E18" s="128" t="s">
        <v>144</v>
      </c>
      <c r="F18" s="141">
        <v>6662</v>
      </c>
      <c r="G18" s="141">
        <v>6700</v>
      </c>
      <c r="H18" s="141">
        <v>6800</v>
      </c>
      <c r="I18" s="141">
        <v>6600</v>
      </c>
    </row>
    <row r="19" spans="4:9" x14ac:dyDescent="0.2">
      <c r="E19" s="128" t="s">
        <v>189</v>
      </c>
      <c r="F19" s="140" t="s">
        <v>188</v>
      </c>
      <c r="G19" s="140" t="s">
        <v>188</v>
      </c>
      <c r="H19" s="140" t="s">
        <v>188</v>
      </c>
      <c r="I19" s="140" t="s">
        <v>188</v>
      </c>
    </row>
    <row r="20" spans="4:9" x14ac:dyDescent="0.2">
      <c r="E20" s="128" t="s">
        <v>187</v>
      </c>
      <c r="F20" s="140" t="s">
        <v>186</v>
      </c>
      <c r="G20" s="140" t="s">
        <v>186</v>
      </c>
      <c r="H20" s="140" t="s">
        <v>186</v>
      </c>
      <c r="I20" s="140" t="s">
        <v>186</v>
      </c>
    </row>
    <row r="21" spans="4:9" x14ac:dyDescent="0.2">
      <c r="E21" s="128" t="s">
        <v>185</v>
      </c>
      <c r="F21" s="140">
        <v>5.5</v>
      </c>
      <c r="G21" s="140">
        <v>7</v>
      </c>
      <c r="H21" s="140">
        <v>8</v>
      </c>
      <c r="I21" s="140">
        <v>10</v>
      </c>
    </row>
    <row r="22" spans="4:9" x14ac:dyDescent="0.2">
      <c r="E22" s="128" t="s">
        <v>142</v>
      </c>
      <c r="F22" s="141">
        <v>3473</v>
      </c>
      <c r="G22" s="141">
        <v>3920</v>
      </c>
      <c r="H22" s="141">
        <v>3985</v>
      </c>
      <c r="I22" s="141">
        <v>3835</v>
      </c>
    </row>
    <row r="23" spans="4:9" x14ac:dyDescent="0.2">
      <c r="E23" s="128" t="s">
        <v>184</v>
      </c>
      <c r="F23" s="140">
        <v>3</v>
      </c>
      <c r="G23" s="140">
        <v>3</v>
      </c>
      <c r="H23" s="140">
        <v>3</v>
      </c>
      <c r="I23" s="140">
        <v>2</v>
      </c>
    </row>
    <row r="24" spans="4:9" x14ac:dyDescent="0.2">
      <c r="E24" s="128" t="s">
        <v>183</v>
      </c>
      <c r="F24" s="17"/>
      <c r="G24" s="17">
        <v>1</v>
      </c>
      <c r="H24" s="17"/>
      <c r="I24" s="17"/>
    </row>
    <row r="25" spans="4:9" x14ac:dyDescent="0.2">
      <c r="E25" s="128" t="s">
        <v>182</v>
      </c>
      <c r="F25" s="140">
        <v>2</v>
      </c>
      <c r="G25" s="140">
        <v>2</v>
      </c>
      <c r="H25" s="140">
        <v>2</v>
      </c>
      <c r="I25" s="140">
        <v>1</v>
      </c>
    </row>
    <row r="26" spans="4:9" x14ac:dyDescent="0.2">
      <c r="E26" s="128" t="s">
        <v>138</v>
      </c>
      <c r="F26" s="140" t="s">
        <v>181</v>
      </c>
      <c r="G26" s="140" t="s">
        <v>180</v>
      </c>
      <c r="H26" s="140" t="s">
        <v>180</v>
      </c>
      <c r="I26" s="140" t="s">
        <v>180</v>
      </c>
    </row>
    <row r="27" spans="4:9" x14ac:dyDescent="0.2">
      <c r="E27" s="128" t="s">
        <v>179</v>
      </c>
      <c r="F27" s="140" t="s">
        <v>171</v>
      </c>
      <c r="G27" s="140" t="s">
        <v>171</v>
      </c>
      <c r="H27" s="140" t="s">
        <v>157</v>
      </c>
      <c r="I27" s="140" t="s">
        <v>157</v>
      </c>
    </row>
    <row r="28" spans="4:9" x14ac:dyDescent="0.2">
      <c r="E28" s="128" t="s">
        <v>178</v>
      </c>
      <c r="F28" s="140" t="s">
        <v>177</v>
      </c>
      <c r="G28" s="140" t="s">
        <v>177</v>
      </c>
      <c r="H28" s="140" t="s">
        <v>177</v>
      </c>
      <c r="I28" s="140" t="s">
        <v>177</v>
      </c>
    </row>
    <row r="29" spans="4:9" x14ac:dyDescent="0.2">
      <c r="E29" s="128" t="s">
        <v>176</v>
      </c>
      <c r="F29" s="140" t="s">
        <v>175</v>
      </c>
      <c r="G29" s="140" t="s">
        <v>174</v>
      </c>
      <c r="H29" s="140" t="s">
        <v>173</v>
      </c>
      <c r="I29" s="140" t="s">
        <v>173</v>
      </c>
    </row>
    <row r="30" spans="4:9" x14ac:dyDescent="0.2">
      <c r="E30" s="128" t="s">
        <v>172</v>
      </c>
      <c r="F30" s="140" t="s">
        <v>171</v>
      </c>
      <c r="G30" s="140" t="s">
        <v>171</v>
      </c>
      <c r="H30" s="140" t="s">
        <v>171</v>
      </c>
      <c r="I30" s="140" t="s">
        <v>171</v>
      </c>
    </row>
    <row r="31" spans="4:9" x14ac:dyDescent="0.2">
      <c r="E31" s="139"/>
      <c r="F31" s="133"/>
      <c r="G31" s="133"/>
      <c r="H31" s="133"/>
      <c r="I31" s="133"/>
    </row>
    <row r="32" spans="4:9" x14ac:dyDescent="0.2">
      <c r="E32" s="1" t="s">
        <v>170</v>
      </c>
      <c r="F32" s="138"/>
      <c r="G32" s="137"/>
      <c r="H32" s="133" t="s">
        <v>169</v>
      </c>
      <c r="I32" s="133"/>
    </row>
    <row r="33" spans="5:9" x14ac:dyDescent="0.2">
      <c r="E33" s="3" t="s">
        <v>168</v>
      </c>
      <c r="F33" s="136"/>
      <c r="G33" s="17" t="s">
        <v>167</v>
      </c>
      <c r="H33" s="133"/>
      <c r="I33" s="133"/>
    </row>
    <row r="34" spans="5:9" x14ac:dyDescent="0.2">
      <c r="E34" s="3" t="s">
        <v>166</v>
      </c>
      <c r="F34" s="135">
        <v>20</v>
      </c>
      <c r="G34" s="17" t="s">
        <v>165</v>
      </c>
      <c r="H34" s="133"/>
      <c r="I34" s="133"/>
    </row>
    <row r="35" spans="5:9" x14ac:dyDescent="0.2">
      <c r="E35" s="3" t="s">
        <v>142</v>
      </c>
      <c r="F35" s="134">
        <v>80</v>
      </c>
      <c r="G35" s="17" t="s">
        <v>165</v>
      </c>
      <c r="H35" s="133"/>
      <c r="I35" s="133"/>
    </row>
    <row r="36" spans="5:9" x14ac:dyDescent="0.2">
      <c r="E36" s="3" t="s">
        <v>164</v>
      </c>
      <c r="F36" s="134">
        <v>3000</v>
      </c>
      <c r="G36" s="17" t="s">
        <v>163</v>
      </c>
      <c r="H36" s="133"/>
      <c r="I36" s="133"/>
    </row>
    <row r="37" spans="5:9" x14ac:dyDescent="0.2">
      <c r="E37" s="3" t="s">
        <v>162</v>
      </c>
      <c r="F37" s="134">
        <v>500</v>
      </c>
      <c r="G37" s="17" t="s">
        <v>160</v>
      </c>
      <c r="H37" s="133"/>
      <c r="I37" s="133"/>
    </row>
    <row r="38" spans="5:9" x14ac:dyDescent="0.2">
      <c r="E38" s="3" t="s">
        <v>161</v>
      </c>
      <c r="F38" s="134">
        <v>1000</v>
      </c>
      <c r="G38" s="17" t="s">
        <v>160</v>
      </c>
      <c r="H38" s="133"/>
      <c r="I38" s="133"/>
    </row>
    <row r="39" spans="5:9" x14ac:dyDescent="0.2">
      <c r="E39" s="3" t="s">
        <v>159</v>
      </c>
      <c r="F39" s="134">
        <v>8000</v>
      </c>
      <c r="G39" s="17" t="s">
        <v>158</v>
      </c>
      <c r="H39" s="133"/>
      <c r="I39" s="133"/>
    </row>
    <row r="40" spans="5:9" x14ac:dyDescent="0.2">
      <c r="E40" s="3" t="s">
        <v>157</v>
      </c>
      <c r="F40" s="134">
        <v>12000</v>
      </c>
      <c r="G40" s="17" t="s">
        <v>155</v>
      </c>
      <c r="H40" s="133"/>
      <c r="I40" s="133"/>
    </row>
    <row r="41" spans="5:9" x14ac:dyDescent="0.2">
      <c r="E41" s="3" t="s">
        <v>156</v>
      </c>
      <c r="F41" s="134">
        <v>1000</v>
      </c>
      <c r="G41" s="17" t="s">
        <v>155</v>
      </c>
      <c r="H41" s="133"/>
      <c r="I41" s="133"/>
    </row>
    <row r="42" spans="5:9" x14ac:dyDescent="0.2">
      <c r="E42" s="3" t="s">
        <v>154</v>
      </c>
      <c r="F42" s="132">
        <v>0.03</v>
      </c>
      <c r="G42" s="17" t="s">
        <v>153</v>
      </c>
    </row>
    <row r="44" spans="5:9" x14ac:dyDescent="0.2">
      <c r="E44" s="131" t="s">
        <v>152</v>
      </c>
      <c r="F44" s="131" t="s">
        <v>151</v>
      </c>
      <c r="G44" s="131" t="s">
        <v>150</v>
      </c>
      <c r="H44" s="131" t="s">
        <v>149</v>
      </c>
      <c r="I44" s="131" t="s">
        <v>148</v>
      </c>
    </row>
    <row r="45" spans="5:9" x14ac:dyDescent="0.2">
      <c r="E45" s="128" t="s">
        <v>147</v>
      </c>
      <c r="F45" s="128"/>
      <c r="G45" s="126">
        <f>G7*(1+G14)-G7</f>
        <v>10200</v>
      </c>
      <c r="H45" s="126">
        <f>H7*(1+H14)-H7</f>
        <v>21000</v>
      </c>
      <c r="I45" s="126">
        <f>I7*(1+I14)-I7</f>
        <v>19960</v>
      </c>
    </row>
    <row r="46" spans="5:9" x14ac:dyDescent="0.2">
      <c r="E46" s="128" t="s">
        <v>146</v>
      </c>
      <c r="F46" s="3"/>
      <c r="G46" s="126">
        <v>0</v>
      </c>
      <c r="H46" s="130">
        <v>3000</v>
      </c>
      <c r="I46" s="126">
        <v>0</v>
      </c>
    </row>
    <row r="47" spans="5:9" x14ac:dyDescent="0.2">
      <c r="E47" s="129" t="s">
        <v>136</v>
      </c>
      <c r="F47" s="125"/>
      <c r="G47" s="124">
        <f>G7+G45</f>
        <v>520200</v>
      </c>
      <c r="H47" s="124">
        <f>H7+H45 +H46</f>
        <v>549000</v>
      </c>
      <c r="I47" s="124">
        <f>I7+I45</f>
        <v>518960</v>
      </c>
    </row>
    <row r="48" spans="5:9" x14ac:dyDescent="0.2">
      <c r="E48" s="3" t="s">
        <v>145</v>
      </c>
      <c r="F48" s="128"/>
      <c r="G48" s="126">
        <v>0</v>
      </c>
      <c r="H48" s="126">
        <f>-$F$42*H7</f>
        <v>-15750</v>
      </c>
      <c r="I48" s="126">
        <f>-$F$42*I7</f>
        <v>-14970</v>
      </c>
    </row>
    <row r="49" spans="5:9" x14ac:dyDescent="0.2">
      <c r="E49" s="129" t="s">
        <v>136</v>
      </c>
      <c r="F49" s="125"/>
      <c r="G49" s="124">
        <f>G47+G48</f>
        <v>520200</v>
      </c>
      <c r="H49" s="124">
        <f>H47+H48</f>
        <v>533250</v>
      </c>
      <c r="I49" s="124">
        <f>I47+I48</f>
        <v>503990</v>
      </c>
    </row>
    <row r="50" spans="5:9" x14ac:dyDescent="0.2">
      <c r="E50" s="128" t="s">
        <v>144</v>
      </c>
      <c r="F50" s="3"/>
      <c r="G50" s="126">
        <f>(F18-G18)*$F$34</f>
        <v>-760</v>
      </c>
      <c r="H50" s="126">
        <f>(F18-H18)*$F$34</f>
        <v>-2760</v>
      </c>
      <c r="I50" s="126">
        <f>(F18-I18)*$F$34</f>
        <v>1240</v>
      </c>
    </row>
    <row r="51" spans="5:9" x14ac:dyDescent="0.2">
      <c r="E51" s="125" t="s">
        <v>136</v>
      </c>
      <c r="F51" s="125"/>
      <c r="G51" s="124">
        <f>G49+G50</f>
        <v>519440</v>
      </c>
      <c r="H51" s="124">
        <f>H49+H50</f>
        <v>530490</v>
      </c>
      <c r="I51" s="124">
        <f>I49+I50</f>
        <v>505230</v>
      </c>
    </row>
    <row r="52" spans="5:9" x14ac:dyDescent="0.2">
      <c r="E52" s="3" t="s">
        <v>143</v>
      </c>
      <c r="F52" s="128"/>
      <c r="G52" s="126">
        <f>-($F$21-G21)*$F$36</f>
        <v>4500</v>
      </c>
      <c r="H52" s="126">
        <f>-($F$21-H21)*$F$36</f>
        <v>7500</v>
      </c>
      <c r="I52" s="126">
        <f>-($F$21-I21)*$F$36</f>
        <v>13500</v>
      </c>
    </row>
    <row r="53" spans="5:9" x14ac:dyDescent="0.2">
      <c r="E53" s="125" t="s">
        <v>136</v>
      </c>
      <c r="F53" s="125"/>
      <c r="G53" s="124">
        <f>G51+G52</f>
        <v>523940</v>
      </c>
      <c r="H53" s="124">
        <f>H51+H52</f>
        <v>537990</v>
      </c>
      <c r="I53" s="124">
        <f>I51+I52</f>
        <v>518730</v>
      </c>
    </row>
    <row r="54" spans="5:9" x14ac:dyDescent="0.2">
      <c r="E54" s="3" t="s">
        <v>142</v>
      </c>
      <c r="F54" s="127"/>
      <c r="G54" s="126">
        <f>($F$22-G22)*$F$35</f>
        <v>-35760</v>
      </c>
      <c r="H54" s="126">
        <f>($F$22-H22)*$F$35</f>
        <v>-40960</v>
      </c>
      <c r="I54" s="126">
        <f>($F$22-I22)*$F$35</f>
        <v>-28960</v>
      </c>
    </row>
    <row r="55" spans="5:9" x14ac:dyDescent="0.2">
      <c r="E55" s="125" t="s">
        <v>136</v>
      </c>
      <c r="F55" s="125"/>
      <c r="G55" s="124">
        <f>G53+G54</f>
        <v>488180</v>
      </c>
      <c r="H55" s="124">
        <f>H53+H54</f>
        <v>497030</v>
      </c>
      <c r="I55" s="124">
        <f>I53+I54</f>
        <v>489770</v>
      </c>
    </row>
    <row r="56" spans="5:9" x14ac:dyDescent="0.2">
      <c r="E56" s="3" t="s">
        <v>141</v>
      </c>
      <c r="F56" s="3"/>
      <c r="G56" s="126">
        <v>0</v>
      </c>
      <c r="H56" s="126">
        <v>0</v>
      </c>
      <c r="I56" s="126">
        <f>(F23-I23)*F38</f>
        <v>1000</v>
      </c>
    </row>
    <row r="57" spans="5:9" x14ac:dyDescent="0.2">
      <c r="E57" s="125" t="s">
        <v>136</v>
      </c>
      <c r="F57" s="125"/>
      <c r="G57" s="124">
        <f>G55+G56</f>
        <v>488180</v>
      </c>
      <c r="H57" s="124">
        <f>H55+H56</f>
        <v>497030</v>
      </c>
      <c r="I57" s="124">
        <f>I55+I56</f>
        <v>490770</v>
      </c>
    </row>
    <row r="58" spans="5:9" x14ac:dyDescent="0.2">
      <c r="E58" s="3" t="s">
        <v>140</v>
      </c>
      <c r="F58" s="3"/>
      <c r="G58" s="126">
        <f>-G24*F37</f>
        <v>-500</v>
      </c>
      <c r="H58" s="126">
        <v>0</v>
      </c>
      <c r="I58" s="126">
        <v>0</v>
      </c>
    </row>
    <row r="59" spans="5:9" x14ac:dyDescent="0.2">
      <c r="E59" s="125" t="s">
        <v>136</v>
      </c>
      <c r="F59" s="125"/>
      <c r="G59" s="124">
        <f>G57+G58</f>
        <v>487680</v>
      </c>
      <c r="H59" s="124">
        <f>H57+H58</f>
        <v>497030</v>
      </c>
      <c r="I59" s="124">
        <f>I57+I58</f>
        <v>490770</v>
      </c>
    </row>
    <row r="60" spans="5:9" x14ac:dyDescent="0.2">
      <c r="E60" s="3" t="s">
        <v>139</v>
      </c>
      <c r="F60" s="3"/>
      <c r="G60" s="126">
        <v>0</v>
      </c>
      <c r="H60" s="126">
        <v>0</v>
      </c>
      <c r="I60" s="126">
        <f>(F25-I25)*F39</f>
        <v>8000</v>
      </c>
    </row>
    <row r="61" spans="5:9" x14ac:dyDescent="0.2">
      <c r="E61" s="125" t="s">
        <v>136</v>
      </c>
      <c r="F61" s="125"/>
      <c r="G61" s="124">
        <f>G59+G60</f>
        <v>487680</v>
      </c>
      <c r="H61" s="124">
        <f>H59+H60</f>
        <v>497030</v>
      </c>
      <c r="I61" s="124">
        <f>I59+I60</f>
        <v>498770</v>
      </c>
    </row>
    <row r="62" spans="5:9" x14ac:dyDescent="0.2">
      <c r="E62" s="3" t="s">
        <v>138</v>
      </c>
      <c r="F62" s="3"/>
      <c r="G62" s="126">
        <f>$F$41</f>
        <v>1000</v>
      </c>
      <c r="H62" s="126">
        <f>$F$41</f>
        <v>1000</v>
      </c>
      <c r="I62" s="126">
        <f>$F$41</f>
        <v>1000</v>
      </c>
    </row>
    <row r="63" spans="5:9" x14ac:dyDescent="0.2">
      <c r="E63" s="125" t="s">
        <v>136</v>
      </c>
      <c r="F63" s="125"/>
      <c r="G63" s="124">
        <f>G61+G62</f>
        <v>488680</v>
      </c>
      <c r="H63" s="124">
        <f>H61+H62</f>
        <v>498030</v>
      </c>
      <c r="I63" s="124">
        <f>I61+I62</f>
        <v>499770</v>
      </c>
    </row>
    <row r="64" spans="5:9" x14ac:dyDescent="0.2">
      <c r="E64" s="3" t="s">
        <v>137</v>
      </c>
      <c r="F64" s="3"/>
      <c r="G64" s="126"/>
      <c r="H64" s="126">
        <f>-$F$40</f>
        <v>-12000</v>
      </c>
      <c r="I64" s="126">
        <f>-$F$40</f>
        <v>-12000</v>
      </c>
    </row>
    <row r="65" spans="2:9" x14ac:dyDescent="0.2">
      <c r="E65" s="125" t="s">
        <v>136</v>
      </c>
      <c r="F65" s="125"/>
      <c r="G65" s="124">
        <f>G63+G64</f>
        <v>488680</v>
      </c>
      <c r="H65" s="124">
        <f>H63+H64</f>
        <v>486030</v>
      </c>
      <c r="I65" s="124">
        <f>I63+I64</f>
        <v>487770</v>
      </c>
    </row>
    <row r="66" spans="2:9" x14ac:dyDescent="0.2">
      <c r="E66" s="123" t="s">
        <v>135</v>
      </c>
      <c r="F66" s="123"/>
      <c r="G66" s="122">
        <f>G65</f>
        <v>488680</v>
      </c>
      <c r="H66" s="122">
        <f>H65</f>
        <v>486030</v>
      </c>
      <c r="I66" s="122">
        <f>I65</f>
        <v>487770</v>
      </c>
    </row>
    <row r="67" spans="2:9" x14ac:dyDescent="0.2">
      <c r="G67" s="50"/>
      <c r="H67" s="50"/>
      <c r="I67" s="50"/>
    </row>
    <row r="68" spans="2:9" x14ac:dyDescent="0.2">
      <c r="G68" s="50"/>
      <c r="H68" s="50"/>
      <c r="I68" s="50"/>
    </row>
    <row r="69" spans="2:9" s="111" customFormat="1" x14ac:dyDescent="0.2">
      <c r="C69" s="112"/>
      <c r="G69" s="121"/>
      <c r="H69" s="121"/>
      <c r="I69" s="121"/>
    </row>
    <row r="70" spans="2:9" x14ac:dyDescent="0.2">
      <c r="G70" s="120"/>
      <c r="H70" s="120"/>
      <c r="I70" s="120"/>
    </row>
    <row r="71" spans="2:9" x14ac:dyDescent="0.2">
      <c r="G71" s="120"/>
      <c r="H71" s="120"/>
      <c r="I71" s="120"/>
    </row>
    <row r="72" spans="2:9" x14ac:dyDescent="0.2">
      <c r="G72" s="120"/>
      <c r="H72" s="120"/>
      <c r="I72" s="120"/>
    </row>
    <row r="73" spans="2:9" x14ac:dyDescent="0.2">
      <c r="G73" s="120"/>
      <c r="H73" s="120"/>
      <c r="I73" s="120"/>
    </row>
    <row r="74" spans="2:9" x14ac:dyDescent="0.2">
      <c r="G74" s="120"/>
      <c r="H74" s="120"/>
      <c r="I74" s="120"/>
    </row>
    <row r="75" spans="2:9" x14ac:dyDescent="0.2">
      <c r="G75" s="120"/>
      <c r="H75" s="120"/>
      <c r="I75" s="120"/>
    </row>
    <row r="76" spans="2:9" x14ac:dyDescent="0.2">
      <c r="G76" s="120"/>
      <c r="H76" s="120"/>
      <c r="I76" s="120"/>
    </row>
    <row r="77" spans="2:9" x14ac:dyDescent="0.2">
      <c r="G77" s="120"/>
      <c r="H77" s="120"/>
      <c r="I77" s="120"/>
    </row>
    <row r="79" spans="2:9" x14ac:dyDescent="0.2">
      <c r="B79" s="1" t="s">
        <v>118</v>
      </c>
      <c r="C79" s="106"/>
    </row>
    <row r="80" spans="2:9" x14ac:dyDescent="0.2">
      <c r="B80" s="114" t="s">
        <v>134</v>
      </c>
      <c r="C80" s="119">
        <v>60600</v>
      </c>
      <c r="D80" s="52"/>
    </row>
    <row r="81" spans="2:9" x14ac:dyDescent="0.2">
      <c r="B81" s="114" t="s">
        <v>133</v>
      </c>
      <c r="C81" s="119"/>
      <c r="D81" s="52"/>
      <c r="E81" s="1" t="s">
        <v>34</v>
      </c>
      <c r="F81" s="1">
        <v>1</v>
      </c>
      <c r="I81" s="22"/>
    </row>
    <row r="82" spans="2:9" x14ac:dyDescent="0.2">
      <c r="B82" s="114" t="s">
        <v>132</v>
      </c>
      <c r="C82" s="115">
        <v>2200</v>
      </c>
      <c r="D82" s="52"/>
      <c r="E82" s="3" t="s">
        <v>4</v>
      </c>
      <c r="F82" s="118">
        <f>(C92*C91)*12</f>
        <v>66000</v>
      </c>
      <c r="I82" s="22"/>
    </row>
    <row r="83" spans="2:9" x14ac:dyDescent="0.2">
      <c r="B83" s="114" t="s">
        <v>131</v>
      </c>
      <c r="C83" s="115">
        <v>1700</v>
      </c>
      <c r="D83" s="52"/>
      <c r="E83" s="3" t="s">
        <v>6</v>
      </c>
      <c r="F83" s="118">
        <f>C93*F82</f>
        <v>3300</v>
      </c>
    </row>
    <row r="84" spans="2:9" x14ac:dyDescent="0.2">
      <c r="B84" s="114" t="s">
        <v>130</v>
      </c>
      <c r="C84" s="115">
        <v>4600</v>
      </c>
      <c r="D84" s="52"/>
      <c r="E84" s="3" t="s">
        <v>129</v>
      </c>
      <c r="F84" s="118">
        <v>0</v>
      </c>
      <c r="I84" s="22"/>
    </row>
    <row r="85" spans="2:9" x14ac:dyDescent="0.2">
      <c r="B85" s="114" t="s">
        <v>128</v>
      </c>
      <c r="C85" s="115">
        <v>3700</v>
      </c>
      <c r="D85" s="52"/>
      <c r="E85" s="3" t="s">
        <v>21</v>
      </c>
      <c r="F85" s="117">
        <f>F82-F83+F84</f>
        <v>62700</v>
      </c>
      <c r="I85" s="22"/>
    </row>
    <row r="86" spans="2:9" x14ac:dyDescent="0.2">
      <c r="B86" s="114" t="s">
        <v>127</v>
      </c>
      <c r="C86" s="115">
        <v>4800</v>
      </c>
      <c r="D86" s="52"/>
      <c r="E86" s="3" t="s">
        <v>22</v>
      </c>
      <c r="F86" s="118">
        <f>(C82+C83+C84+C85+C86+C88)</f>
        <v>20000</v>
      </c>
      <c r="I86" s="22"/>
    </row>
    <row r="87" spans="2:9" x14ac:dyDescent="0.2">
      <c r="B87" s="114" t="s">
        <v>126</v>
      </c>
      <c r="C87" s="115">
        <v>2800</v>
      </c>
      <c r="D87" s="52"/>
      <c r="E87" s="3" t="s">
        <v>125</v>
      </c>
      <c r="F87" s="118">
        <f>C87</f>
        <v>2800</v>
      </c>
      <c r="I87" s="22"/>
    </row>
    <row r="88" spans="2:9" x14ac:dyDescent="0.2">
      <c r="B88" s="114" t="s">
        <v>124</v>
      </c>
      <c r="C88" s="115">
        <v>3000</v>
      </c>
      <c r="D88" s="52"/>
      <c r="E88" s="3" t="s">
        <v>23</v>
      </c>
      <c r="F88" s="117">
        <f>F85-F86-F87</f>
        <v>39900</v>
      </c>
    </row>
    <row r="89" spans="2:9" x14ac:dyDescent="0.2">
      <c r="B89" s="114" t="s">
        <v>123</v>
      </c>
      <c r="C89" s="115">
        <v>5000</v>
      </c>
      <c r="D89" s="52"/>
      <c r="E89" s="114" t="s">
        <v>112</v>
      </c>
      <c r="F89" s="113">
        <v>0.11</v>
      </c>
    </row>
    <row r="90" spans="2:9" x14ac:dyDescent="0.2">
      <c r="B90" s="114" t="s">
        <v>122</v>
      </c>
      <c r="C90" s="115">
        <v>6300</v>
      </c>
      <c r="D90" s="52"/>
      <c r="E90" s="3" t="s">
        <v>107</v>
      </c>
      <c r="F90" s="117">
        <f>F88/F89</f>
        <v>362727.27272727271</v>
      </c>
    </row>
    <row r="91" spans="2:9" x14ac:dyDescent="0.2">
      <c r="B91" s="114" t="s">
        <v>121</v>
      </c>
      <c r="C91" s="116">
        <v>10</v>
      </c>
    </row>
    <row r="92" spans="2:9" x14ac:dyDescent="0.2">
      <c r="B92" s="114" t="s">
        <v>120</v>
      </c>
      <c r="C92" s="115">
        <v>550</v>
      </c>
    </row>
    <row r="93" spans="2:9" x14ac:dyDescent="0.2">
      <c r="B93" s="114" t="s">
        <v>119</v>
      </c>
      <c r="C93" s="113">
        <v>0.05</v>
      </c>
    </row>
    <row r="99" spans="3:3" s="111" customFormat="1" x14ac:dyDescent="0.2">
      <c r="C99" s="112"/>
    </row>
    <row r="114" spans="2:5" x14ac:dyDescent="0.2">
      <c r="B114" s="110" t="s">
        <v>118</v>
      </c>
      <c r="C114" s="109"/>
    </row>
    <row r="115" spans="2:5" x14ac:dyDescent="0.2">
      <c r="B115" s="105" t="s">
        <v>23</v>
      </c>
      <c r="C115" s="108">
        <v>44500</v>
      </c>
    </row>
    <row r="116" spans="2:5" x14ac:dyDescent="0.2">
      <c r="B116" s="105" t="s">
        <v>117</v>
      </c>
      <c r="C116" s="107">
        <v>0.7</v>
      </c>
    </row>
    <row r="117" spans="2:5" x14ac:dyDescent="0.2">
      <c r="B117" s="105" t="s">
        <v>116</v>
      </c>
      <c r="C117" s="107">
        <v>0.3</v>
      </c>
    </row>
    <row r="118" spans="2:5" x14ac:dyDescent="0.2">
      <c r="B118" s="105" t="s">
        <v>115</v>
      </c>
      <c r="C118" s="17" t="s">
        <v>114</v>
      </c>
    </row>
    <row r="120" spans="2:5" x14ac:dyDescent="0.2">
      <c r="B120" s="106"/>
      <c r="C120" s="106" t="s">
        <v>23</v>
      </c>
      <c r="D120" s="106" t="s">
        <v>113</v>
      </c>
      <c r="E120" s="106" t="s">
        <v>112</v>
      </c>
    </row>
    <row r="121" spans="2:5" x14ac:dyDescent="0.2">
      <c r="B121" s="105" t="s">
        <v>111</v>
      </c>
      <c r="C121" s="17">
        <v>55000</v>
      </c>
      <c r="D121" s="3">
        <v>500000</v>
      </c>
      <c r="E121" s="104">
        <f>C121/D121</f>
        <v>0.11</v>
      </c>
    </row>
    <row r="122" spans="2:5" x14ac:dyDescent="0.2">
      <c r="B122" s="105" t="s">
        <v>110</v>
      </c>
      <c r="C122" s="17">
        <v>50400</v>
      </c>
      <c r="D122" s="3">
        <v>420000</v>
      </c>
      <c r="E122" s="104">
        <f>C122/D122</f>
        <v>0.12</v>
      </c>
    </row>
    <row r="123" spans="2:5" x14ac:dyDescent="0.2">
      <c r="B123" s="105" t="s">
        <v>109</v>
      </c>
      <c r="C123" s="17">
        <v>53400</v>
      </c>
      <c r="D123" s="3">
        <v>475000</v>
      </c>
      <c r="E123" s="104">
        <f>C123/D123</f>
        <v>0.11242105263157895</v>
      </c>
    </row>
    <row r="124" spans="2:5" x14ac:dyDescent="0.2">
      <c r="B124" s="103" t="s">
        <v>108</v>
      </c>
      <c r="C124" s="102">
        <v>69000</v>
      </c>
      <c r="D124" s="101">
        <v>600000</v>
      </c>
      <c r="E124" s="100">
        <f>C124/D124</f>
        <v>0.115</v>
      </c>
    </row>
    <row r="125" spans="2:5" x14ac:dyDescent="0.2">
      <c r="B125" s="99"/>
      <c r="C125" s="98"/>
      <c r="D125" s="97"/>
      <c r="E125" s="96">
        <f>AVERAGE(E121:E124)</f>
        <v>0.11435526315789474</v>
      </c>
    </row>
    <row r="126" spans="2:5" x14ac:dyDescent="0.2">
      <c r="B126" s="95"/>
      <c r="C126" s="94"/>
      <c r="D126" s="93" t="s">
        <v>107</v>
      </c>
      <c r="E126" s="92">
        <f>C115/E125</f>
        <v>389138.18893107813</v>
      </c>
    </row>
    <row r="127" spans="2:5" x14ac:dyDescent="0.2">
      <c r="C127"/>
      <c r="D127" s="26"/>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Multifamily Investment Decision</vt:lpstr>
      <vt:lpstr>Commercial RE Development</vt:lpstr>
      <vt:lpstr>Appraisal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Katuwal, Shaira</dc:creator>
  <cp:lastModifiedBy>Katuwal, Shaira</cp:lastModifiedBy>
  <dcterms:created xsi:type="dcterms:W3CDTF">2025-12-02T00:01:38Z</dcterms:created>
  <dcterms:modified xsi:type="dcterms:W3CDTF">2026-05-30T20:54:52Z</dcterms:modified>
</cp:coreProperties>
</file>