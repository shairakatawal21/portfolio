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08"/>
  <workbookPr/>
  <mc:AlternateContent xmlns:mc="http://schemas.openxmlformats.org/markup-compatibility/2006">
    <mc:Choice Requires="x15">
      <x15ac:absPath xmlns:x15ac="http://schemas.microsoft.com/office/spreadsheetml/2010/11/ac" url="https://indiana-my.sharepoint.com/personal/skatuwal_iu_edu/Documents/IU Kelley/Spring 2026 II/Value Fund/"/>
    </mc:Choice>
  </mc:AlternateContent>
  <xr:revisionPtr revIDLastSave="3036" documentId="8_{100CD525-8A35-0C48-8625-84EECA3EC0C1}" xr6:coauthVersionLast="47" xr6:coauthVersionMax="47" xr10:uidLastSave="{C936D8C6-28C9-CD42-B249-375BECD9617A}"/>
  <bookViews>
    <workbookView xWindow="0" yWindow="660" windowWidth="20740" windowHeight="11760" tabRatio="500" firstSheet="22" activeTab="24" xr2:uid="{00000000-000D-0000-FFFF-FFFF00000000}"/>
  </bookViews>
  <sheets>
    <sheet name="Overview" sheetId="31" r:id="rId1"/>
    <sheet name="Assumptions" sheetId="5" r:id="rId2"/>
    <sheet name="Revenue Build - Draft" sheetId="4" state="hidden" r:id="rId3"/>
    <sheet name="Historical Data ==&gt;" sheetId="12" r:id="rId4"/>
    <sheet name="Geographic Revenue" sheetId="1" r:id="rId5"/>
    <sheet name="Revenue Build - Top Down" sheetId="6" r:id="rId6"/>
    <sheet name="Business Segment Revenue" sheetId="2" r:id="rId7"/>
    <sheet name="Industry Metrics" sheetId="3" r:id="rId8"/>
    <sheet name="Historical Balance Sheet" sheetId="8" r:id="rId9"/>
    <sheet name="Historical Income Statement" sheetId="7" r:id="rId10"/>
    <sheet name="Historical Cash Flow" sheetId="9" r:id="rId11"/>
    <sheet name="Historical Capitalization" sheetId="11" r:id="rId12"/>
    <sheet name="Multiples" sheetId="10" r:id="rId13"/>
    <sheet name="Model ==&gt;" sheetId="32" r:id="rId14"/>
    <sheet name="Revenue Build - Bottom Up" sheetId="15" r:id="rId15"/>
    <sheet name="DCF - Base Model" sheetId="14" r:id="rId16"/>
    <sheet name="Revenue Build - Final Bear Case" sheetId="27" r:id="rId17"/>
    <sheet name="DCF - Bear Model" sheetId="20" r:id="rId18"/>
    <sheet name="FCFE Valuation" sheetId="21" r:id="rId19"/>
    <sheet name="Comp Analysis" sheetId="17" r:id="rId20"/>
    <sheet name="Football Field" sheetId="18" state="hidden" r:id="rId21"/>
    <sheet name="Valuation Football Field " sheetId="22" r:id="rId22"/>
    <sheet name="Blended Implied Pricing Summary" sheetId="19" r:id="rId23"/>
    <sheet name="Unit Economics" sheetId="29" r:id="rId24"/>
    <sheet name="Pro Forma Income Statement" sheetId="33" r:id="rId25"/>
    <sheet name="Estimates in CAGR" sheetId="30" r:id="rId26"/>
    <sheet name="WACC" sheetId="16" r:id="rId27"/>
    <sheet name="Appendix ==&gt;" sheetId="28" r:id="rId28"/>
    <sheet name="Chart Data" sheetId="25" r:id="rId29"/>
    <sheet name="Charts" sheetId="26" r:id="rId30"/>
  </sheets>
  <externalReferences>
    <externalReference r:id="rId31"/>
    <externalReference r:id="rId32"/>
  </externalReferences>
  <definedNames>
    <definedName name="_xlnm.Print_Titles" localSheetId="8">'Historical Balance Sheet'!#REF!</definedName>
    <definedName name="_xlnm.Print_Titles" localSheetId="11">'Historical Capitalization'!#REF!</definedName>
    <definedName name="_xlnm.Print_Titles" localSheetId="10">'Historical Cash Flow'!#REF!</definedName>
    <definedName name="_xlnm.Print_Titles" localSheetId="9">'Historical Income Statement'!#REF!</definedName>
    <definedName name="_xlnm.Print_Titles" localSheetId="12">Multiples!#REF!</definedName>
  </definedNames>
  <calcPr calcId="191028" iterateDelta="1E-4"/>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34" i="33" l="1"/>
  <c r="E25" i="30"/>
  <c r="D25" i="30"/>
  <c r="E6" i="30"/>
  <c r="D6" i="30"/>
  <c r="K37" i="33"/>
  <c r="I37" i="33"/>
  <c r="H37" i="33"/>
  <c r="G37" i="33"/>
  <c r="J37" i="6"/>
  <c r="K5" i="1"/>
  <c r="I8" i="14"/>
  <c r="M8" i="14"/>
  <c r="K8" i="14"/>
  <c r="L8" i="14"/>
  <c r="J8" i="14"/>
  <c r="F11" i="33"/>
  <c r="D6" i="14"/>
  <c r="F6" i="33"/>
  <c r="D8" i="14"/>
  <c r="E8" i="14"/>
  <c r="F8" i="14"/>
  <c r="G8" i="14"/>
  <c r="H8" i="14"/>
  <c r="C4" i="30"/>
  <c r="I33" i="33"/>
  <c r="J33" i="33" s="1"/>
  <c r="K33" i="33" s="1"/>
  <c r="H33" i="33"/>
  <c r="G33" i="33"/>
  <c r="E25" i="33"/>
  <c r="F25" i="33"/>
  <c r="G22" i="33"/>
  <c r="G24" i="33" s="1"/>
  <c r="P8" i="17"/>
  <c r="H18" i="33"/>
  <c r="I18" i="33"/>
  <c r="J18" i="33"/>
  <c r="K18" i="33"/>
  <c r="G18" i="33"/>
  <c r="W15" i="17"/>
  <c r="D12" i="33"/>
  <c r="E12" i="33"/>
  <c r="F12" i="33"/>
  <c r="C12" i="33"/>
  <c r="C28" i="33"/>
  <c r="D28" i="33"/>
  <c r="E28" i="33"/>
  <c r="F28" i="33"/>
  <c r="G28" i="33"/>
  <c r="H28" i="33"/>
  <c r="I28" i="33"/>
  <c r="J28" i="33"/>
  <c r="K28" i="33"/>
  <c r="B28" i="33"/>
  <c r="C11" i="33"/>
  <c r="D11" i="33"/>
  <c r="E11" i="33"/>
  <c r="B11" i="33"/>
  <c r="C6" i="33"/>
  <c r="D6" i="33"/>
  <c r="E6" i="33"/>
  <c r="B6" i="33"/>
  <c r="C4" i="33"/>
  <c r="D4" i="33"/>
  <c r="E4" i="33"/>
  <c r="F4" i="33"/>
  <c r="B4" i="33"/>
  <c r="F24" i="33"/>
  <c r="E24" i="33"/>
  <c r="D24" i="33"/>
  <c r="C24" i="33"/>
  <c r="B24" i="33"/>
  <c r="K44" i="29"/>
  <c r="C18" i="29"/>
  <c r="C23" i="29"/>
  <c r="H49" i="25"/>
  <c r="C7" i="31"/>
  <c r="C22" i="30"/>
  <c r="C17" i="30"/>
  <c r="C18" i="30" s="1"/>
  <c r="H32" i="29"/>
  <c r="G32" i="29"/>
  <c r="F32" i="29"/>
  <c r="E32" i="29"/>
  <c r="D32" i="29"/>
  <c r="C32" i="29"/>
  <c r="L31" i="29"/>
  <c r="J31" i="29"/>
  <c r="H31" i="29"/>
  <c r="G31" i="29"/>
  <c r="F31" i="29"/>
  <c r="E31" i="29"/>
  <c r="D31" i="29"/>
  <c r="C31" i="29"/>
  <c r="M30" i="29"/>
  <c r="M31" i="29" s="1"/>
  <c r="L30" i="29"/>
  <c r="L32" i="29" s="1"/>
  <c r="K30" i="29"/>
  <c r="K31" i="29" s="1"/>
  <c r="J30" i="29"/>
  <c r="I30" i="29"/>
  <c r="M22" i="29"/>
  <c r="L22" i="29"/>
  <c r="K22" i="29"/>
  <c r="J22" i="29"/>
  <c r="I22" i="29"/>
  <c r="D8" i="22"/>
  <c r="K42" i="20"/>
  <c r="K43" i="20"/>
  <c r="J36" i="20"/>
  <c r="E9" i="20"/>
  <c r="F9" i="20"/>
  <c r="G9" i="20"/>
  <c r="H9" i="20"/>
  <c r="L15" i="25" s="1"/>
  <c r="D9" i="20"/>
  <c r="H15" i="25" s="1"/>
  <c r="M7" i="27"/>
  <c r="N7" i="27"/>
  <c r="M8" i="27"/>
  <c r="N8" i="27"/>
  <c r="J9" i="27"/>
  <c r="M6" i="27"/>
  <c r="J37" i="27"/>
  <c r="J38" i="27" s="1"/>
  <c r="I68" i="27"/>
  <c r="H68" i="27"/>
  <c r="G68" i="27"/>
  <c r="F68" i="27"/>
  <c r="E68" i="27"/>
  <c r="D68" i="27"/>
  <c r="I67" i="27"/>
  <c r="H67" i="27"/>
  <c r="G67" i="27"/>
  <c r="F67" i="27"/>
  <c r="E67" i="27"/>
  <c r="D67" i="27"/>
  <c r="I66" i="27"/>
  <c r="H66" i="27"/>
  <c r="G66" i="27"/>
  <c r="F66" i="27"/>
  <c r="E66" i="27"/>
  <c r="D66" i="27"/>
  <c r="I65" i="27"/>
  <c r="H65" i="27"/>
  <c r="G65" i="27"/>
  <c r="F65" i="27"/>
  <c r="E65" i="27"/>
  <c r="D65" i="27"/>
  <c r="I64" i="27"/>
  <c r="H64" i="27"/>
  <c r="G64" i="27"/>
  <c r="F64" i="27"/>
  <c r="E64" i="27"/>
  <c r="D64" i="27"/>
  <c r="I63" i="27"/>
  <c r="H63" i="27"/>
  <c r="G63" i="27"/>
  <c r="F63" i="27"/>
  <c r="E63" i="27"/>
  <c r="D63" i="27"/>
  <c r="N61" i="27"/>
  <c r="M61" i="27"/>
  <c r="L61" i="27"/>
  <c r="K61" i="27"/>
  <c r="J61" i="27"/>
  <c r="I61" i="27"/>
  <c r="H61" i="27"/>
  <c r="G61" i="27"/>
  <c r="F61" i="27"/>
  <c r="E61" i="27"/>
  <c r="D61" i="27"/>
  <c r="N60" i="27"/>
  <c r="M60" i="27"/>
  <c r="L60" i="27"/>
  <c r="K60" i="27"/>
  <c r="J60" i="27"/>
  <c r="I60" i="27"/>
  <c r="H60" i="27"/>
  <c r="G60" i="27"/>
  <c r="F60" i="27"/>
  <c r="E60" i="27"/>
  <c r="D60" i="27"/>
  <c r="N59" i="27"/>
  <c r="M59" i="27"/>
  <c r="L59" i="27"/>
  <c r="K59" i="27"/>
  <c r="J59" i="27"/>
  <c r="I59" i="27"/>
  <c r="H59" i="27"/>
  <c r="G59" i="27"/>
  <c r="F59" i="27"/>
  <c r="E59" i="27"/>
  <c r="D59" i="27"/>
  <c r="N58" i="27"/>
  <c r="M58" i="27"/>
  <c r="L58" i="27"/>
  <c r="K58" i="27"/>
  <c r="J58" i="27"/>
  <c r="I58" i="27"/>
  <c r="H58" i="27"/>
  <c r="G58" i="27"/>
  <c r="F58" i="27"/>
  <c r="E58" i="27"/>
  <c r="D58" i="27"/>
  <c r="N57" i="27"/>
  <c r="M57" i="27"/>
  <c r="L57" i="27"/>
  <c r="K57" i="27"/>
  <c r="J57" i="27"/>
  <c r="I57" i="27"/>
  <c r="H57" i="27"/>
  <c r="G57" i="27"/>
  <c r="F57" i="27"/>
  <c r="E57" i="27"/>
  <c r="D57" i="27"/>
  <c r="N56" i="27"/>
  <c r="M56" i="27"/>
  <c r="L56" i="27"/>
  <c r="K56" i="27"/>
  <c r="J56" i="27"/>
  <c r="J63" i="27" s="1"/>
  <c r="I56" i="27"/>
  <c r="H56" i="27"/>
  <c r="G56" i="27"/>
  <c r="F56" i="27"/>
  <c r="E56" i="27"/>
  <c r="D56" i="27"/>
  <c r="I48" i="27"/>
  <c r="H48" i="27"/>
  <c r="G48" i="27"/>
  <c r="F48" i="27"/>
  <c r="E48" i="27"/>
  <c r="D48" i="27"/>
  <c r="J45" i="27"/>
  <c r="I45" i="27"/>
  <c r="H45" i="27"/>
  <c r="G45" i="27"/>
  <c r="F45" i="27"/>
  <c r="E45" i="27"/>
  <c r="D45" i="27"/>
  <c r="I40" i="27"/>
  <c r="H40" i="27"/>
  <c r="G40" i="27"/>
  <c r="F40" i="27"/>
  <c r="E40" i="27"/>
  <c r="D40" i="27"/>
  <c r="I37" i="27"/>
  <c r="H37" i="27"/>
  <c r="G37" i="27"/>
  <c r="F37" i="27"/>
  <c r="E37" i="27"/>
  <c r="D37" i="27"/>
  <c r="N25" i="27"/>
  <c r="M25" i="27"/>
  <c r="L25" i="27"/>
  <c r="K25" i="27"/>
  <c r="J25" i="27"/>
  <c r="I25" i="27"/>
  <c r="H25" i="27"/>
  <c r="G25" i="27"/>
  <c r="F25" i="27"/>
  <c r="E25" i="27"/>
  <c r="D25" i="27"/>
  <c r="N24" i="27"/>
  <c r="N48" i="27" s="1"/>
  <c r="M24" i="27"/>
  <c r="M48" i="27" s="1"/>
  <c r="L24" i="27"/>
  <c r="L48" i="27" s="1"/>
  <c r="K24" i="27"/>
  <c r="K48" i="27" s="1"/>
  <c r="J24" i="27"/>
  <c r="J48" i="27" s="1"/>
  <c r="I24" i="27"/>
  <c r="H24" i="27"/>
  <c r="G24" i="27"/>
  <c r="F24" i="27"/>
  <c r="E24" i="27"/>
  <c r="D24" i="27"/>
  <c r="I23" i="27"/>
  <c r="H23" i="27"/>
  <c r="G23" i="27"/>
  <c r="F23" i="27"/>
  <c r="E23" i="27"/>
  <c r="D23" i="27"/>
  <c r="I19" i="27"/>
  <c r="H19" i="27"/>
  <c r="G19" i="27"/>
  <c r="F19" i="27"/>
  <c r="E19" i="27"/>
  <c r="D19" i="27"/>
  <c r="N18" i="27"/>
  <c r="N40" i="27" s="1"/>
  <c r="M18" i="27"/>
  <c r="M40" i="27" s="1"/>
  <c r="L18" i="27"/>
  <c r="L40" i="27" s="1"/>
  <c r="K18" i="27"/>
  <c r="K40" i="27" s="1"/>
  <c r="J18" i="27"/>
  <c r="I18" i="27"/>
  <c r="H18" i="27"/>
  <c r="G18" i="27"/>
  <c r="F18" i="27"/>
  <c r="E18" i="27"/>
  <c r="D18" i="27"/>
  <c r="I17" i="27"/>
  <c r="H17" i="27"/>
  <c r="G17" i="27"/>
  <c r="F17" i="27"/>
  <c r="E17" i="27"/>
  <c r="D17" i="27"/>
  <c r="N13" i="27"/>
  <c r="M13" i="27"/>
  <c r="L13" i="27"/>
  <c r="K13" i="27"/>
  <c r="J13" i="27"/>
  <c r="I13" i="27"/>
  <c r="H13" i="27"/>
  <c r="G13" i="27"/>
  <c r="F13" i="27"/>
  <c r="E13" i="27"/>
  <c r="D13" i="27"/>
  <c r="N12" i="27"/>
  <c r="M12" i="27"/>
  <c r="L12" i="27"/>
  <c r="K12" i="27"/>
  <c r="J12" i="27"/>
  <c r="I12" i="27"/>
  <c r="H12" i="27"/>
  <c r="G12" i="27"/>
  <c r="F12" i="27"/>
  <c r="E12" i="27"/>
  <c r="D12" i="27"/>
  <c r="I11" i="27"/>
  <c r="H11" i="27"/>
  <c r="G11" i="27"/>
  <c r="F11" i="27"/>
  <c r="E11" i="27"/>
  <c r="D11" i="27"/>
  <c r="N9" i="27"/>
  <c r="M9" i="27"/>
  <c r="L9" i="27"/>
  <c r="K9" i="27"/>
  <c r="I9" i="27"/>
  <c r="H9" i="27"/>
  <c r="G9" i="27"/>
  <c r="F9" i="27"/>
  <c r="E9" i="27"/>
  <c r="D9" i="27"/>
  <c r="I8" i="27"/>
  <c r="H8" i="27"/>
  <c r="G8" i="27"/>
  <c r="F8" i="27"/>
  <c r="E8" i="27"/>
  <c r="D8" i="27"/>
  <c r="I7" i="27"/>
  <c r="H7" i="27"/>
  <c r="G7" i="27"/>
  <c r="F7" i="27"/>
  <c r="E7" i="27"/>
  <c r="D7" i="27"/>
  <c r="N6" i="27"/>
  <c r="I6" i="27"/>
  <c r="H6" i="27"/>
  <c r="G6" i="27"/>
  <c r="F6" i="27"/>
  <c r="E6" i="27"/>
  <c r="D6" i="27"/>
  <c r="B60" i="25"/>
  <c r="B61" i="25"/>
  <c r="B62" i="25"/>
  <c r="B63" i="25"/>
  <c r="C60" i="25"/>
  <c r="C61" i="25"/>
  <c r="C62" i="25"/>
  <c r="C63" i="25"/>
  <c r="C59" i="25"/>
  <c r="B59" i="25"/>
  <c r="C49" i="25"/>
  <c r="D49" i="25"/>
  <c r="E49" i="25"/>
  <c r="F49" i="25"/>
  <c r="G49" i="25"/>
  <c r="C48" i="25"/>
  <c r="D48" i="25"/>
  <c r="E48" i="25"/>
  <c r="F48" i="25"/>
  <c r="G48" i="25"/>
  <c r="B49" i="25"/>
  <c r="B48" i="25"/>
  <c r="C30" i="25"/>
  <c r="B31" i="25"/>
  <c r="B32" i="25" s="1"/>
  <c r="B33" i="25" s="1"/>
  <c r="G15" i="25"/>
  <c r="F15" i="25"/>
  <c r="E15" i="25"/>
  <c r="D15" i="25"/>
  <c r="C15" i="25"/>
  <c r="B15" i="25"/>
  <c r="K15" i="25"/>
  <c r="J15" i="25"/>
  <c r="I15" i="25"/>
  <c r="I14" i="25"/>
  <c r="J14" i="25"/>
  <c r="K14" i="25"/>
  <c r="L14" i="25"/>
  <c r="C14" i="25"/>
  <c r="D14" i="25"/>
  <c r="E14" i="25"/>
  <c r="F14" i="25"/>
  <c r="G14" i="25"/>
  <c r="H14" i="25"/>
  <c r="B14" i="25"/>
  <c r="J8" i="17"/>
  <c r="K8" i="17"/>
  <c r="L8" i="17"/>
  <c r="E8" i="17"/>
  <c r="C12" i="14"/>
  <c r="C14" i="14" s="1"/>
  <c r="D12" i="14"/>
  <c r="G6" i="17"/>
  <c r="V22" i="17" s="1"/>
  <c r="R8" i="17"/>
  <c r="S8" i="17"/>
  <c r="T8" i="17"/>
  <c r="X8" i="17" s="1"/>
  <c r="D9" i="22"/>
  <c r="D7" i="22"/>
  <c r="D6" i="22"/>
  <c r="D4" i="22"/>
  <c r="C35" i="14"/>
  <c r="G20" i="21"/>
  <c r="C19" i="16"/>
  <c r="C7" i="21" s="1"/>
  <c r="D15" i="20"/>
  <c r="D14" i="20"/>
  <c r="D13" i="20"/>
  <c r="D4" i="21"/>
  <c r="D3" i="21"/>
  <c r="H22" i="33" l="1"/>
  <c r="F7" i="33"/>
  <c r="F8" i="33" s="1"/>
  <c r="D13" i="33"/>
  <c r="D15" i="33" s="1"/>
  <c r="B13" i="33"/>
  <c r="C7" i="33"/>
  <c r="C8" i="33" s="1"/>
  <c r="C9" i="33" s="1"/>
  <c r="E7" i="33"/>
  <c r="E8" i="33" s="1"/>
  <c r="E15" i="33" s="1"/>
  <c r="D7" i="33"/>
  <c r="D8" i="33" s="1"/>
  <c r="B7" i="33"/>
  <c r="B8" i="33" s="1"/>
  <c r="F13" i="33"/>
  <c r="F15" i="33" s="1"/>
  <c r="C8" i="14" s="1"/>
  <c r="C13" i="33"/>
  <c r="E13" i="33"/>
  <c r="D9" i="33"/>
  <c r="F9" i="33"/>
  <c r="J40" i="27"/>
  <c r="J26" i="27"/>
  <c r="D17" i="30"/>
  <c r="E17" i="30" s="1"/>
  <c r="F17" i="30" s="1"/>
  <c r="G17" i="30" s="1"/>
  <c r="H17" i="30" s="1"/>
  <c r="J32" i="29"/>
  <c r="M32" i="29"/>
  <c r="G15" i="21"/>
  <c r="C15" i="21"/>
  <c r="C19" i="30"/>
  <c r="C21" i="30" s="1"/>
  <c r="D18" i="30"/>
  <c r="I32" i="29"/>
  <c r="I31" i="29"/>
  <c r="K32" i="29"/>
  <c r="N40" i="20"/>
  <c r="K37" i="20"/>
  <c r="L37" i="20"/>
  <c r="M37" i="20"/>
  <c r="N37" i="20"/>
  <c r="K38" i="20"/>
  <c r="L38" i="20"/>
  <c r="M38" i="20"/>
  <c r="N38" i="20"/>
  <c r="K39" i="20"/>
  <c r="L39" i="20"/>
  <c r="M39" i="20"/>
  <c r="N39" i="20"/>
  <c r="K40" i="20"/>
  <c r="L40" i="20"/>
  <c r="M40" i="20"/>
  <c r="J40" i="20"/>
  <c r="J37" i="20"/>
  <c r="J38" i="20"/>
  <c r="J39" i="20"/>
  <c r="N36" i="20"/>
  <c r="K36" i="20"/>
  <c r="L36" i="20"/>
  <c r="M36" i="20"/>
  <c r="D14" i="27"/>
  <c r="D15" i="27" s="1"/>
  <c r="E14" i="27"/>
  <c r="E15" i="27" s="1"/>
  <c r="F14" i="27"/>
  <c r="F15" i="27" s="1"/>
  <c r="G14" i="27"/>
  <c r="G15" i="27" s="1"/>
  <c r="H14" i="27"/>
  <c r="H15" i="27" s="1"/>
  <c r="I14" i="27"/>
  <c r="J11" i="27" s="1"/>
  <c r="D20" i="27"/>
  <c r="D21" i="27" s="1"/>
  <c r="E20" i="27"/>
  <c r="E21" i="27" s="1"/>
  <c r="F20" i="27"/>
  <c r="F21" i="27" s="1"/>
  <c r="G20" i="27"/>
  <c r="G21" i="27" s="1"/>
  <c r="H20" i="27"/>
  <c r="H21" i="27" s="1"/>
  <c r="I20" i="27"/>
  <c r="J17" i="27" s="1"/>
  <c r="D26" i="27"/>
  <c r="D27" i="27" s="1"/>
  <c r="E26" i="27"/>
  <c r="E27" i="27" s="1"/>
  <c r="F26" i="27"/>
  <c r="F27" i="27" s="1"/>
  <c r="G26" i="27"/>
  <c r="G27" i="27" s="1"/>
  <c r="H26" i="27"/>
  <c r="H27" i="27" s="1"/>
  <c r="I26" i="27"/>
  <c r="J23" i="27" s="1"/>
  <c r="D38" i="27"/>
  <c r="E38" i="27"/>
  <c r="F38" i="27"/>
  <c r="G38" i="27"/>
  <c r="H38" i="27"/>
  <c r="I38" i="27"/>
  <c r="D46" i="27"/>
  <c r="E46" i="27"/>
  <c r="F46" i="27"/>
  <c r="G46" i="27"/>
  <c r="H46" i="27"/>
  <c r="I46" i="27"/>
  <c r="J46" i="27"/>
  <c r="D69" i="27"/>
  <c r="D75" i="27" s="1"/>
  <c r="E69" i="27"/>
  <c r="E75" i="27" s="1"/>
  <c r="F69" i="27"/>
  <c r="F76" i="27" s="1"/>
  <c r="G69" i="27"/>
  <c r="G73" i="27" s="1"/>
  <c r="H69" i="27"/>
  <c r="H74" i="27" s="1"/>
  <c r="I69" i="27"/>
  <c r="D73" i="27"/>
  <c r="E73" i="27"/>
  <c r="I73" i="27"/>
  <c r="J64" i="27"/>
  <c r="D74" i="27"/>
  <c r="E74" i="27"/>
  <c r="F74" i="27"/>
  <c r="G74" i="27"/>
  <c r="I74" i="27"/>
  <c r="J65" i="27"/>
  <c r="I75" i="27"/>
  <c r="J66" i="27"/>
  <c r="D76" i="27"/>
  <c r="E76" i="27"/>
  <c r="G76" i="27"/>
  <c r="H76" i="27"/>
  <c r="I76" i="27"/>
  <c r="J67" i="27"/>
  <c r="I77" i="27"/>
  <c r="J68" i="27"/>
  <c r="F8" i="17"/>
  <c r="O22" i="17"/>
  <c r="F15" i="21"/>
  <c r="E15" i="21"/>
  <c r="D15" i="21"/>
  <c r="E5" i="21"/>
  <c r="C13" i="21" s="1"/>
  <c r="D13" i="21" s="1"/>
  <c r="E13" i="21" s="1"/>
  <c r="F13" i="21" s="1"/>
  <c r="G13" i="21" s="1"/>
  <c r="H24" i="33" l="1"/>
  <c r="I22" i="33"/>
  <c r="C9" i="14"/>
  <c r="C10" i="14" s="1"/>
  <c r="E9" i="33"/>
  <c r="C15" i="33"/>
  <c r="C27" i="33" s="1"/>
  <c r="B15" i="33"/>
  <c r="B27" i="33" s="1"/>
  <c r="B9" i="33"/>
  <c r="D27" i="33"/>
  <c r="D19" i="33"/>
  <c r="D20" i="33" s="1"/>
  <c r="D16" i="33"/>
  <c r="F27" i="33"/>
  <c r="F19" i="33"/>
  <c r="F16" i="33"/>
  <c r="E27" i="33"/>
  <c r="E19" i="33"/>
  <c r="E20" i="33" s="1"/>
  <c r="E16" i="33"/>
  <c r="H77" i="27"/>
  <c r="G77" i="27"/>
  <c r="F77" i="27"/>
  <c r="E77" i="27"/>
  <c r="G75" i="27"/>
  <c r="D77" i="27"/>
  <c r="F75" i="27"/>
  <c r="H73" i="27"/>
  <c r="H75" i="27"/>
  <c r="F73" i="27"/>
  <c r="J69" i="27"/>
  <c r="C23" i="30"/>
  <c r="E18" i="30"/>
  <c r="D19" i="30"/>
  <c r="K68" i="27"/>
  <c r="K67" i="27"/>
  <c r="K66" i="27"/>
  <c r="K65" i="27"/>
  <c r="K64" i="27"/>
  <c r="K63" i="27"/>
  <c r="I81" i="27"/>
  <c r="I72" i="27"/>
  <c r="H81" i="27"/>
  <c r="H72" i="27"/>
  <c r="G81" i="27"/>
  <c r="G72" i="27"/>
  <c r="F81" i="27"/>
  <c r="F72" i="27"/>
  <c r="E81" i="27"/>
  <c r="E72" i="27"/>
  <c r="D81" i="27"/>
  <c r="D72" i="27"/>
  <c r="I27" i="27"/>
  <c r="H49" i="27"/>
  <c r="H50" i="27" s="1"/>
  <c r="H51" i="27" s="1"/>
  <c r="H31" i="27"/>
  <c r="G49" i="27"/>
  <c r="G50" i="27" s="1"/>
  <c r="G51" i="27" s="1"/>
  <c r="G31" i="27"/>
  <c r="F49" i="27"/>
  <c r="F50" i="27" s="1"/>
  <c r="F51" i="27" s="1"/>
  <c r="F31" i="27"/>
  <c r="E49" i="27"/>
  <c r="E50" i="27" s="1"/>
  <c r="E51" i="27" s="1"/>
  <c r="E31" i="27"/>
  <c r="D49" i="27"/>
  <c r="D50" i="27" s="1"/>
  <c r="D51" i="27" s="1"/>
  <c r="D31" i="27"/>
  <c r="I21" i="27"/>
  <c r="H41" i="27"/>
  <c r="H42" i="27" s="1"/>
  <c r="H43" i="27" s="1"/>
  <c r="H29" i="27"/>
  <c r="G41" i="27"/>
  <c r="G42" i="27" s="1"/>
  <c r="G43" i="27" s="1"/>
  <c r="G29" i="27"/>
  <c r="F41" i="27"/>
  <c r="F42" i="27" s="1"/>
  <c r="F43" i="27" s="1"/>
  <c r="F29" i="27"/>
  <c r="E41" i="27"/>
  <c r="E42" i="27" s="1"/>
  <c r="E43" i="27" s="1"/>
  <c r="E29" i="27"/>
  <c r="D41" i="27"/>
  <c r="D42" i="27" s="1"/>
  <c r="D43" i="27" s="1"/>
  <c r="D29" i="27"/>
  <c r="I15" i="27"/>
  <c r="W8" i="17"/>
  <c r="H8" i="17"/>
  <c r="D3" i="18"/>
  <c r="C4" i="20"/>
  <c r="E13" i="20"/>
  <c r="F13" i="20"/>
  <c r="G13" i="20"/>
  <c r="H13" i="20"/>
  <c r="E14" i="20"/>
  <c r="F14" i="20"/>
  <c r="G14" i="20"/>
  <c r="H14" i="20"/>
  <c r="E15" i="20"/>
  <c r="F15" i="20"/>
  <c r="G15" i="20"/>
  <c r="H15" i="20"/>
  <c r="B52" i="14"/>
  <c r="B51" i="14"/>
  <c r="D4" i="18"/>
  <c r="D5" i="18"/>
  <c r="D6" i="18"/>
  <c r="D7" i="18"/>
  <c r="T6" i="17"/>
  <c r="R7" i="17"/>
  <c r="S7" i="17"/>
  <c r="T7" i="17"/>
  <c r="E6" i="17"/>
  <c r="P24" i="17" s="1"/>
  <c r="J6" i="17"/>
  <c r="K6" i="17"/>
  <c r="L6" i="17"/>
  <c r="E7" i="17"/>
  <c r="F7" i="17" s="1"/>
  <c r="G7" i="17"/>
  <c r="J7" i="17"/>
  <c r="K7" i="17"/>
  <c r="L7" i="17"/>
  <c r="C4" i="14"/>
  <c r="C10" i="30" s="1"/>
  <c r="D13" i="14"/>
  <c r="D11" i="14"/>
  <c r="C33" i="5"/>
  <c r="D33" i="5" s="1"/>
  <c r="E33" i="5" s="1"/>
  <c r="F33" i="5" s="1"/>
  <c r="C8" i="16"/>
  <c r="C14" i="16"/>
  <c r="E13" i="14"/>
  <c r="F13" i="14"/>
  <c r="G13" i="14"/>
  <c r="H13" i="14"/>
  <c r="E12" i="14"/>
  <c r="F12" i="14"/>
  <c r="G12" i="14"/>
  <c r="H12" i="14"/>
  <c r="E11" i="14"/>
  <c r="F11" i="14"/>
  <c r="G11" i="14"/>
  <c r="H11" i="14"/>
  <c r="D63" i="6"/>
  <c r="D56" i="6"/>
  <c r="D18" i="15"/>
  <c r="E18" i="15"/>
  <c r="F18" i="15"/>
  <c r="C18" i="15"/>
  <c r="J15" i="15"/>
  <c r="K15" i="15"/>
  <c r="L15" i="15"/>
  <c r="M15" i="15"/>
  <c r="I15" i="15"/>
  <c r="D15" i="15"/>
  <c r="C15" i="15"/>
  <c r="J6" i="15"/>
  <c r="K6" i="15"/>
  <c r="L6" i="15"/>
  <c r="M6" i="15" s="1"/>
  <c r="I6" i="15"/>
  <c r="F24" i="5"/>
  <c r="F14" i="5"/>
  <c r="C14" i="5"/>
  <c r="K19" i="27" s="1"/>
  <c r="D14" i="5"/>
  <c r="L19" i="27" s="1"/>
  <c r="E14" i="5"/>
  <c r="M19" i="27" s="1"/>
  <c r="B14" i="5"/>
  <c r="K56" i="6"/>
  <c r="L56" i="6"/>
  <c r="M56" i="6"/>
  <c r="N56" i="6"/>
  <c r="K57" i="6"/>
  <c r="L57" i="6"/>
  <c r="M57" i="6"/>
  <c r="N57" i="6"/>
  <c r="K58" i="6"/>
  <c r="L58" i="6"/>
  <c r="M58" i="6"/>
  <c r="N58" i="6"/>
  <c r="K59" i="6"/>
  <c r="L59" i="6"/>
  <c r="M59" i="6"/>
  <c r="N59" i="6"/>
  <c r="K60" i="6"/>
  <c r="L60" i="6"/>
  <c r="M60" i="6"/>
  <c r="N60" i="6"/>
  <c r="K61" i="6"/>
  <c r="L61" i="6"/>
  <c r="M61" i="6"/>
  <c r="N61" i="6"/>
  <c r="J57" i="6"/>
  <c r="J58" i="6"/>
  <c r="J59" i="6"/>
  <c r="J60" i="6"/>
  <c r="J61" i="6"/>
  <c r="J56" i="6"/>
  <c r="K25" i="6"/>
  <c r="L25" i="6"/>
  <c r="M25" i="6"/>
  <c r="N25" i="6"/>
  <c r="J25" i="6"/>
  <c r="K24" i="6"/>
  <c r="K48" i="6" s="1"/>
  <c r="L24" i="6"/>
  <c r="L48" i="6" s="1"/>
  <c r="M24" i="6"/>
  <c r="M48" i="6" s="1"/>
  <c r="N24" i="6"/>
  <c r="N48" i="6" s="1"/>
  <c r="J24" i="6"/>
  <c r="J48" i="6" s="1"/>
  <c r="K18" i="6"/>
  <c r="L18" i="6"/>
  <c r="M18" i="6"/>
  <c r="N18" i="6"/>
  <c r="L19" i="6"/>
  <c r="K9" i="29" s="1"/>
  <c r="M19" i="6"/>
  <c r="L9" i="29" s="1"/>
  <c r="J18" i="6"/>
  <c r="K13" i="6"/>
  <c r="L13" i="6"/>
  <c r="M13" i="6"/>
  <c r="N13" i="6"/>
  <c r="J13" i="6"/>
  <c r="I68" i="6"/>
  <c r="F9" i="25" s="1"/>
  <c r="H68" i="6"/>
  <c r="E9" i="25" s="1"/>
  <c r="G68" i="6"/>
  <c r="D9" i="25" s="1"/>
  <c r="F68" i="6"/>
  <c r="C9" i="25" s="1"/>
  <c r="E68" i="6"/>
  <c r="B9" i="25" s="1"/>
  <c r="D68" i="6"/>
  <c r="I67" i="6"/>
  <c r="F8" i="25" s="1"/>
  <c r="H67" i="6"/>
  <c r="E8" i="25" s="1"/>
  <c r="G67" i="6"/>
  <c r="D8" i="25" s="1"/>
  <c r="F67" i="6"/>
  <c r="C8" i="25" s="1"/>
  <c r="E67" i="6"/>
  <c r="B8" i="25" s="1"/>
  <c r="D67" i="6"/>
  <c r="I66" i="6"/>
  <c r="F7" i="25" s="1"/>
  <c r="H66" i="6"/>
  <c r="E7" i="25" s="1"/>
  <c r="G66" i="6"/>
  <c r="D7" i="25" s="1"/>
  <c r="F66" i="6"/>
  <c r="C7" i="25" s="1"/>
  <c r="E66" i="6"/>
  <c r="B7" i="25" s="1"/>
  <c r="D66" i="6"/>
  <c r="I65" i="6"/>
  <c r="F6" i="25" s="1"/>
  <c r="H65" i="6"/>
  <c r="E6" i="25" s="1"/>
  <c r="G65" i="6"/>
  <c r="D6" i="25" s="1"/>
  <c r="F65" i="6"/>
  <c r="C6" i="25" s="1"/>
  <c r="E65" i="6"/>
  <c r="B6" i="25" s="1"/>
  <c r="D65" i="6"/>
  <c r="I64" i="6"/>
  <c r="F5" i="25" s="1"/>
  <c r="H64" i="6"/>
  <c r="E5" i="25" s="1"/>
  <c r="G64" i="6"/>
  <c r="D5" i="25" s="1"/>
  <c r="F64" i="6"/>
  <c r="C5" i="25" s="1"/>
  <c r="E64" i="6"/>
  <c r="B5" i="25" s="1"/>
  <c r="D64" i="6"/>
  <c r="D69" i="6" s="1"/>
  <c r="I63" i="6"/>
  <c r="H63" i="6"/>
  <c r="G63" i="6"/>
  <c r="F63" i="6"/>
  <c r="E63" i="6"/>
  <c r="I61" i="6"/>
  <c r="H61" i="6"/>
  <c r="G61" i="6"/>
  <c r="F61" i="6"/>
  <c r="E61" i="6"/>
  <c r="D61" i="6"/>
  <c r="I60" i="6"/>
  <c r="H60" i="6"/>
  <c r="G60" i="6"/>
  <c r="F60" i="6"/>
  <c r="E60" i="6"/>
  <c r="D60" i="6"/>
  <c r="I59" i="6"/>
  <c r="H59" i="6"/>
  <c r="G59" i="6"/>
  <c r="F59" i="6"/>
  <c r="E59" i="6"/>
  <c r="D59" i="6"/>
  <c r="I58" i="6"/>
  <c r="H58" i="6"/>
  <c r="G58" i="6"/>
  <c r="F58" i="6"/>
  <c r="E58" i="6"/>
  <c r="D58" i="6"/>
  <c r="I57" i="6"/>
  <c r="H57" i="6"/>
  <c r="G57" i="6"/>
  <c r="F57" i="6"/>
  <c r="E57" i="6"/>
  <c r="D57" i="6"/>
  <c r="I56" i="6"/>
  <c r="H56" i="6"/>
  <c r="G56" i="6"/>
  <c r="F56" i="6"/>
  <c r="E56" i="6"/>
  <c r="I48" i="6"/>
  <c r="H48" i="6"/>
  <c r="G48" i="6"/>
  <c r="F48" i="6"/>
  <c r="E48" i="6"/>
  <c r="D48" i="6"/>
  <c r="J45" i="6"/>
  <c r="I45" i="6"/>
  <c r="H45" i="6"/>
  <c r="G45" i="6"/>
  <c r="F45" i="6"/>
  <c r="E45" i="6"/>
  <c r="D45" i="6"/>
  <c r="I40" i="6"/>
  <c r="H40" i="6"/>
  <c r="G40" i="6"/>
  <c r="F40" i="6"/>
  <c r="E40" i="6"/>
  <c r="D40" i="6"/>
  <c r="I37" i="6"/>
  <c r="H5" i="15" s="1"/>
  <c r="I5" i="15" s="1"/>
  <c r="J5" i="15" s="1"/>
  <c r="K5" i="15" s="1"/>
  <c r="L5" i="15" s="1"/>
  <c r="M5" i="15" s="1"/>
  <c r="H37" i="6"/>
  <c r="G5" i="15" s="1"/>
  <c r="G37" i="6"/>
  <c r="F5" i="15" s="1"/>
  <c r="F37" i="6"/>
  <c r="E5" i="15" s="1"/>
  <c r="E37" i="6"/>
  <c r="D5" i="15" s="1"/>
  <c r="D37" i="6"/>
  <c r="C5" i="15" s="1"/>
  <c r="I25" i="6"/>
  <c r="H25" i="6"/>
  <c r="G25" i="6"/>
  <c r="F25" i="6"/>
  <c r="E25" i="6"/>
  <c r="D25" i="6"/>
  <c r="I24" i="6"/>
  <c r="H24" i="6"/>
  <c r="G24" i="6"/>
  <c r="F24" i="6"/>
  <c r="E24" i="6"/>
  <c r="D24" i="6"/>
  <c r="I23" i="6"/>
  <c r="H23" i="6"/>
  <c r="G23" i="6"/>
  <c r="F23" i="6"/>
  <c r="E23" i="6"/>
  <c r="D23" i="6"/>
  <c r="I19" i="6"/>
  <c r="H9" i="29" s="1"/>
  <c r="H19" i="6"/>
  <c r="G9" i="29" s="1"/>
  <c r="G19" i="6"/>
  <c r="F9" i="29" s="1"/>
  <c r="F19" i="6"/>
  <c r="E9" i="29" s="1"/>
  <c r="E19" i="6"/>
  <c r="D9" i="29" s="1"/>
  <c r="D19" i="6"/>
  <c r="C9" i="29" s="1"/>
  <c r="I18" i="6"/>
  <c r="H8" i="29" s="1"/>
  <c r="H18" i="6"/>
  <c r="G8" i="29" s="1"/>
  <c r="G18" i="6"/>
  <c r="F8" i="29" s="1"/>
  <c r="F18" i="6"/>
  <c r="E8" i="29" s="1"/>
  <c r="E18" i="6"/>
  <c r="D8" i="29" s="1"/>
  <c r="D18" i="6"/>
  <c r="C8" i="29" s="1"/>
  <c r="I17" i="6"/>
  <c r="H7" i="29" s="1"/>
  <c r="H17" i="6"/>
  <c r="G7" i="29" s="1"/>
  <c r="G17" i="6"/>
  <c r="F7" i="29" s="1"/>
  <c r="F17" i="6"/>
  <c r="E7" i="29" s="1"/>
  <c r="E17" i="6"/>
  <c r="D7" i="29" s="1"/>
  <c r="D17" i="6"/>
  <c r="C7" i="29" s="1"/>
  <c r="I13" i="6"/>
  <c r="H13" i="6"/>
  <c r="G13" i="6"/>
  <c r="F13" i="6"/>
  <c r="E13" i="6"/>
  <c r="D13" i="6"/>
  <c r="N12" i="6"/>
  <c r="M12" i="6"/>
  <c r="L12" i="6"/>
  <c r="K12" i="6"/>
  <c r="J12" i="6"/>
  <c r="I12" i="6"/>
  <c r="H12" i="6"/>
  <c r="G12" i="6"/>
  <c r="F12" i="6"/>
  <c r="E12" i="6"/>
  <c r="D12" i="6"/>
  <c r="I11" i="6"/>
  <c r="H11" i="6"/>
  <c r="G11" i="6"/>
  <c r="F11" i="6"/>
  <c r="E11" i="6"/>
  <c r="D11" i="6"/>
  <c r="N9" i="6"/>
  <c r="M9" i="6"/>
  <c r="L9" i="6"/>
  <c r="K9" i="6"/>
  <c r="J9" i="6"/>
  <c r="I9" i="6"/>
  <c r="H15" i="15" s="1"/>
  <c r="H9" i="6"/>
  <c r="G15" i="15" s="1"/>
  <c r="G9" i="6"/>
  <c r="F15" i="15" s="1"/>
  <c r="F9" i="6"/>
  <c r="E15" i="15" s="1"/>
  <c r="E9" i="6"/>
  <c r="D9" i="6"/>
  <c r="N8" i="6"/>
  <c r="M8" i="6"/>
  <c r="L8" i="6"/>
  <c r="K8" i="6"/>
  <c r="J8" i="6"/>
  <c r="I8" i="6"/>
  <c r="H8" i="6"/>
  <c r="G8" i="6"/>
  <c r="F8" i="6"/>
  <c r="E8" i="6"/>
  <c r="D8" i="6"/>
  <c r="N7" i="6"/>
  <c r="M7" i="6"/>
  <c r="L7" i="6"/>
  <c r="K7" i="6"/>
  <c r="J7" i="6"/>
  <c r="J38" i="6" s="1"/>
  <c r="I7" i="6"/>
  <c r="H7" i="6"/>
  <c r="G7" i="6"/>
  <c r="F7" i="6"/>
  <c r="E7" i="6"/>
  <c r="D7" i="6"/>
  <c r="N6" i="6"/>
  <c r="M6" i="6"/>
  <c r="L6" i="6"/>
  <c r="K6" i="6"/>
  <c r="J6" i="6"/>
  <c r="I6" i="6"/>
  <c r="H6" i="6"/>
  <c r="G6" i="6"/>
  <c r="F6" i="6"/>
  <c r="E6" i="6"/>
  <c r="D6" i="6"/>
  <c r="K14" i="4"/>
  <c r="L14" i="4"/>
  <c r="M14" i="4"/>
  <c r="N14" i="4"/>
  <c r="J14" i="4"/>
  <c r="K9" i="4"/>
  <c r="L9" i="4"/>
  <c r="M9" i="4"/>
  <c r="N9" i="4"/>
  <c r="J9" i="4"/>
  <c r="K8" i="4"/>
  <c r="L8" i="4"/>
  <c r="M8" i="4"/>
  <c r="N8" i="4"/>
  <c r="J8" i="4"/>
  <c r="K7" i="4"/>
  <c r="L7" i="4"/>
  <c r="M7" i="4"/>
  <c r="N7" i="4"/>
  <c r="J7" i="4"/>
  <c r="K6" i="4"/>
  <c r="L6" i="4"/>
  <c r="M6" i="4"/>
  <c r="N6" i="4"/>
  <c r="J6" i="4"/>
  <c r="J68" i="4"/>
  <c r="J5" i="1"/>
  <c r="I5" i="1"/>
  <c r="H5" i="1"/>
  <c r="G5" i="1"/>
  <c r="F5" i="1"/>
  <c r="E5" i="1"/>
  <c r="D5" i="1"/>
  <c r="C5" i="1"/>
  <c r="B5" i="1"/>
  <c r="I73" i="4"/>
  <c r="H73" i="4"/>
  <c r="G73" i="4"/>
  <c r="F73" i="4"/>
  <c r="E73" i="4"/>
  <c r="D73" i="4"/>
  <c r="I72" i="4"/>
  <c r="H72" i="4"/>
  <c r="G72" i="4"/>
  <c r="F72" i="4"/>
  <c r="E72" i="4"/>
  <c r="D72" i="4"/>
  <c r="I71" i="4"/>
  <c r="H71" i="4"/>
  <c r="G71" i="4"/>
  <c r="F71" i="4"/>
  <c r="E71" i="4"/>
  <c r="D71" i="4"/>
  <c r="I70" i="4"/>
  <c r="H70" i="4"/>
  <c r="G70" i="4"/>
  <c r="F70" i="4"/>
  <c r="E70" i="4"/>
  <c r="D70" i="4"/>
  <c r="I69" i="4"/>
  <c r="H69" i="4"/>
  <c r="G69" i="4"/>
  <c r="F69" i="4"/>
  <c r="E69" i="4"/>
  <c r="D69" i="4"/>
  <c r="I68" i="4"/>
  <c r="H68" i="4"/>
  <c r="G68" i="4"/>
  <c r="F68" i="4"/>
  <c r="E68" i="4"/>
  <c r="D68" i="4"/>
  <c r="I65" i="4"/>
  <c r="H65" i="4"/>
  <c r="G65" i="4"/>
  <c r="F65" i="4"/>
  <c r="E65" i="4"/>
  <c r="D65" i="4"/>
  <c r="I64" i="4"/>
  <c r="H64" i="4"/>
  <c r="G64" i="4"/>
  <c r="F64" i="4"/>
  <c r="E64" i="4"/>
  <c r="D64" i="4"/>
  <c r="I63" i="4"/>
  <c r="H63" i="4"/>
  <c r="G63" i="4"/>
  <c r="F63" i="4"/>
  <c r="E63" i="4"/>
  <c r="D63" i="4"/>
  <c r="I62" i="4"/>
  <c r="H62" i="4"/>
  <c r="G62" i="4"/>
  <c r="F62" i="4"/>
  <c r="E62" i="4"/>
  <c r="D62" i="4"/>
  <c r="I61" i="4"/>
  <c r="H61" i="4"/>
  <c r="G61" i="4"/>
  <c r="F61" i="4"/>
  <c r="E61" i="4"/>
  <c r="D61" i="4"/>
  <c r="I60" i="4"/>
  <c r="H60" i="4"/>
  <c r="G60" i="4"/>
  <c r="F60" i="4"/>
  <c r="E60" i="4"/>
  <c r="D60" i="4"/>
  <c r="N51" i="4"/>
  <c r="M51" i="4"/>
  <c r="L51" i="4"/>
  <c r="K51" i="4"/>
  <c r="J51" i="4"/>
  <c r="I51" i="4"/>
  <c r="H51" i="4"/>
  <c r="G51" i="4"/>
  <c r="F51" i="4"/>
  <c r="E51" i="4"/>
  <c r="D51" i="4"/>
  <c r="J48" i="4"/>
  <c r="I48" i="4"/>
  <c r="I49" i="4" s="1"/>
  <c r="H48" i="4"/>
  <c r="H49" i="4" s="1"/>
  <c r="G48" i="4"/>
  <c r="G49" i="4" s="1"/>
  <c r="F48" i="4"/>
  <c r="E48" i="4"/>
  <c r="D48" i="4"/>
  <c r="N42" i="4"/>
  <c r="M42" i="4"/>
  <c r="L42" i="4"/>
  <c r="K42" i="4"/>
  <c r="J42" i="4"/>
  <c r="I42" i="4"/>
  <c r="H42" i="4"/>
  <c r="G42" i="4"/>
  <c r="F42" i="4"/>
  <c r="E42" i="4"/>
  <c r="D42" i="4"/>
  <c r="J39" i="4"/>
  <c r="I39" i="4"/>
  <c r="H39" i="4"/>
  <c r="G39" i="4"/>
  <c r="F39" i="4"/>
  <c r="F40" i="4" s="1"/>
  <c r="E39" i="4"/>
  <c r="E40" i="4" s="1"/>
  <c r="D39" i="4"/>
  <c r="I27" i="4"/>
  <c r="H27" i="4"/>
  <c r="G27" i="4"/>
  <c r="F27" i="4"/>
  <c r="E27" i="4"/>
  <c r="D27" i="4"/>
  <c r="I26" i="4"/>
  <c r="H26" i="4"/>
  <c r="G26" i="4"/>
  <c r="F26" i="4"/>
  <c r="E26" i="4"/>
  <c r="D26" i="4"/>
  <c r="I25" i="4"/>
  <c r="H25" i="4"/>
  <c r="G25" i="4"/>
  <c r="F25" i="4"/>
  <c r="E25" i="4"/>
  <c r="D25" i="4"/>
  <c r="I21" i="4"/>
  <c r="H21" i="4"/>
  <c r="G21" i="4"/>
  <c r="F21" i="4"/>
  <c r="E21" i="4"/>
  <c r="D21" i="4"/>
  <c r="I20" i="4"/>
  <c r="H20" i="4"/>
  <c r="G20" i="4"/>
  <c r="F20" i="4"/>
  <c r="E20" i="4"/>
  <c r="D20" i="4"/>
  <c r="I19" i="4"/>
  <c r="I22" i="4" s="1"/>
  <c r="H19" i="4"/>
  <c r="G19" i="4"/>
  <c r="F19" i="4"/>
  <c r="E19" i="4"/>
  <c r="D19" i="4"/>
  <c r="I15" i="4"/>
  <c r="H15" i="4"/>
  <c r="G15" i="4"/>
  <c r="F15" i="4"/>
  <c r="E15" i="4"/>
  <c r="D15" i="4"/>
  <c r="I14" i="4"/>
  <c r="H14" i="4"/>
  <c r="G14" i="4"/>
  <c r="F14" i="4"/>
  <c r="E14" i="4"/>
  <c r="D14" i="4"/>
  <c r="I13" i="4"/>
  <c r="H13" i="4"/>
  <c r="G13" i="4"/>
  <c r="F13" i="4"/>
  <c r="E13" i="4"/>
  <c r="D13" i="4"/>
  <c r="I9" i="4"/>
  <c r="H9" i="4"/>
  <c r="G9" i="4"/>
  <c r="F9" i="4"/>
  <c r="E9" i="4"/>
  <c r="D9" i="4"/>
  <c r="I8" i="4"/>
  <c r="H8" i="4"/>
  <c r="G8" i="4"/>
  <c r="F8" i="4"/>
  <c r="E8" i="4"/>
  <c r="D8" i="4"/>
  <c r="I7" i="4"/>
  <c r="H7" i="4"/>
  <c r="G7" i="4"/>
  <c r="F7" i="4"/>
  <c r="E7" i="4"/>
  <c r="D7" i="4"/>
  <c r="I6" i="4"/>
  <c r="H6" i="4"/>
  <c r="G6" i="4"/>
  <c r="F6" i="4"/>
  <c r="E6" i="4"/>
  <c r="D6" i="4"/>
  <c r="J22" i="33" l="1"/>
  <c r="I24" i="33"/>
  <c r="F29" i="33"/>
  <c r="F31" i="33"/>
  <c r="D21" i="30"/>
  <c r="C16" i="33"/>
  <c r="C19" i="33"/>
  <c r="C20" i="33" s="1"/>
  <c r="B16" i="33"/>
  <c r="B19" i="33"/>
  <c r="B20" i="33" s="1"/>
  <c r="C29" i="33"/>
  <c r="C31" i="33" s="1"/>
  <c r="D29" i="33"/>
  <c r="D31" i="33" s="1"/>
  <c r="F20" i="33"/>
  <c r="E29" i="33"/>
  <c r="E31" i="33" s="1"/>
  <c r="B29" i="33"/>
  <c r="B31" i="33" s="1"/>
  <c r="N19" i="6"/>
  <c r="M9" i="29" s="1"/>
  <c r="N19" i="27"/>
  <c r="K19" i="6"/>
  <c r="J9" i="29" s="1"/>
  <c r="J19" i="6"/>
  <c r="I9" i="29" s="1"/>
  <c r="J19" i="27"/>
  <c r="J20" i="27" s="1"/>
  <c r="H15" i="29"/>
  <c r="H23" i="29" s="1"/>
  <c r="F4" i="25"/>
  <c r="D53" i="25"/>
  <c r="E18" i="29"/>
  <c r="B53" i="25"/>
  <c r="C53" i="25"/>
  <c r="D18" i="29"/>
  <c r="E53" i="25"/>
  <c r="F18" i="29"/>
  <c r="F53" i="25"/>
  <c r="G18" i="29"/>
  <c r="C15" i="29"/>
  <c r="D72" i="6"/>
  <c r="H18" i="29"/>
  <c r="G53" i="25"/>
  <c r="D15" i="29"/>
  <c r="D23" i="29" s="1"/>
  <c r="B4" i="25"/>
  <c r="E15" i="29"/>
  <c r="E23" i="29" s="1"/>
  <c r="C4" i="25"/>
  <c r="F15" i="29"/>
  <c r="F23" i="29" s="1"/>
  <c r="D4" i="25"/>
  <c r="H18" i="15"/>
  <c r="I18" i="15" s="1"/>
  <c r="J18" i="15" s="1"/>
  <c r="K18" i="15" s="1"/>
  <c r="L18" i="15" s="1"/>
  <c r="M18" i="15" s="1"/>
  <c r="G15" i="29"/>
  <c r="G23" i="29" s="1"/>
  <c r="E4" i="25"/>
  <c r="G18" i="15"/>
  <c r="L53" i="25"/>
  <c r="M18" i="29"/>
  <c r="I53" i="25"/>
  <c r="J18" i="29"/>
  <c r="L40" i="6"/>
  <c r="K8" i="29"/>
  <c r="J40" i="6"/>
  <c r="I8" i="29"/>
  <c r="N40" i="6"/>
  <c r="M8" i="29"/>
  <c r="M40" i="6"/>
  <c r="L8" i="29"/>
  <c r="K18" i="29"/>
  <c r="J53" i="25"/>
  <c r="K40" i="6"/>
  <c r="J8" i="29"/>
  <c r="H53" i="25"/>
  <c r="I18" i="29"/>
  <c r="L18" i="29"/>
  <c r="K53" i="25"/>
  <c r="E19" i="30"/>
  <c r="E21" i="30" s="1"/>
  <c r="F18" i="30"/>
  <c r="J14" i="27"/>
  <c r="J15" i="27" s="1"/>
  <c r="D82" i="27"/>
  <c r="D83" i="27" s="1"/>
  <c r="D84" i="27" s="1"/>
  <c r="D52" i="27"/>
  <c r="D87" i="27" s="1"/>
  <c r="E30" i="27"/>
  <c r="E82" i="27"/>
  <c r="E83" i="27" s="1"/>
  <c r="E84" i="27" s="1"/>
  <c r="E52" i="27"/>
  <c r="E87" i="27" s="1"/>
  <c r="F30" i="27"/>
  <c r="F82" i="27"/>
  <c r="F83" i="27" s="1"/>
  <c r="F84" i="27" s="1"/>
  <c r="F52" i="27"/>
  <c r="F87" i="27" s="1"/>
  <c r="G30" i="27"/>
  <c r="G82" i="27"/>
  <c r="G83" i="27" s="1"/>
  <c r="G84" i="27" s="1"/>
  <c r="G52" i="27"/>
  <c r="G87" i="27" s="1"/>
  <c r="H30" i="27"/>
  <c r="H82" i="27"/>
  <c r="H83" i="27" s="1"/>
  <c r="H84" i="27" s="1"/>
  <c r="H52" i="27"/>
  <c r="H87" i="27" s="1"/>
  <c r="J41" i="27"/>
  <c r="J42" i="27" s="1"/>
  <c r="J43" i="27" s="1"/>
  <c r="I41" i="27"/>
  <c r="I42" i="27" s="1"/>
  <c r="I43" i="27" s="1"/>
  <c r="I29" i="27"/>
  <c r="I30" i="27" s="1"/>
  <c r="E32" i="27"/>
  <c r="F32" i="27"/>
  <c r="F86" i="27"/>
  <c r="G32" i="27"/>
  <c r="H32" i="27"/>
  <c r="H86" i="27"/>
  <c r="J49" i="27"/>
  <c r="J50" i="27" s="1"/>
  <c r="J51" i="27" s="1"/>
  <c r="I49" i="27"/>
  <c r="I50" i="27" s="1"/>
  <c r="I51" i="27" s="1"/>
  <c r="I31" i="27"/>
  <c r="I32" i="27" s="1"/>
  <c r="K69" i="27"/>
  <c r="K74" i="27" s="1"/>
  <c r="L63" i="27"/>
  <c r="J81" i="27"/>
  <c r="J77" i="27"/>
  <c r="J76" i="27"/>
  <c r="J75" i="27"/>
  <c r="J74" i="27"/>
  <c r="J73" i="27"/>
  <c r="J72" i="27"/>
  <c r="L64" i="27"/>
  <c r="L65" i="27"/>
  <c r="L66" i="27"/>
  <c r="L67" i="27"/>
  <c r="L68" i="27"/>
  <c r="F6" i="17"/>
  <c r="H6" i="17" s="1"/>
  <c r="W7" i="17"/>
  <c r="W18" i="17" s="1"/>
  <c r="O8" i="17"/>
  <c r="N8" i="17"/>
  <c r="V8" i="17"/>
  <c r="O24" i="17"/>
  <c r="W24" i="17"/>
  <c r="X24" i="17"/>
  <c r="X6" i="17"/>
  <c r="W22" i="17"/>
  <c r="X22" i="17"/>
  <c r="P7" i="17"/>
  <c r="H7" i="17"/>
  <c r="V7" i="17" s="1"/>
  <c r="X7" i="17"/>
  <c r="M7" i="15"/>
  <c r="J49" i="4"/>
  <c r="L7" i="15"/>
  <c r="K7" i="15"/>
  <c r="J7" i="15"/>
  <c r="N24" i="17"/>
  <c r="P22" i="17"/>
  <c r="N22" i="17"/>
  <c r="P6" i="17"/>
  <c r="V24" i="17"/>
  <c r="C16" i="16"/>
  <c r="C21" i="16" s="1"/>
  <c r="C15" i="16"/>
  <c r="C20" i="16" s="1"/>
  <c r="H6" i="15"/>
  <c r="H7" i="15" s="1"/>
  <c r="I7" i="15"/>
  <c r="G6" i="15"/>
  <c r="F6" i="15"/>
  <c r="F7" i="15" s="1"/>
  <c r="G7" i="15"/>
  <c r="E6" i="15"/>
  <c r="E7" i="15" s="1"/>
  <c r="D6" i="15"/>
  <c r="D7" i="15" s="1"/>
  <c r="C6" i="15"/>
  <c r="C7" i="15" s="1"/>
  <c r="J63" i="6"/>
  <c r="F69" i="6"/>
  <c r="F73" i="6" s="1"/>
  <c r="I38" i="6"/>
  <c r="G14" i="6"/>
  <c r="G15" i="6" s="1"/>
  <c r="F26" i="6"/>
  <c r="F27" i="6" s="1"/>
  <c r="F31" i="6" s="1"/>
  <c r="D26" i="6"/>
  <c r="D27" i="6" s="1"/>
  <c r="D49" i="6" s="1"/>
  <c r="D50" i="6" s="1"/>
  <c r="J65" i="6"/>
  <c r="H14" i="6"/>
  <c r="H15" i="6" s="1"/>
  <c r="D46" i="6"/>
  <c r="E46" i="6"/>
  <c r="I46" i="6"/>
  <c r="D76" i="6"/>
  <c r="E69" i="6"/>
  <c r="E75" i="6" s="1"/>
  <c r="B23" i="25" s="1"/>
  <c r="J46" i="6"/>
  <c r="E73" i="6"/>
  <c r="B21" i="25" s="1"/>
  <c r="H46" i="6"/>
  <c r="J64" i="6"/>
  <c r="D38" i="6"/>
  <c r="D14" i="6"/>
  <c r="D15" i="6" s="1"/>
  <c r="E14" i="6"/>
  <c r="E15" i="6" s="1"/>
  <c r="I14" i="6"/>
  <c r="J11" i="6" s="1"/>
  <c r="J14" i="6" s="1"/>
  <c r="K11" i="6" s="1"/>
  <c r="F38" i="6"/>
  <c r="J66" i="6"/>
  <c r="F14" i="6"/>
  <c r="F15" i="6" s="1"/>
  <c r="I20" i="6"/>
  <c r="G26" i="6"/>
  <c r="G27" i="6" s="1"/>
  <c r="G49" i="6" s="1"/>
  <c r="G50" i="6" s="1"/>
  <c r="E26" i="6"/>
  <c r="E27" i="6" s="1"/>
  <c r="F77" i="6"/>
  <c r="E38" i="6"/>
  <c r="J68" i="6"/>
  <c r="G46" i="6"/>
  <c r="I69" i="6"/>
  <c r="D20" i="6"/>
  <c r="H26" i="6"/>
  <c r="H27" i="6" s="1"/>
  <c r="F75" i="6"/>
  <c r="F74" i="6"/>
  <c r="F81" i="6"/>
  <c r="G69" i="6"/>
  <c r="G77" i="6" s="1"/>
  <c r="H38" i="6"/>
  <c r="I26" i="6"/>
  <c r="J23" i="6" s="1"/>
  <c r="H69" i="6"/>
  <c r="H75" i="6" s="1"/>
  <c r="E72" i="6"/>
  <c r="B20" i="25" s="1"/>
  <c r="G38" i="6"/>
  <c r="E20" i="6"/>
  <c r="H20" i="6"/>
  <c r="F46" i="6"/>
  <c r="J67" i="6"/>
  <c r="G8" i="25" s="1"/>
  <c r="F72" i="6"/>
  <c r="F20" i="6"/>
  <c r="G20" i="6"/>
  <c r="J40" i="4"/>
  <c r="G40" i="4"/>
  <c r="H40" i="4"/>
  <c r="I40" i="4"/>
  <c r="D49" i="4"/>
  <c r="E49" i="4"/>
  <c r="D40" i="4"/>
  <c r="F49" i="4"/>
  <c r="J73" i="4"/>
  <c r="J72" i="4"/>
  <c r="J71" i="4"/>
  <c r="J70" i="4"/>
  <c r="J69" i="4"/>
  <c r="I74" i="4"/>
  <c r="I77" i="4"/>
  <c r="H74" i="4"/>
  <c r="H77" i="4"/>
  <c r="G74" i="4"/>
  <c r="G77" i="4"/>
  <c r="F74" i="4"/>
  <c r="F77" i="4" s="1"/>
  <c r="E74" i="4"/>
  <c r="E77" i="4"/>
  <c r="D74" i="4"/>
  <c r="I28" i="4"/>
  <c r="H28" i="4"/>
  <c r="H29" i="4" s="1"/>
  <c r="G28" i="4"/>
  <c r="G29" i="4" s="1"/>
  <c r="F28" i="4"/>
  <c r="F29" i="4" s="1"/>
  <c r="E28" i="4"/>
  <c r="E29" i="4" s="1"/>
  <c r="D28" i="4"/>
  <c r="D29" i="4" s="1"/>
  <c r="H22" i="4"/>
  <c r="H23" i="4" s="1"/>
  <c r="G22" i="4"/>
  <c r="G23" i="4" s="1"/>
  <c r="F22" i="4"/>
  <c r="F23" i="4"/>
  <c r="E22" i="4"/>
  <c r="E23" i="4" s="1"/>
  <c r="D22" i="4"/>
  <c r="D23" i="4"/>
  <c r="I16" i="4"/>
  <c r="J13" i="4" s="1"/>
  <c r="I17" i="4"/>
  <c r="H16" i="4"/>
  <c r="H17" i="4" s="1"/>
  <c r="G16" i="4"/>
  <c r="G17" i="4"/>
  <c r="F16" i="4"/>
  <c r="F17" i="4" s="1"/>
  <c r="E16" i="4"/>
  <c r="E17" i="4" s="1"/>
  <c r="D16" i="4"/>
  <c r="D17" i="4" s="1"/>
  <c r="K22" i="33" l="1"/>
  <c r="J24" i="33"/>
  <c r="C5" i="30"/>
  <c r="F37" i="33"/>
  <c r="C6" i="30" s="1"/>
  <c r="D34" i="33"/>
  <c r="D32" i="33"/>
  <c r="B34" i="33"/>
  <c r="B32" i="33"/>
  <c r="E34" i="33"/>
  <c r="E32" i="33"/>
  <c r="C34" i="33"/>
  <c r="C32" i="33"/>
  <c r="C22" i="16"/>
  <c r="W13" i="17"/>
  <c r="W16" i="17"/>
  <c r="W17" i="17"/>
  <c r="W14" i="17"/>
  <c r="D86" i="27"/>
  <c r="G86" i="27"/>
  <c r="E86" i="27"/>
  <c r="I76" i="6"/>
  <c r="C24" i="25" s="1"/>
  <c r="C6" i="14"/>
  <c r="G21" i="6"/>
  <c r="F11" i="29" s="1"/>
  <c r="F10" i="29"/>
  <c r="F21" i="6"/>
  <c r="E11" i="29" s="1"/>
  <c r="E10" i="29"/>
  <c r="E24" i="29"/>
  <c r="J17" i="6"/>
  <c r="H10" i="29"/>
  <c r="F76" i="6"/>
  <c r="H21" i="6"/>
  <c r="G11" i="29" s="1"/>
  <c r="G10" i="29"/>
  <c r="D21" i="6"/>
  <c r="C10" i="29"/>
  <c r="E21" i="6"/>
  <c r="D11" i="29" s="1"/>
  <c r="D10" i="29"/>
  <c r="I75" i="6"/>
  <c r="C23" i="25" s="1"/>
  <c r="K77" i="27"/>
  <c r="K76" i="27"/>
  <c r="K63" i="6"/>
  <c r="G4" i="25"/>
  <c r="I15" i="29"/>
  <c r="I23" i="29" s="1"/>
  <c r="K66" i="6"/>
  <c r="H7" i="25" s="1"/>
  <c r="G7" i="25"/>
  <c r="K75" i="27"/>
  <c r="M16" i="15"/>
  <c r="K65" i="6"/>
  <c r="H6" i="25" s="1"/>
  <c r="G6" i="25"/>
  <c r="K73" i="27"/>
  <c r="K68" i="6"/>
  <c r="G9" i="25"/>
  <c r="K64" i="6"/>
  <c r="G5" i="25"/>
  <c r="C3" i="20"/>
  <c r="C3" i="14"/>
  <c r="C9" i="30" s="1"/>
  <c r="F19" i="30"/>
  <c r="F21" i="30" s="1"/>
  <c r="G18" i="30"/>
  <c r="M68" i="27"/>
  <c r="M67" i="27"/>
  <c r="M66" i="27"/>
  <c r="M65" i="27"/>
  <c r="M64" i="27"/>
  <c r="L69" i="27"/>
  <c r="M63" i="27"/>
  <c r="K81" i="27"/>
  <c r="K72" i="27"/>
  <c r="K23" i="27"/>
  <c r="J27" i="27"/>
  <c r="K49" i="27" s="1"/>
  <c r="K50" i="27" s="1"/>
  <c r="K45" i="27"/>
  <c r="K46" i="27" s="1"/>
  <c r="K17" i="27"/>
  <c r="J21" i="27"/>
  <c r="J29" i="27" s="1"/>
  <c r="J30" i="27" s="1"/>
  <c r="I82" i="27"/>
  <c r="I83" i="27" s="1"/>
  <c r="I84" i="27" s="1"/>
  <c r="I52" i="27"/>
  <c r="J82" i="27"/>
  <c r="J83" i="27" s="1"/>
  <c r="J84" i="27" s="1"/>
  <c r="J52" i="27"/>
  <c r="D6" i="20" s="1"/>
  <c r="K41" i="27"/>
  <c r="K42" i="27" s="1"/>
  <c r="K37" i="27"/>
  <c r="K38" i="27" s="1"/>
  <c r="K11" i="27"/>
  <c r="P18" i="17"/>
  <c r="P17" i="17"/>
  <c r="P14" i="17"/>
  <c r="P16" i="17"/>
  <c r="P15" i="17"/>
  <c r="P23" i="17" s="1"/>
  <c r="P25" i="17" s="1"/>
  <c r="P13" i="17"/>
  <c r="O7" i="17"/>
  <c r="N7" i="17"/>
  <c r="N13" i="17" s="1"/>
  <c r="X18" i="17"/>
  <c r="X17" i="17"/>
  <c r="X23" i="17" s="1"/>
  <c r="X16" i="17"/>
  <c r="X15" i="17"/>
  <c r="X21" i="17" s="1"/>
  <c r="X14" i="17"/>
  <c r="X13" i="17"/>
  <c r="V18" i="17"/>
  <c r="V17" i="17"/>
  <c r="V16" i="17"/>
  <c r="V15" i="17"/>
  <c r="V14" i="17"/>
  <c r="V13" i="17"/>
  <c r="L16" i="15"/>
  <c r="J16" i="15"/>
  <c r="K16" i="15"/>
  <c r="N6" i="17"/>
  <c r="O6" i="17"/>
  <c r="C16" i="15"/>
  <c r="D16" i="15"/>
  <c r="E16" i="15"/>
  <c r="F16" i="15"/>
  <c r="G16" i="15"/>
  <c r="H16" i="15"/>
  <c r="I16" i="15"/>
  <c r="E74" i="6"/>
  <c r="B22" i="25" s="1"/>
  <c r="E76" i="6"/>
  <c r="B24" i="25" s="1"/>
  <c r="E77" i="6"/>
  <c r="B25" i="25" s="1"/>
  <c r="D51" i="6"/>
  <c r="E81" i="6"/>
  <c r="F49" i="6"/>
  <c r="F50" i="6" s="1"/>
  <c r="F51" i="6" s="1"/>
  <c r="D31" i="6"/>
  <c r="D74" i="6"/>
  <c r="D75" i="6"/>
  <c r="G51" i="6"/>
  <c r="I15" i="6"/>
  <c r="D73" i="6"/>
  <c r="D81" i="6"/>
  <c r="D77" i="6"/>
  <c r="E49" i="6"/>
  <c r="E50" i="6" s="1"/>
  <c r="E51" i="6" s="1"/>
  <c r="E31" i="6"/>
  <c r="J69" i="6"/>
  <c r="I74" i="6"/>
  <c r="C22" i="25" s="1"/>
  <c r="G31" i="6"/>
  <c r="G32" i="6" s="1"/>
  <c r="I21" i="6"/>
  <c r="I27" i="6"/>
  <c r="J49" i="6" s="1"/>
  <c r="J50" i="6" s="1"/>
  <c r="J51" i="6" s="1"/>
  <c r="G41" i="6"/>
  <c r="G42" i="6" s="1"/>
  <c r="G43" i="6" s="1"/>
  <c r="G29" i="6"/>
  <c r="H49" i="6"/>
  <c r="H50" i="6" s="1"/>
  <c r="H51" i="6" s="1"/>
  <c r="H31" i="6"/>
  <c r="J26" i="6"/>
  <c r="K23" i="6" s="1"/>
  <c r="D41" i="6"/>
  <c r="D42" i="6" s="1"/>
  <c r="D43" i="6" s="1"/>
  <c r="H74" i="6"/>
  <c r="H81" i="6"/>
  <c r="H73" i="6"/>
  <c r="H72" i="6"/>
  <c r="H76" i="6"/>
  <c r="J15" i="6"/>
  <c r="H77" i="6"/>
  <c r="I72" i="6"/>
  <c r="C20" i="25" s="1"/>
  <c r="I73" i="6"/>
  <c r="C21" i="25" s="1"/>
  <c r="I81" i="6"/>
  <c r="K14" i="6"/>
  <c r="L11" i="6" s="1"/>
  <c r="I77" i="6"/>
  <c r="C25" i="25" s="1"/>
  <c r="H29" i="6"/>
  <c r="H41" i="6"/>
  <c r="H42" i="6" s="1"/>
  <c r="H43" i="6" s="1"/>
  <c r="G81" i="6"/>
  <c r="G73" i="6"/>
  <c r="G72" i="6"/>
  <c r="G75" i="6"/>
  <c r="G74" i="6"/>
  <c r="G76" i="6"/>
  <c r="K67" i="6"/>
  <c r="H8" i="25" s="1"/>
  <c r="L63" i="6"/>
  <c r="D77" i="4"/>
  <c r="D85" i="4"/>
  <c r="D78" i="4"/>
  <c r="K73" i="4"/>
  <c r="K72" i="4"/>
  <c r="K71" i="4"/>
  <c r="K70" i="4"/>
  <c r="K69" i="4"/>
  <c r="I85" i="4"/>
  <c r="K68" i="4"/>
  <c r="J74" i="4"/>
  <c r="J77" i="4"/>
  <c r="H78" i="4"/>
  <c r="H79" i="4"/>
  <c r="H80" i="4"/>
  <c r="H81" i="4"/>
  <c r="H82" i="4"/>
  <c r="H85" i="4"/>
  <c r="G78" i="4"/>
  <c r="G79" i="4"/>
  <c r="G80" i="4"/>
  <c r="G81" i="4"/>
  <c r="G82" i="4"/>
  <c r="G85" i="4"/>
  <c r="F78" i="4"/>
  <c r="F79" i="4"/>
  <c r="F80" i="4"/>
  <c r="F81" i="4"/>
  <c r="F82" i="4"/>
  <c r="F85" i="4"/>
  <c r="E78" i="4"/>
  <c r="E79" i="4"/>
  <c r="E81" i="4"/>
  <c r="E82" i="4"/>
  <c r="E80" i="4"/>
  <c r="E85" i="4"/>
  <c r="D79" i="4"/>
  <c r="D80" i="4"/>
  <c r="D81" i="4"/>
  <c r="D82" i="4"/>
  <c r="H34" i="4"/>
  <c r="H52" i="4"/>
  <c r="H53" i="4" s="1"/>
  <c r="H54" i="4" s="1"/>
  <c r="G34" i="4"/>
  <c r="G52" i="4"/>
  <c r="G53" i="4" s="1"/>
  <c r="G54" i="4" s="1"/>
  <c r="F34" i="4"/>
  <c r="F52" i="4"/>
  <c r="F53" i="4" s="1"/>
  <c r="F54" i="4" s="1"/>
  <c r="E34" i="4"/>
  <c r="E52" i="4"/>
  <c r="E53" i="4" s="1"/>
  <c r="E54" i="4" s="1"/>
  <c r="D34" i="4"/>
  <c r="D52" i="4"/>
  <c r="D53" i="4" s="1"/>
  <c r="D54" i="4" s="1"/>
  <c r="H32" i="4"/>
  <c r="H43" i="4"/>
  <c r="H44" i="4" s="1"/>
  <c r="H45" i="4" s="1"/>
  <c r="H55" i="4" s="1"/>
  <c r="G32" i="4"/>
  <c r="G43" i="4"/>
  <c r="G44" i="4" s="1"/>
  <c r="G45" i="4" s="1"/>
  <c r="G55" i="4" s="1"/>
  <c r="F32" i="4"/>
  <c r="F43" i="4"/>
  <c r="F44" i="4" s="1"/>
  <c r="F45" i="4" s="1"/>
  <c r="F55" i="4" s="1"/>
  <c r="E32" i="4"/>
  <c r="E43" i="4"/>
  <c r="E44" i="4" s="1"/>
  <c r="E45" i="4" s="1"/>
  <c r="D32" i="4"/>
  <c r="D43" i="4"/>
  <c r="D44" i="4" s="1"/>
  <c r="D45" i="4" s="1"/>
  <c r="J16" i="4"/>
  <c r="K13" i="4" s="1"/>
  <c r="I82" i="4"/>
  <c r="I81" i="4"/>
  <c r="I80" i="4"/>
  <c r="I79" i="4"/>
  <c r="I78" i="4"/>
  <c r="J25" i="4"/>
  <c r="I29" i="4"/>
  <c r="J19" i="4"/>
  <c r="J22" i="4" s="1"/>
  <c r="I23" i="4"/>
  <c r="C25" i="30" l="1"/>
  <c r="F5" i="30"/>
  <c r="G5" i="30"/>
  <c r="K24" i="33"/>
  <c r="F32" i="33"/>
  <c r="J31" i="27"/>
  <c r="J32" i="27" s="1"/>
  <c r="E44" i="29"/>
  <c r="E26" i="29"/>
  <c r="E9" i="15"/>
  <c r="E10" i="15" s="1"/>
  <c r="E12" i="15" s="1"/>
  <c r="E25" i="29"/>
  <c r="E33" i="29"/>
  <c r="E43" i="29"/>
  <c r="H86" i="6"/>
  <c r="G9" i="15"/>
  <c r="G10" i="15" s="1"/>
  <c r="G12" i="15" s="1"/>
  <c r="D29" i="6"/>
  <c r="C11" i="29"/>
  <c r="E86" i="6"/>
  <c r="D9" i="15"/>
  <c r="D10" i="15" s="1"/>
  <c r="D12" i="15" s="1"/>
  <c r="E29" i="6"/>
  <c r="F29" i="6"/>
  <c r="F30" i="6" s="1"/>
  <c r="F25" i="29"/>
  <c r="F33" i="29"/>
  <c r="F43" i="29"/>
  <c r="I29" i="6"/>
  <c r="H11" i="29"/>
  <c r="C9" i="15"/>
  <c r="C10" i="15" s="1"/>
  <c r="C12" i="15" s="1"/>
  <c r="D86" i="6"/>
  <c r="G25" i="29"/>
  <c r="G43" i="29"/>
  <c r="G33" i="29"/>
  <c r="E41" i="6"/>
  <c r="E42" i="6" s="1"/>
  <c r="E43" i="6" s="1"/>
  <c r="E82" i="6" s="1"/>
  <c r="E83" i="6" s="1"/>
  <c r="E84" i="6" s="1"/>
  <c r="F41" i="6"/>
  <c r="F42" i="6" s="1"/>
  <c r="F43" i="6" s="1"/>
  <c r="F82" i="6" s="1"/>
  <c r="F83" i="6" s="1"/>
  <c r="F84" i="6" s="1"/>
  <c r="F24" i="29"/>
  <c r="D33" i="29"/>
  <c r="D43" i="29"/>
  <c r="D25" i="29"/>
  <c r="D26" i="29" s="1"/>
  <c r="H87" i="6"/>
  <c r="J20" i="6"/>
  <c r="I7" i="29"/>
  <c r="G16" i="29"/>
  <c r="F54" i="25"/>
  <c r="F9" i="15"/>
  <c r="F10" i="15" s="1"/>
  <c r="F12" i="15" s="1"/>
  <c r="D24" i="29"/>
  <c r="D44" i="29" s="1"/>
  <c r="D52" i="6"/>
  <c r="D87" i="6" s="1"/>
  <c r="F16" i="29"/>
  <c r="E54" i="25"/>
  <c r="C12" i="30"/>
  <c r="L66" i="6"/>
  <c r="I7" i="25" s="1"/>
  <c r="G24" i="29"/>
  <c r="L65" i="6"/>
  <c r="I6" i="25" s="1"/>
  <c r="L64" i="6"/>
  <c r="K15" i="29" s="1"/>
  <c r="K23" i="29" s="1"/>
  <c r="H5" i="25"/>
  <c r="H4" i="25"/>
  <c r="J15" i="29"/>
  <c r="J23" i="29" s="1"/>
  <c r="I4" i="25"/>
  <c r="L68" i="6"/>
  <c r="H9" i="25"/>
  <c r="H18" i="30"/>
  <c r="H19" i="30" s="1"/>
  <c r="H21" i="30" s="1"/>
  <c r="G19" i="30"/>
  <c r="G21" i="30" s="1"/>
  <c r="K14" i="27"/>
  <c r="K43" i="27"/>
  <c r="J86" i="27"/>
  <c r="J87" i="27"/>
  <c r="I86" i="27"/>
  <c r="I87" i="27"/>
  <c r="K20" i="27"/>
  <c r="K51" i="27"/>
  <c r="K26" i="27"/>
  <c r="M69" i="27"/>
  <c r="M74" i="27" s="1"/>
  <c r="N63" i="27"/>
  <c r="L81" i="27"/>
  <c r="L77" i="27"/>
  <c r="L76" i="27"/>
  <c r="L75" i="27"/>
  <c r="L74" i="27"/>
  <c r="L73" i="27"/>
  <c r="L72" i="27"/>
  <c r="N64" i="27"/>
  <c r="N65" i="27"/>
  <c r="N66" i="27"/>
  <c r="N67" i="27"/>
  <c r="M77" i="27"/>
  <c r="N68" i="27"/>
  <c r="O18" i="17"/>
  <c r="O17" i="17"/>
  <c r="N18" i="17"/>
  <c r="N17" i="17"/>
  <c r="N16" i="17"/>
  <c r="N15" i="17"/>
  <c r="N21" i="17" s="1"/>
  <c r="N23" i="17" s="1"/>
  <c r="N25" i="17" s="1"/>
  <c r="O16" i="17"/>
  <c r="O14" i="17"/>
  <c r="O15" i="17"/>
  <c r="O21" i="17" s="1"/>
  <c r="O23" i="17" s="1"/>
  <c r="O25" i="17" s="1"/>
  <c r="O13" i="17"/>
  <c r="N14" i="17"/>
  <c r="P21" i="17"/>
  <c r="X25" i="17"/>
  <c r="C5" i="19" s="1"/>
  <c r="E5" i="19" s="1"/>
  <c r="J77" i="6"/>
  <c r="E32" i="6"/>
  <c r="F32" i="6"/>
  <c r="I41" i="6"/>
  <c r="I42" i="6" s="1"/>
  <c r="I43" i="6" s="1"/>
  <c r="J73" i="6"/>
  <c r="J41" i="6"/>
  <c r="J42" i="6" s="1"/>
  <c r="J43" i="6" s="1"/>
  <c r="J72" i="6"/>
  <c r="J81" i="6"/>
  <c r="J75" i="6"/>
  <c r="J76" i="6"/>
  <c r="H32" i="6"/>
  <c r="I31" i="6"/>
  <c r="I32" i="6" s="1"/>
  <c r="I49" i="6"/>
  <c r="I50" i="6" s="1"/>
  <c r="I51" i="6" s="1"/>
  <c r="J74" i="6"/>
  <c r="E52" i="6"/>
  <c r="G52" i="6"/>
  <c r="G87" i="6" s="1"/>
  <c r="G82" i="6"/>
  <c r="G83" i="6" s="1"/>
  <c r="G84" i="6" s="1"/>
  <c r="K15" i="6"/>
  <c r="M63" i="6"/>
  <c r="J27" i="6"/>
  <c r="J31" i="6" s="1"/>
  <c r="L67" i="6"/>
  <c r="I8" i="25" s="1"/>
  <c r="F52" i="6"/>
  <c r="F86" i="6" s="1"/>
  <c r="K45" i="6"/>
  <c r="K46" i="6" s="1"/>
  <c r="K26" i="6"/>
  <c r="L23" i="6" s="1"/>
  <c r="H52" i="6"/>
  <c r="H82" i="6"/>
  <c r="H83" i="6" s="1"/>
  <c r="H84" i="6" s="1"/>
  <c r="G30" i="6"/>
  <c r="L14" i="6"/>
  <c r="M11" i="6" s="1"/>
  <c r="D82" i="6"/>
  <c r="D83" i="6" s="1"/>
  <c r="D84" i="6" s="1"/>
  <c r="K69" i="6"/>
  <c r="E6" i="14" s="1"/>
  <c r="H30" i="6"/>
  <c r="J17" i="4"/>
  <c r="H86" i="4"/>
  <c r="H87" i="4" s="1"/>
  <c r="H88" i="4" s="1"/>
  <c r="G86" i="4"/>
  <c r="G87" i="4" s="1"/>
  <c r="G88" i="4" s="1"/>
  <c r="F86" i="4"/>
  <c r="F87" i="4" s="1"/>
  <c r="F88" i="4" s="1"/>
  <c r="E86" i="4"/>
  <c r="E87" i="4" s="1"/>
  <c r="E88" i="4" s="1"/>
  <c r="E55" i="4"/>
  <c r="D86" i="4"/>
  <c r="D87" i="4" s="1"/>
  <c r="D88" i="4" s="1"/>
  <c r="D55" i="4"/>
  <c r="L73" i="4"/>
  <c r="L72" i="4"/>
  <c r="L71" i="4"/>
  <c r="L70" i="4"/>
  <c r="L69" i="4"/>
  <c r="L68" i="4"/>
  <c r="K74" i="4"/>
  <c r="K77" i="4" s="1"/>
  <c r="J85" i="4"/>
  <c r="K16" i="4"/>
  <c r="L13" i="4" s="1"/>
  <c r="J28" i="4"/>
  <c r="J52" i="4"/>
  <c r="J53" i="4" s="1"/>
  <c r="J54" i="4" s="1"/>
  <c r="I52" i="4"/>
  <c r="I53" i="4" s="1"/>
  <c r="I54" i="4" s="1"/>
  <c r="I34" i="4"/>
  <c r="I35" i="4" s="1"/>
  <c r="J43" i="4"/>
  <c r="J44" i="4" s="1"/>
  <c r="J45" i="4" s="1"/>
  <c r="I43" i="4"/>
  <c r="I44" i="4" s="1"/>
  <c r="I45" i="4" s="1"/>
  <c r="I55" i="4" s="1"/>
  <c r="I32" i="4"/>
  <c r="I33" i="4" s="1"/>
  <c r="F35" i="4"/>
  <c r="H35" i="4"/>
  <c r="G35" i="4"/>
  <c r="E35" i="4"/>
  <c r="H33" i="4"/>
  <c r="G33" i="4"/>
  <c r="F33" i="4"/>
  <c r="E33" i="4"/>
  <c r="J82" i="4"/>
  <c r="J81" i="4"/>
  <c r="J80" i="4"/>
  <c r="J79" i="4"/>
  <c r="J78" i="4"/>
  <c r="J52" i="6" l="1"/>
  <c r="G4" i="33" s="1"/>
  <c r="K37" i="6"/>
  <c r="F36" i="33"/>
  <c r="M76" i="27"/>
  <c r="M75" i="27"/>
  <c r="M65" i="6"/>
  <c r="J6" i="25" s="1"/>
  <c r="M73" i="27"/>
  <c r="G35" i="29"/>
  <c r="G37" i="29" s="1"/>
  <c r="G38" i="29" s="1"/>
  <c r="G17" i="29"/>
  <c r="C33" i="29"/>
  <c r="C25" i="29"/>
  <c r="C43" i="29"/>
  <c r="C24" i="29"/>
  <c r="C16" i="29"/>
  <c r="C35" i="29" s="1"/>
  <c r="C37" i="29" s="1"/>
  <c r="C38" i="29" s="1"/>
  <c r="B54" i="25"/>
  <c r="G44" i="29"/>
  <c r="G26" i="29"/>
  <c r="F35" i="29"/>
  <c r="F37" i="29" s="1"/>
  <c r="F38" i="29" s="1"/>
  <c r="F17" i="29"/>
  <c r="D42" i="29"/>
  <c r="D45" i="29"/>
  <c r="D46" i="29" s="1"/>
  <c r="M66" i="6"/>
  <c r="J7" i="25" s="1"/>
  <c r="K17" i="6"/>
  <c r="I10" i="29"/>
  <c r="J21" i="6"/>
  <c r="I11" i="29" s="1"/>
  <c r="H43" i="29"/>
  <c r="H25" i="29"/>
  <c r="H33" i="29"/>
  <c r="H24" i="29"/>
  <c r="H16" i="29"/>
  <c r="G54" i="25"/>
  <c r="F26" i="29"/>
  <c r="F44" i="29"/>
  <c r="D54" i="25"/>
  <c r="E16" i="29"/>
  <c r="E87" i="6"/>
  <c r="E30" i="6"/>
  <c r="C54" i="25"/>
  <c r="D16" i="29"/>
  <c r="E45" i="29"/>
  <c r="E46" i="29" s="1"/>
  <c r="E42" i="29"/>
  <c r="F87" i="6"/>
  <c r="H9" i="15"/>
  <c r="G86" i="6"/>
  <c r="I30" i="6"/>
  <c r="E9" i="14"/>
  <c r="E10" i="14" s="1"/>
  <c r="E12" i="30"/>
  <c r="I5" i="25"/>
  <c r="M64" i="6"/>
  <c r="J4" i="25"/>
  <c r="D12" i="30"/>
  <c r="D4" i="30"/>
  <c r="M68" i="6"/>
  <c r="I9" i="25"/>
  <c r="N69" i="27"/>
  <c r="M81" i="27"/>
  <c r="M72" i="27"/>
  <c r="L23" i="27"/>
  <c r="K27" i="27"/>
  <c r="L49" i="27"/>
  <c r="L50" i="27" s="1"/>
  <c r="L45" i="27"/>
  <c r="L46" i="27" s="1"/>
  <c r="K31" i="27"/>
  <c r="K32" i="27" s="1"/>
  <c r="L17" i="27"/>
  <c r="K21" i="27"/>
  <c r="L41" i="27" s="1"/>
  <c r="L42" i="27" s="1"/>
  <c r="K82" i="27"/>
  <c r="K83" i="27" s="1"/>
  <c r="K84" i="27" s="1"/>
  <c r="K52" i="27"/>
  <c r="E6" i="20" s="1"/>
  <c r="L37" i="27"/>
  <c r="L38" i="27" s="1"/>
  <c r="L11" i="27"/>
  <c r="K15" i="27"/>
  <c r="K76" i="6"/>
  <c r="J29" i="6"/>
  <c r="K41" i="6"/>
  <c r="K42" i="6" s="1"/>
  <c r="I82" i="6"/>
  <c r="I83" i="6" s="1"/>
  <c r="I84" i="6" s="1"/>
  <c r="K38" i="6"/>
  <c r="D10" i="20"/>
  <c r="J82" i="6"/>
  <c r="J83" i="6" s="1"/>
  <c r="J84" i="6" s="1"/>
  <c r="I52" i="6"/>
  <c r="I86" i="6" s="1"/>
  <c r="J32" i="6"/>
  <c r="K49" i="6"/>
  <c r="K50" i="6" s="1"/>
  <c r="K51" i="6" s="1"/>
  <c r="N65" i="6"/>
  <c r="K6" i="25" s="1"/>
  <c r="L15" i="6"/>
  <c r="L26" i="6"/>
  <c r="M23" i="6" s="1"/>
  <c r="K27" i="6"/>
  <c r="N63" i="6"/>
  <c r="M67" i="6"/>
  <c r="J8" i="25" s="1"/>
  <c r="M14" i="6"/>
  <c r="N11" i="6" s="1"/>
  <c r="K81" i="6"/>
  <c r="K77" i="6"/>
  <c r="K73" i="6"/>
  <c r="K72" i="6"/>
  <c r="K74" i="6"/>
  <c r="K75" i="6"/>
  <c r="L69" i="6"/>
  <c r="F6" i="14" s="1"/>
  <c r="N66" i="6"/>
  <c r="K7" i="25" s="1"/>
  <c r="K17" i="4"/>
  <c r="J55" i="4"/>
  <c r="I86" i="4"/>
  <c r="I87" i="4" s="1"/>
  <c r="I88" i="4" s="1"/>
  <c r="M73" i="4"/>
  <c r="M72" i="4"/>
  <c r="M71" i="4"/>
  <c r="M70" i="4"/>
  <c r="M69" i="4"/>
  <c r="M68" i="4"/>
  <c r="L74" i="4"/>
  <c r="K85" i="4"/>
  <c r="L16" i="4"/>
  <c r="K48" i="4"/>
  <c r="K49" i="4" s="1"/>
  <c r="K39" i="4"/>
  <c r="K40" i="4" s="1"/>
  <c r="J86" i="4"/>
  <c r="J87" i="4" s="1"/>
  <c r="J88" i="4" s="1"/>
  <c r="K82" i="4"/>
  <c r="K81" i="4"/>
  <c r="K80" i="4"/>
  <c r="K79" i="4"/>
  <c r="K78" i="4"/>
  <c r="K25" i="4"/>
  <c r="J29" i="4"/>
  <c r="K19" i="4"/>
  <c r="K22" i="4" s="1"/>
  <c r="J23" i="4"/>
  <c r="G7" i="33" l="1"/>
  <c r="G8" i="33" s="1"/>
  <c r="G9" i="33" s="1"/>
  <c r="G11" i="33" s="1"/>
  <c r="G13" i="33" s="1"/>
  <c r="G15" i="33" s="1"/>
  <c r="K29" i="27"/>
  <c r="K30" i="27" s="1"/>
  <c r="H44" i="29"/>
  <c r="H26" i="29"/>
  <c r="G42" i="29"/>
  <c r="G45" i="29"/>
  <c r="G46" i="29" s="1"/>
  <c r="H35" i="29"/>
  <c r="H37" i="29" s="1"/>
  <c r="H38" i="29" s="1"/>
  <c r="H17" i="29"/>
  <c r="I24" i="29"/>
  <c r="I33" i="29"/>
  <c r="I25" i="29"/>
  <c r="I43" i="29"/>
  <c r="C26" i="29"/>
  <c r="C44" i="29"/>
  <c r="E35" i="29"/>
  <c r="E37" i="29" s="1"/>
  <c r="E38" i="29" s="1"/>
  <c r="E17" i="29"/>
  <c r="J7" i="29"/>
  <c r="K20" i="6"/>
  <c r="K21" i="6" s="1"/>
  <c r="L15" i="29"/>
  <c r="L23" i="29" s="1"/>
  <c r="I87" i="6"/>
  <c r="D35" i="29"/>
  <c r="D37" i="29" s="1"/>
  <c r="D38" i="29" s="1"/>
  <c r="D17" i="29"/>
  <c r="F42" i="29"/>
  <c r="F45" i="29"/>
  <c r="F46" i="29" s="1"/>
  <c r="I9" i="15"/>
  <c r="H10" i="15"/>
  <c r="H12" i="15" s="1"/>
  <c r="E14" i="14"/>
  <c r="E15" i="14" s="1"/>
  <c r="I48" i="25"/>
  <c r="J30" i="6"/>
  <c r="H54" i="25"/>
  <c r="I16" i="29"/>
  <c r="J9" i="25"/>
  <c r="N68" i="6"/>
  <c r="K9" i="25" s="1"/>
  <c r="J5" i="25"/>
  <c r="N64" i="6"/>
  <c r="K5" i="25" s="1"/>
  <c r="K4" i="25"/>
  <c r="F9" i="14"/>
  <c r="F10" i="14" s="1"/>
  <c r="F12" i="30"/>
  <c r="L14" i="27"/>
  <c r="L43" i="27"/>
  <c r="K86" i="27"/>
  <c r="K87" i="27"/>
  <c r="L20" i="27"/>
  <c r="L51" i="27"/>
  <c r="L26" i="27"/>
  <c r="N81" i="27"/>
  <c r="N77" i="27"/>
  <c r="N76" i="27"/>
  <c r="N75" i="27"/>
  <c r="N74" i="27"/>
  <c r="N73" i="27"/>
  <c r="N72" i="27"/>
  <c r="D11" i="20"/>
  <c r="D12" i="20" s="1"/>
  <c r="K43" i="6"/>
  <c r="D9" i="14"/>
  <c r="D10" i="14" s="1"/>
  <c r="S6" i="17"/>
  <c r="R6" i="17"/>
  <c r="V21" i="17" s="1"/>
  <c r="L76" i="6"/>
  <c r="L45" i="6"/>
  <c r="L46" i="6" s="1"/>
  <c r="J86" i="6"/>
  <c r="J87" i="6"/>
  <c r="K31" i="6"/>
  <c r="K32" i="6" s="1"/>
  <c r="L49" i="6"/>
  <c r="L50" i="6" s="1"/>
  <c r="M15" i="6"/>
  <c r="M26" i="6"/>
  <c r="N23" i="6" s="1"/>
  <c r="L27" i="6"/>
  <c r="N67" i="6"/>
  <c r="K8" i="25" s="1"/>
  <c r="N14" i="6"/>
  <c r="N15" i="6" s="1"/>
  <c r="L81" i="6"/>
  <c r="L77" i="6"/>
  <c r="L73" i="6"/>
  <c r="L74" i="6"/>
  <c r="L72" i="6"/>
  <c r="L75" i="6"/>
  <c r="M69" i="6"/>
  <c r="G6" i="14" s="1"/>
  <c r="N73" i="4"/>
  <c r="N72" i="4"/>
  <c r="N71" i="4"/>
  <c r="N70" i="4"/>
  <c r="N69" i="4"/>
  <c r="N68" i="4"/>
  <c r="N74" i="4" s="1"/>
  <c r="M74" i="4"/>
  <c r="M77" i="4"/>
  <c r="L85" i="4"/>
  <c r="K28" i="4"/>
  <c r="L82" i="4"/>
  <c r="L81" i="4"/>
  <c r="L80" i="4"/>
  <c r="L79" i="4"/>
  <c r="L78" i="4"/>
  <c r="L77" i="4"/>
  <c r="M13" i="4"/>
  <c r="L17" i="4"/>
  <c r="K52" i="4"/>
  <c r="K53" i="4" s="1"/>
  <c r="K54" i="4" s="1"/>
  <c r="J34" i="4"/>
  <c r="J35" i="4" s="1"/>
  <c r="K43" i="4"/>
  <c r="K44" i="4" s="1"/>
  <c r="K45" i="4" s="1"/>
  <c r="J32" i="4"/>
  <c r="J33" i="4" s="1"/>
  <c r="G27" i="33" l="1"/>
  <c r="G16" i="33"/>
  <c r="G19" i="33"/>
  <c r="H11" i="33"/>
  <c r="G12" i="33"/>
  <c r="L37" i="6"/>
  <c r="L38" i="6" s="1"/>
  <c r="K82" i="6"/>
  <c r="K83" i="6" s="1"/>
  <c r="K84" i="6" s="1"/>
  <c r="K52" i="6"/>
  <c r="K87" i="6" s="1"/>
  <c r="W21" i="17"/>
  <c r="W23" i="17" s="1"/>
  <c r="W25" i="17" s="1"/>
  <c r="W6" i="17"/>
  <c r="J11" i="29"/>
  <c r="L41" i="6"/>
  <c r="L42" i="6" s="1"/>
  <c r="J9" i="15"/>
  <c r="I10" i="15"/>
  <c r="I12" i="15" s="1"/>
  <c r="C42" i="29"/>
  <c r="C45" i="29"/>
  <c r="C46" i="29" s="1"/>
  <c r="K29" i="6"/>
  <c r="J16" i="29" s="1"/>
  <c r="D12" i="21"/>
  <c r="D14" i="21" s="1"/>
  <c r="D16" i="21" s="1"/>
  <c r="J43" i="29"/>
  <c r="J25" i="29"/>
  <c r="J24" i="29"/>
  <c r="J44" i="29" s="1"/>
  <c r="J33" i="29"/>
  <c r="I26" i="29"/>
  <c r="I44" i="29"/>
  <c r="J10" i="29"/>
  <c r="L17" i="6"/>
  <c r="H42" i="29"/>
  <c r="H45" i="29"/>
  <c r="H46" i="29" s="1"/>
  <c r="F14" i="14"/>
  <c r="J48" i="25"/>
  <c r="M15" i="29"/>
  <c r="M23" i="29" s="1"/>
  <c r="D14" i="14"/>
  <c r="H48" i="25"/>
  <c r="I17" i="29"/>
  <c r="I35" i="29"/>
  <c r="I37" i="29" s="1"/>
  <c r="I38" i="29" s="1"/>
  <c r="G9" i="14"/>
  <c r="G10" i="14" s="1"/>
  <c r="G12" i="30"/>
  <c r="M23" i="27"/>
  <c r="L27" i="27"/>
  <c r="L31" i="27" s="1"/>
  <c r="L32" i="27" s="1"/>
  <c r="M49" i="27"/>
  <c r="M50" i="27" s="1"/>
  <c r="M45" i="27"/>
  <c r="M46" i="27" s="1"/>
  <c r="M17" i="27"/>
  <c r="L21" i="27"/>
  <c r="L29" i="27" s="1"/>
  <c r="L30" i="27" s="1"/>
  <c r="L82" i="27"/>
  <c r="L83" i="27" s="1"/>
  <c r="L84" i="27" s="1"/>
  <c r="L52" i="27"/>
  <c r="F6" i="20" s="1"/>
  <c r="M37" i="27"/>
  <c r="M38" i="27" s="1"/>
  <c r="M11" i="27"/>
  <c r="L15" i="27"/>
  <c r="D16" i="20"/>
  <c r="D17" i="20" s="1"/>
  <c r="E16" i="20"/>
  <c r="E17" i="20" s="1"/>
  <c r="F15" i="14"/>
  <c r="E12" i="21"/>
  <c r="E14" i="21" s="1"/>
  <c r="E16" i="21" s="1"/>
  <c r="V6" i="17"/>
  <c r="V23" i="17"/>
  <c r="V25" i="17" s="1"/>
  <c r="L51" i="6"/>
  <c r="M45" i="6" s="1"/>
  <c r="M46" i="6" s="1"/>
  <c r="M76" i="6"/>
  <c r="M27" i="6"/>
  <c r="M81" i="6"/>
  <c r="M77" i="6"/>
  <c r="M73" i="6"/>
  <c r="M75" i="6"/>
  <c r="M74" i="6"/>
  <c r="M72" i="6"/>
  <c r="N26" i="6"/>
  <c r="N27" i="6" s="1"/>
  <c r="N69" i="6"/>
  <c r="H6" i="14" s="1"/>
  <c r="K55" i="4"/>
  <c r="N77" i="4"/>
  <c r="M85" i="4"/>
  <c r="M16" i="4"/>
  <c r="L48" i="4"/>
  <c r="L49" i="4" s="1"/>
  <c r="K86" i="4"/>
  <c r="K87" i="4" s="1"/>
  <c r="K88" i="4" s="1"/>
  <c r="L39" i="4"/>
  <c r="L40" i="4" s="1"/>
  <c r="M82" i="4"/>
  <c r="M81" i="4"/>
  <c r="M80" i="4"/>
  <c r="M79" i="4"/>
  <c r="M78" i="4"/>
  <c r="L25" i="4"/>
  <c r="K29" i="4"/>
  <c r="L19" i="4"/>
  <c r="K23" i="4"/>
  <c r="I11" i="33" l="1"/>
  <c r="H12" i="33"/>
  <c r="G20" i="33"/>
  <c r="K86" i="6"/>
  <c r="G29" i="33"/>
  <c r="L43" i="6"/>
  <c r="M37" i="6" s="1"/>
  <c r="I54" i="25"/>
  <c r="K30" i="6"/>
  <c r="E10" i="20"/>
  <c r="E11" i="20" s="1"/>
  <c r="E12" i="20" s="1"/>
  <c r="I49" i="25" s="1"/>
  <c r="H4" i="33"/>
  <c r="M41" i="27"/>
  <c r="M42" i="27" s="1"/>
  <c r="I45" i="29"/>
  <c r="I46" i="29" s="1"/>
  <c r="I42" i="29"/>
  <c r="J26" i="29"/>
  <c r="M38" i="6"/>
  <c r="K7" i="29"/>
  <c r="L20" i="6"/>
  <c r="L21" i="6"/>
  <c r="K11" i="29" s="1"/>
  <c r="K9" i="15"/>
  <c r="J10" i="15"/>
  <c r="J12" i="15" s="1"/>
  <c r="G14" i="14"/>
  <c r="G15" i="14" s="1"/>
  <c r="K48" i="25"/>
  <c r="C12" i="21"/>
  <c r="C14" i="21" s="1"/>
  <c r="C16" i="21" s="1"/>
  <c r="D15" i="14"/>
  <c r="L31" i="6"/>
  <c r="L32" i="6" s="1"/>
  <c r="J17" i="29"/>
  <c r="J35" i="29"/>
  <c r="J37" i="29" s="1"/>
  <c r="J38" i="29" s="1"/>
  <c r="E4" i="30"/>
  <c r="F4" i="30" s="1"/>
  <c r="H12" i="30"/>
  <c r="M14" i="27"/>
  <c r="M43" i="27"/>
  <c r="L86" i="27"/>
  <c r="L87" i="27"/>
  <c r="M20" i="27"/>
  <c r="M51" i="27"/>
  <c r="M26" i="27"/>
  <c r="C32" i="14"/>
  <c r="C34" i="14" s="1"/>
  <c r="C36" i="14" s="1"/>
  <c r="C38" i="14" s="1"/>
  <c r="I42" i="14" s="1"/>
  <c r="X26" i="17"/>
  <c r="M49" i="6"/>
  <c r="M50" i="6" s="1"/>
  <c r="M51" i="6" s="1"/>
  <c r="N76" i="6"/>
  <c r="D24" i="25" s="1"/>
  <c r="N81" i="6"/>
  <c r="N77" i="6"/>
  <c r="D25" i="25" s="1"/>
  <c r="N73" i="6"/>
  <c r="D21" i="25" s="1"/>
  <c r="N72" i="6"/>
  <c r="D20" i="25" s="1"/>
  <c r="N75" i="6"/>
  <c r="D23" i="25" s="1"/>
  <c r="N74" i="6"/>
  <c r="D22" i="25" s="1"/>
  <c r="K34" i="4"/>
  <c r="K35" i="4" s="1"/>
  <c r="L52" i="4"/>
  <c r="L53" i="4" s="1"/>
  <c r="L54" i="4" s="1"/>
  <c r="M48" i="4" s="1"/>
  <c r="M49" i="4" s="1"/>
  <c r="N78" i="4"/>
  <c r="N79" i="4"/>
  <c r="N80" i="4"/>
  <c r="N81" i="4"/>
  <c r="N82" i="4"/>
  <c r="N85" i="4"/>
  <c r="L28" i="4"/>
  <c r="L22" i="4"/>
  <c r="N13" i="4"/>
  <c r="M17" i="4"/>
  <c r="K32" i="4"/>
  <c r="K33" i="4" s="1"/>
  <c r="L43" i="4"/>
  <c r="L44" i="4" s="1"/>
  <c r="L45" i="4" s="1"/>
  <c r="L82" i="6" l="1"/>
  <c r="L83" i="6" s="1"/>
  <c r="L84" i="6" s="1"/>
  <c r="L52" i="6"/>
  <c r="L86" i="6" s="1"/>
  <c r="L29" i="6"/>
  <c r="I12" i="33"/>
  <c r="J11" i="33"/>
  <c r="G31" i="33"/>
  <c r="H7" i="33"/>
  <c r="H8" i="33" s="1"/>
  <c r="H9" i="33" s="1"/>
  <c r="H13" i="33"/>
  <c r="F10" i="20"/>
  <c r="F11" i="20" s="1"/>
  <c r="F12" i="20" s="1"/>
  <c r="J49" i="25" s="1"/>
  <c r="I4" i="33"/>
  <c r="L9" i="15"/>
  <c r="K10" i="15"/>
  <c r="K12" i="15" s="1"/>
  <c r="K24" i="29"/>
  <c r="K33" i="29"/>
  <c r="K43" i="29"/>
  <c r="K25" i="29"/>
  <c r="M17" i="6"/>
  <c r="K10" i="29"/>
  <c r="H9" i="14"/>
  <c r="H10" i="14" s="1"/>
  <c r="L48" i="25" s="1"/>
  <c r="M41" i="6"/>
  <c r="M42" i="6" s="1"/>
  <c r="M43" i="6" s="1"/>
  <c r="N37" i="6" s="1"/>
  <c r="J42" i="29"/>
  <c r="J45" i="29"/>
  <c r="J46" i="29" s="1"/>
  <c r="F12" i="21"/>
  <c r="F14" i="21" s="1"/>
  <c r="F16" i="21" s="1"/>
  <c r="L30" i="6"/>
  <c r="J54" i="25"/>
  <c r="K16" i="29"/>
  <c r="L87" i="6"/>
  <c r="N23" i="27"/>
  <c r="M27" i="27"/>
  <c r="N49" i="27"/>
  <c r="N50" i="27" s="1"/>
  <c r="N45" i="27"/>
  <c r="N46" i="27" s="1"/>
  <c r="M31" i="27"/>
  <c r="M32" i="27" s="1"/>
  <c r="N17" i="27"/>
  <c r="M21" i="27"/>
  <c r="M82" i="27"/>
  <c r="M83" i="27" s="1"/>
  <c r="M84" i="27" s="1"/>
  <c r="M52" i="27"/>
  <c r="N41" i="27"/>
  <c r="N42" i="27" s="1"/>
  <c r="N37" i="27"/>
  <c r="N38" i="27" s="1"/>
  <c r="M29" i="27"/>
  <c r="M30" i="27" s="1"/>
  <c r="N11" i="27"/>
  <c r="M15" i="27"/>
  <c r="F16" i="20"/>
  <c r="F17" i="20" s="1"/>
  <c r="M31" i="6"/>
  <c r="M32" i="6" s="1"/>
  <c r="N49" i="6"/>
  <c r="N50" i="6" s="1"/>
  <c r="N45" i="6"/>
  <c r="N46" i="6" s="1"/>
  <c r="L55" i="4"/>
  <c r="N16" i="4"/>
  <c r="N17" i="4" s="1"/>
  <c r="L86" i="4"/>
  <c r="L87" i="4" s="1"/>
  <c r="L88" i="4" s="1"/>
  <c r="M39" i="4"/>
  <c r="M40" i="4" s="1"/>
  <c r="M25" i="4"/>
  <c r="L29" i="4"/>
  <c r="M19" i="4"/>
  <c r="L23" i="4"/>
  <c r="G34" i="33" l="1"/>
  <c r="G32" i="33"/>
  <c r="K11" i="33"/>
  <c r="K12" i="33" s="1"/>
  <c r="J12" i="33"/>
  <c r="I7" i="33"/>
  <c r="I8" i="33" s="1"/>
  <c r="I9" i="33" s="1"/>
  <c r="I13" i="33"/>
  <c r="H15" i="33"/>
  <c r="N38" i="6"/>
  <c r="M82" i="6"/>
  <c r="M83" i="6" s="1"/>
  <c r="M84" i="6" s="1"/>
  <c r="H14" i="14"/>
  <c r="M52" i="6"/>
  <c r="L7" i="29"/>
  <c r="M20" i="6"/>
  <c r="K26" i="29"/>
  <c r="M9" i="15"/>
  <c r="M10" i="15" s="1"/>
  <c r="M12" i="15" s="1"/>
  <c r="L10" i="15"/>
  <c r="L12" i="15" s="1"/>
  <c r="K35" i="29"/>
  <c r="K37" i="29" s="1"/>
  <c r="K38" i="29" s="1"/>
  <c r="K17" i="29"/>
  <c r="G6" i="20"/>
  <c r="G10" i="20" s="1"/>
  <c r="G11" i="20" s="1"/>
  <c r="G12" i="20" s="1"/>
  <c r="N14" i="27"/>
  <c r="N15" i="27" s="1"/>
  <c r="N43" i="27"/>
  <c r="M86" i="27"/>
  <c r="M87" i="27"/>
  <c r="N20" i="27"/>
  <c r="N21" i="27" s="1"/>
  <c r="N51" i="27"/>
  <c r="N26" i="27"/>
  <c r="N27" i="27" s="1"/>
  <c r="N51" i="6"/>
  <c r="N31" i="6" s="1"/>
  <c r="N32" i="6" s="1"/>
  <c r="M28" i="4"/>
  <c r="L34" i="4"/>
  <c r="L35" i="4" s="1"/>
  <c r="M52" i="4"/>
  <c r="M53" i="4" s="1"/>
  <c r="M54" i="4" s="1"/>
  <c r="M22" i="4"/>
  <c r="L32" i="4"/>
  <c r="L33" i="4" s="1"/>
  <c r="M43" i="4"/>
  <c r="M44" i="4" s="1"/>
  <c r="M45" i="4" s="1"/>
  <c r="D5" i="30" l="1"/>
  <c r="G36" i="33"/>
  <c r="I15" i="33"/>
  <c r="I16" i="33" s="1"/>
  <c r="M86" i="6"/>
  <c r="J4" i="33"/>
  <c r="H19" i="33"/>
  <c r="H27" i="33"/>
  <c r="H16" i="33"/>
  <c r="N17" i="6"/>
  <c r="L10" i="29"/>
  <c r="M21" i="6"/>
  <c r="M87" i="6"/>
  <c r="K45" i="29"/>
  <c r="K46" i="29" s="1"/>
  <c r="K42" i="29"/>
  <c r="G12" i="21"/>
  <c r="G14" i="21" s="1"/>
  <c r="H17" i="14"/>
  <c r="H18" i="14" s="1"/>
  <c r="C21" i="14" s="1"/>
  <c r="H15" i="14"/>
  <c r="C20" i="14" s="1"/>
  <c r="K49" i="25"/>
  <c r="G16" i="20"/>
  <c r="G17" i="20" s="1"/>
  <c r="N31" i="27"/>
  <c r="N32" i="27" s="1"/>
  <c r="N82" i="27"/>
  <c r="N83" i="27" s="1"/>
  <c r="N84" i="27" s="1"/>
  <c r="N52" i="27"/>
  <c r="H6" i="20" s="1"/>
  <c r="N29" i="27"/>
  <c r="N30" i="27" s="1"/>
  <c r="M55" i="4"/>
  <c r="N48" i="4"/>
  <c r="N49" i="4" s="1"/>
  <c r="M86" i="4"/>
  <c r="M87" i="4" s="1"/>
  <c r="M88" i="4" s="1"/>
  <c r="N39" i="4"/>
  <c r="N40" i="4" s="1"/>
  <c r="N25" i="4"/>
  <c r="M29" i="4"/>
  <c r="N19" i="4"/>
  <c r="M23" i="4"/>
  <c r="I27" i="33" l="1"/>
  <c r="I29" i="33" s="1"/>
  <c r="I31" i="33" s="1"/>
  <c r="I34" i="33" s="1"/>
  <c r="I19" i="33"/>
  <c r="I20" i="33" s="1"/>
  <c r="J7" i="33"/>
  <c r="J8" i="33" s="1"/>
  <c r="J9" i="33" s="1"/>
  <c r="J13" i="33"/>
  <c r="H29" i="33"/>
  <c r="H20" i="33"/>
  <c r="C23" i="14"/>
  <c r="C25" i="14" s="1"/>
  <c r="C29" i="14" s="1"/>
  <c r="G17" i="21"/>
  <c r="G18" i="21" s="1"/>
  <c r="G16" i="21"/>
  <c r="L11" i="29"/>
  <c r="N41" i="6"/>
  <c r="N42" i="6" s="1"/>
  <c r="N43" i="6" s="1"/>
  <c r="M29" i="6"/>
  <c r="N20" i="6"/>
  <c r="M10" i="29" s="1"/>
  <c r="M7" i="29"/>
  <c r="N21" i="6"/>
  <c r="M11" i="29" s="1"/>
  <c r="N86" i="27"/>
  <c r="N87" i="27"/>
  <c r="N28" i="4"/>
  <c r="N29" i="4" s="1"/>
  <c r="N22" i="4"/>
  <c r="N23" i="4" s="1"/>
  <c r="M34" i="4"/>
  <c r="M35" i="4" s="1"/>
  <c r="N52" i="4"/>
  <c r="N53" i="4" s="1"/>
  <c r="N54" i="4" s="1"/>
  <c r="M32" i="4"/>
  <c r="M33" i="4" s="1"/>
  <c r="N43" i="4"/>
  <c r="N44" i="4" s="1"/>
  <c r="N45" i="4" s="1"/>
  <c r="I32" i="33" l="1"/>
  <c r="H31" i="33"/>
  <c r="H34" i="33" s="1"/>
  <c r="J15" i="33"/>
  <c r="G19" i="21"/>
  <c r="G21" i="21" s="1"/>
  <c r="G23" i="21" s="1"/>
  <c r="B28" i="21" s="1"/>
  <c r="C22" i="14"/>
  <c r="N29" i="6"/>
  <c r="N52" i="6"/>
  <c r="K4" i="33" s="1"/>
  <c r="N82" i="6"/>
  <c r="N83" i="6" s="1"/>
  <c r="N84" i="6" s="1"/>
  <c r="M43" i="29"/>
  <c r="M25" i="29"/>
  <c r="M33" i="29"/>
  <c r="M24" i="29"/>
  <c r="M30" i="6"/>
  <c r="L16" i="29"/>
  <c r="K54" i="25"/>
  <c r="L33" i="29"/>
  <c r="L24" i="29"/>
  <c r="L43" i="29"/>
  <c r="L25" i="29"/>
  <c r="H22" i="30"/>
  <c r="H23" i="30" s="1"/>
  <c r="C34" i="25"/>
  <c r="C4" i="19"/>
  <c r="A38" i="25"/>
  <c r="B42" i="14"/>
  <c r="D33" i="25"/>
  <c r="N55" i="4"/>
  <c r="N34" i="4"/>
  <c r="N35" i="4" s="1"/>
  <c r="N86" i="4"/>
  <c r="N87" i="4" s="1"/>
  <c r="N88" i="4" s="1"/>
  <c r="N32" i="4"/>
  <c r="N33" i="4" s="1"/>
  <c r="H32" i="33" l="1"/>
  <c r="J27" i="33"/>
  <c r="J29" i="33" s="1"/>
  <c r="J31" i="33" s="1"/>
  <c r="J16" i="33"/>
  <c r="J19" i="33"/>
  <c r="J20" i="33" s="1"/>
  <c r="N87" i="6"/>
  <c r="K7" i="33"/>
  <c r="K8" i="33" s="1"/>
  <c r="K9" i="33" s="1"/>
  <c r="G4" i="30"/>
  <c r="K13" i="33"/>
  <c r="E5" i="30"/>
  <c r="E4" i="19"/>
  <c r="C6" i="19"/>
  <c r="M44" i="29"/>
  <c r="M26" i="29"/>
  <c r="L35" i="29"/>
  <c r="L37" i="29" s="1"/>
  <c r="L38" i="29" s="1"/>
  <c r="L17" i="29"/>
  <c r="H10" i="20"/>
  <c r="H11" i="20" s="1"/>
  <c r="H12" i="20" s="1"/>
  <c r="N86" i="6"/>
  <c r="L44" i="29"/>
  <c r="L26" i="29"/>
  <c r="M16" i="29"/>
  <c r="L54" i="25"/>
  <c r="N30" i="6"/>
  <c r="K15" i="33" l="1"/>
  <c r="K27" i="33" s="1"/>
  <c r="J34" i="33"/>
  <c r="J37" i="33" s="1"/>
  <c r="J32" i="33"/>
  <c r="C7" i="19"/>
  <c r="L49" i="25"/>
  <c r="H16" i="20"/>
  <c r="M35" i="29"/>
  <c r="M37" i="29" s="1"/>
  <c r="M38" i="29" s="1"/>
  <c r="M17" i="29"/>
  <c r="L42" i="29"/>
  <c r="L45" i="29"/>
  <c r="L46" i="29" s="1"/>
  <c r="M45" i="29"/>
  <c r="M46" i="29" s="1"/>
  <c r="M42" i="29"/>
  <c r="K19" i="33" l="1"/>
  <c r="K20" i="33" s="1"/>
  <c r="K16" i="33"/>
  <c r="K29" i="33"/>
  <c r="H17" i="20"/>
  <c r="C22" i="20" s="1"/>
  <c r="H19" i="20"/>
  <c r="H20" i="20" s="1"/>
  <c r="C23" i="20" s="1"/>
  <c r="K31" i="33" l="1"/>
  <c r="C25" i="20"/>
  <c r="C27" i="20" s="1"/>
  <c r="C31" i="20" s="1"/>
  <c r="B35" i="20" s="1"/>
  <c r="K32" i="33" l="1"/>
  <c r="K34" i="33"/>
  <c r="C24" i="20"/>
</calcChain>
</file>

<file path=xl/comments1.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B43" authorId="0" shapeId="0" xr:uid="{00000000-0006-0000-0300-000001000000}">
      <text>
        <r>
          <rPr>
            <sz val="10"/>
            <rFont val="Arial"/>
            <family val="2"/>
          </rPr>
          <t>New stores opened mid-year on average, so they only contribute roughly half a year of revenue in their opening year, so assume 50%</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B41" authorId="0" shapeId="0" xr:uid="{3EC5474E-B565-2149-AAB0-282029139035}">
      <text>
        <r>
          <rPr>
            <sz val="10"/>
            <color rgb="FF000000"/>
            <rFont val="Arial"/>
            <family val="2"/>
          </rPr>
          <t>New stores opened mid-year on average, so they only contribute roughly half a year of revenue in their opening year, so assume 50%</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Micah James</author>
  </authors>
  <commentList>
    <comment ref="B40" authorId="0" shapeId="0" xr:uid="{F0B81778-9C6A-41B8-8F58-B1E2FC924D09}">
      <text>
        <r>
          <rPr>
            <b/>
            <sz val="9"/>
            <color indexed="81"/>
            <rFont val="Tahoma"/>
            <family val="2"/>
          </rPr>
          <t>Micah James:</t>
        </r>
        <r>
          <rPr>
            <sz val="9"/>
            <color indexed="81"/>
            <rFont val="Tahoma"/>
            <family val="2"/>
          </rPr>
          <t xml:space="preserve">
 Projecting different wacc and growth rate to see the impact on share price</t>
        </r>
      </text>
    </comment>
    <comment ref="I40" authorId="0" shapeId="0" xr:uid="{FF98D76D-5A83-4EF9-B107-7423771C5619}">
      <text>
        <r>
          <rPr>
            <b/>
            <sz val="9"/>
            <color indexed="81"/>
            <rFont val="Tahoma"/>
            <family val="2"/>
          </rPr>
          <t>Micah James:</t>
        </r>
        <r>
          <rPr>
            <sz val="9"/>
            <color indexed="81"/>
            <rFont val="Tahoma"/>
            <family val="2"/>
          </rPr>
          <t xml:space="preserve">
: Projecting different wacc and growth rate to see the impact on share price</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B41" authorId="0" shapeId="0" xr:uid="{16B6B65C-ABFA-4767-B5FA-A6DA829C7039}">
      <text>
        <r>
          <rPr>
            <sz val="10"/>
            <color rgb="FF000000"/>
            <rFont val="Arial"/>
            <family val="2"/>
          </rPr>
          <t>New stores opened mid-year on average, so they only contribute roughly half a year of revenue in their opening year, so assume 50%</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Micah James</author>
  </authors>
  <commentList>
    <comment ref="B26" authorId="0" shapeId="0" xr:uid="{AC2E6D2D-257D-4DBB-96D4-3260E93CBEBA}">
      <text>
        <r>
          <rPr>
            <b/>
            <sz val="9"/>
            <color indexed="81"/>
            <rFont val="Tahoma"/>
            <family val="2"/>
          </rPr>
          <t>Micah James:</t>
        </r>
        <r>
          <rPr>
            <sz val="9"/>
            <color indexed="81"/>
            <rFont val="Tahoma"/>
            <family val="2"/>
          </rPr>
          <t xml:space="preserve">
: Projecting different wacc and growth rate to see the impact on share price</t>
        </r>
      </text>
    </comment>
  </commentList>
</comments>
</file>

<file path=xl/sharedStrings.xml><?xml version="1.0" encoding="utf-8"?>
<sst xmlns="http://schemas.openxmlformats.org/spreadsheetml/2006/main" count="1998" uniqueCount="826">
  <si>
    <t>BEST BUY CO., INC. (BBY)</t>
  </si>
  <si>
    <t>Investor Analysis</t>
  </si>
  <si>
    <t>Prepared by:</t>
  </si>
  <si>
    <t>Team 1</t>
  </si>
  <si>
    <t>Course:</t>
  </si>
  <si>
    <t>SP26: VALUE FUND: 9810</t>
  </si>
  <si>
    <t>Date:</t>
  </si>
  <si>
    <t>Fiscal Year End:</t>
  </si>
  <si>
    <t>Late January to early February</t>
  </si>
  <si>
    <t>Currency:</t>
  </si>
  <si>
    <t>USD ($ millions unless noted)</t>
  </si>
  <si>
    <t>Sources:</t>
  </si>
  <si>
    <t>Best Buy 10-Ks (FY2022–FY2024), Earnings Call Transcripts, Facset, CapitalIQ etc</t>
  </si>
  <si>
    <t>Content:</t>
  </si>
  <si>
    <t>1. Assumptions</t>
  </si>
  <si>
    <t>2. Historical Data</t>
  </si>
  <si>
    <t>3-year actuals pulled from 10-K (FY2022–FY2024), geographic revenue, business segment, industry metrics, and multiples</t>
  </si>
  <si>
    <t xml:space="preserve">3. Revenue Build </t>
  </si>
  <si>
    <t>P&amp;L with actuals + 5-year forecasts, base case, bear case, bottom up and top down comparision</t>
  </si>
  <si>
    <t>4. DCF Model</t>
  </si>
  <si>
    <t xml:space="preserve">base and bear case </t>
  </si>
  <si>
    <t>5. FCFE Valuation</t>
  </si>
  <si>
    <t>6. Comp Analysis</t>
  </si>
  <si>
    <t>EV/Revenue, EV/EBITDA, P/E</t>
  </si>
  <si>
    <t>7. Blended Implied Price Summary</t>
  </si>
  <si>
    <t>8. Unit Economics</t>
  </si>
  <si>
    <t>revenue changes compares to store count etc</t>
  </si>
  <si>
    <t>7. WACC</t>
  </si>
  <si>
    <t>WACC calculation taking market estimates</t>
  </si>
  <si>
    <t>8. Estimates in CAGR</t>
  </si>
  <si>
    <t>5 year CAGR</t>
  </si>
  <si>
    <t>BEST BUY BUSINESS MODEL ASSUMPTIONS BASED ON HISTORICALS AND MARKET DATA</t>
  </si>
  <si>
    <t>All assumptions finalized and validated against SEC filings (10-K / 10-Q), Q4 FY2026 Earnings Call (Mar 3, 2026), and analyst consensus.</t>
  </si>
  <si>
    <t>PRIMARY SOURCES:  (1) 10-K FY2025: https://www.sec.gov/Archives/edgar/data/0000764478/000076447825000007/bby-20250201x10k.htm   (2) 10-Q Q1 FY2026: https://www.sec.gov/Archives/edgar/data/0000764478/000076447825000019/bby-20250503x10q.htm   (3) 10-Q Q3 FY2026: https://www.sec.gov/Archives/edgar/data/0000764478/000076447825000057/bby-20251101.htm   (4) Q4 FY2026 Transcript: https://www.theglobeandmail.com/investing/markets/stocks/BBY/pressreleases/536814/best-buy-bby-q4-2026-earnings-call-transcript/   (5) Q4 FY2026 Highlights: https://www.dailypolitical.com/2026/03/04/best-buy-q4-earnings-call-highlights.html</t>
  </si>
  <si>
    <t>Source Links</t>
  </si>
  <si>
    <t>Assumptions</t>
  </si>
  <si>
    <t>2027E</t>
  </si>
  <si>
    <t>2028E</t>
  </si>
  <si>
    <t>2029E</t>
  </si>
  <si>
    <t>2030E</t>
  </si>
  <si>
    <t>2031E</t>
  </si>
  <si>
    <t>Notes</t>
  </si>
  <si>
    <t xml:space="preserve">Comparable sales and online mix </t>
  </si>
  <si>
    <t>Best Buy Q4 FY2026 8-K / Earnings Call, Mar 3, 2026:
https://finance.yahoo.com/news/best-buy-q4-earnings-call-194703419.html
Earnings Call Full Transcript (Globe &amp; Mail):
https://www.theglobeandmail.com/investing/markets/stocks/BBY/pressreleases/536814/best-buy-bby-q4-2026-earnings-call-transcript/</t>
  </si>
  <si>
    <t>Total Sales Growth %</t>
  </si>
  <si>
    <t>FY2027E: Midpoint of management guidance range of -1% to +1%.
FY2028 to FY2031: Analyst consensus CAGR of 1.5–2.0%, supported by AI PC refresh cycle, Windows 10 EOL tailwind, and gradual housing recovery.</t>
  </si>
  <si>
    <t>Best Buy Q4 FY2026 Earnings Call, Mar 3, 2026:
https://www.theglobeandmail.com/investing/markets/stocks/BBY/pressreleases/536814/best-buy-bby-q4-2026-earnings-call-transcript/
Q4 FY2026 Earnings Call Highlights:
https://www.dailypolitical.com/2026/03/04/best-buy-q4-earnings-call-highlights.html</t>
  </si>
  <si>
    <t>Domestic Sales Growth (%)</t>
  </si>
  <si>
    <t>FY2027E: midpoint of BBY guidance -1% to +1% (Q4 FY26 8-K, 3-Mar-2026, SEC EDGAR). FY2028-31: analyst consensus 1.5-2.0% CAGR. Same driver set as total comp sales above.</t>
  </si>
  <si>
    <t>Best Buy 10-K FY2025, International Segment Disclosures:
https://www.sec.gov/Archives/edgar/data/0000764478/000076447825000007/bby-20250201x10k.htm</t>
  </si>
  <si>
    <t>International Sales Growth (%)</t>
  </si>
  <si>
    <t>No separate Canada guidance issued. Mirrors domestic SSS given similar product mix and consumer electronics cycle. CAD/USD assumed broadly neutral.</t>
  </si>
  <si>
    <t>Best Buy Q4 FY2026 Earnings Call, Mar 3, 2026:
https://finance.yahoo.com/news/best-buy-q4-earnings-call-194703419.html</t>
  </si>
  <si>
    <t>Online Revenue % of Domestic</t>
  </si>
  <si>
    <t>FY2027E: continuing upward trend from 39.0% (FY26 actual). FY2028-31: +1ppt/yr assumption; consistent with historical shift to online. Trajectory slowing post-COVID peak (about 37% in FY2023): conservative assumption.</t>
  </si>
  <si>
    <t>Store Count</t>
  </si>
  <si>
    <t>Best Buy Q4 FY2026 8-K/Earnings Call, Mar 3, 2026:
https://finance.yahoo.com/news/best-buy-q4-earnings-call-194703419.html
Earnings Call Full Transcript:
https://www.theglobeandmail.com/investing/markets/stocks/BBY/pressreleases/536814/best-buy-bby-q4-2026-earnings-call-transcript/</t>
  </si>
  <si>
    <t>Total Stores Opened</t>
  </si>
  <si>
    <t>FY2027E: 6 new domestic stores (BBY Q4 FY26 8-K: "first time in several years... six new locations"). 
FY2028 to 31: gradual normalization</t>
  </si>
  <si>
    <t>Total Stores Closed</t>
  </si>
  <si>
    <r>
      <rPr>
        <i/>
        <sz val="8"/>
        <color rgb="FFFF0000"/>
        <rFont val="Arial"/>
        <family val="2"/>
      </rPr>
      <t xml:space="preserve">FY2027E: 20 dom + 15 intl = 35 total, this would be extrapolating FY2026 number which is a one-time restructuring, based on portfolio rationalization trend from BBY 10-K FY2026. </t>
    </r>
    <r>
      <rPr>
        <i/>
        <sz val="8"/>
        <color rgb="FF000000"/>
        <rFont val="Arial"/>
        <family val="2"/>
      </rPr>
      <t xml:space="preserve">
New FY2026E: 2 traditional domestic (mgmt guided) + approx.3 residual non-traditional (Outlet/Yardbird tail per restructuring note) + 3 international, which makes about 8 total.
FY2028 to FY2031: Normalized lease-expiry attrition of 7 to 10/yr.
Our prior assumption was over-relying on one quote from management about traditional domestic closures and ignoring both the non-traditional format wind-down still in progress and the company's own stated long-run closure policy. Revise upward to approx. 18 for FY2027E and 15–18 thereafter.</t>
    </r>
  </si>
  <si>
    <t>Domestic Stores Opened</t>
  </si>
  <si>
    <t>All new openings are domestic small-format. No international openings planned.</t>
  </si>
  <si>
    <t>Q4 FY2026 Earnings Call: '6 new stores, closing two as leases come up':
https://www.dailypolitical.com/2026/03/04/best-buy-q4-earnings-call-highlights.html
Q3 FY2026 10-Q: Restructuring, 'additional [non-traditional] closures FY2027':
https://www.sec.gov/Archives/edgar/data/0000764478/000076447825000057/bby-20251101.htm</t>
  </si>
  <si>
    <t>Domestic Stores Closed</t>
  </si>
  <si>
    <t>Management guided only 2 traditional domestic closures in FY2027.
FY2027E: 2 traditional (mgmt) + approx.3 non-traditional residual (Outlet Centers / Yardbird tail from FY2026 restructuring) which makes up 5 total.
FY2028 to FY2031: Normalized lease-expiry run-rate of 5 to 7/yr. Yardbird went from 23 to 2 stores during FY2026. Outlet Centers dropped from 25 to 18. The Q3 FY2026 10-Q explicitly states "additional [non-traditional] closures expected in fiscal 2027" as the restructuring winds down.</t>
  </si>
  <si>
    <t>10-K FY2025, Intl stores: 160 (Feb-25), 160 (Feb-24), 160 (Jan-23):
https://www.sec.gov/Archives/edgar/data/0000764478/000076447825000007/bby-20250201x10k.htm</t>
  </si>
  <si>
    <t>International Stores Opened</t>
  </si>
  <si>
    <t>No international openings planned. Canada store count flat for 3+ consecutive years with no announced expansion plans.</t>
  </si>
  <si>
    <t>10-K FY2025, Intl stores = 160:
https://www.sec.gov/Archives/edgar/data/0000764478/000076447825000007/bby-20250201x10k.htm
10-Q Q1 FY2026 (May 2025), Intl stores = 157:
https://www.sec.gov/Archives/edgar/data/0000764478/000076447825000019/bby-20250503x10q.htm
10-Q Q3 FY2026 (Nov 2025), Intl stores still 157, no further movement:
https://www.sec.gov/Archives/edgar/data/0000764478/000076447825000057/bby-20251101.htm</t>
  </si>
  <si>
    <t>International Stores Closed</t>
  </si>
  <si>
    <t>No evidence in any filing or guidance supports aggressive Canadian closures.
International went 160 to 157 across ALL of FY2026 (3 stores). 
FY2027E: 3, matching the FY2026 observed run-rate.
FY2028 to FY2031: Conservative lease-expiry attrition of 2/yr.</t>
  </si>
  <si>
    <t>Segment growth</t>
  </si>
  <si>
    <t>Q4 FY2026 Earnings Call (memory/ASP commentary), Mar 3, 2026:
https://www.theglobeandmail.com/investing/markets/stocks/BBY/pressreleases/536814/best-buy-bby-q4-2026-earnings-call-transcript/</t>
  </si>
  <si>
    <t>Computing &amp; Mobile Phones</t>
  </si>
  <si>
    <t>FY2027E +2.0%: AI PC upgrade cycle "sweet spot" 2026-27 (finterra/FinContent Mar 2026); memory cost inflation headwind (Q4 FY26 earnings call). FY2028E +4.0%: cycle peaks. Normalizes to +2% FY2029+</t>
  </si>
  <si>
    <t>D.A. Davidson / BNN Bloomberg analysis, Nov 2025 (TV units vs. dollars).
Q4 FY2026 Earnings Call (category performance), Mar 3, 2026:
https://finance.yahoo.com/news/best-buy-q4-earnings-call-194703419.html</t>
  </si>
  <si>
    <t>Consumer Electronics</t>
  </si>
  <si>
    <t>FY2027E -2.0%: TV units inflected positive but dollars still -ve (D.A. Davidson, BNN Bloomberg Nov 2025); home theater challenged. FY2028E +1.5%: dollar recovery. FY2029+ +2.0% as housing normalizes</t>
  </si>
  <si>
    <t>Q4 FY2026 Earnings Call: 'structural shift toward duress replacements':
https://www.dailypolitical.com/2026/03/04/best-buy-q4-earnings-call-highlights.html
Home Improvement Research Institute (HIRI): 2025–2028 Appliance CAGR ~4.4%:
https://www.hiriinfo.org</t>
  </si>
  <si>
    <t>Appliances</t>
  </si>
  <si>
    <t>FY2027E -5.0%: "structural shift toward duress replacements" (Q4 FY26 earnings call); HD/Lowes share pressure. FY2028E flat. FY2029+ +2.5-3.0%: HIRI ~4.4% appliance CAGR 2025-28; housing recovery</t>
  </si>
  <si>
    <t>Q4 FY2026 Earnings Call: 'AI glasses, PC gaming handhelds, collectibles delivered notable growth'; Meta store layout expansion:
https://www.theglobeandmail.com/investing/markets/stocks/BBY/pressreleases/536814/best-buy-bby-q4-2026-earnings-call-transcript/</t>
  </si>
  <si>
    <t>Entertainment</t>
  </si>
  <si>
    <t>FY2027E +3.0%: gaming console cycle; AI glasses/Meta partnership. Stable +2-2.5% FY2028+</t>
  </si>
  <si>
    <t>Q4 FY2026 Earnings Call: Ads $900M+ run-rate, 10% growth guided:
https://www.dailypolitical.com/2026/03/04/best-buy-q4-earnings-call-highlights.html
Full transcript (Ads &amp; Marketplace profitability FY2028 commentary):
https://www.theglobeandmail.com/investing/markets/stocks/BBY/pressreleases/536814/best-buy-bby-q4-2026-earnings-call-transcript/</t>
  </si>
  <si>
    <t>Services (Geek Squad/Totaltech/My Best Buy)</t>
  </si>
  <si>
    <t>FY2027E +4.0% / FY2028+ +5.0%: "material Ads &amp; Marketplace contribution starting FY2028" (Q4 FY26 earnings call); My Best Buy membership; Geek Squad pivot. Eases to +4% FY2030+</t>
  </si>
  <si>
    <t>Q4 FY2026 Earnings Call: Ads growth, Marketplace launch, FY2028 inflection:
https://www.theglobeandmail.com/investing/markets/stocks/BBY/pressreleases/536814/best-buy-bby-q4-2026-earnings-call-transcript/
Q4 FY2026 Earnings Call Highlights:
https://finance.yahoo.com/news/best-buy-q4-earnings-call-194703419.html</t>
  </si>
  <si>
    <t>Other (Best Buy Ads/Marketplace/New Ventures)</t>
  </si>
  <si>
    <t>FY2027E +8.0% / FY2028E +10.0%: Best Buy Ads $900M run-rate (FinContent 2026); Marketplace &gt;1,100 sellers; FY2027 final investment year per mgmt. Moderates to +5% by FY2031E</t>
  </si>
  <si>
    <t>Domestic SSS Growth (%)</t>
  </si>
  <si>
    <t>expected 1% to 3.5%, validated hrough PY revenue changes from revenue build. ranges derived from revenue growth consensus (~1.3to 1.9% CAGR), store-level math, and structural driver analysis. A bear scenario (persistent tariffs + macro weakness + memory cost inflation) could keep FY28 to FY29 near flat or slightly negative, while a bull scenario (housing recovery + AI supercycle) could push FY29–FY31 toward 4 to 5%.</t>
  </si>
  <si>
    <t>International stores SSS Growth (%)</t>
  </si>
  <si>
    <t>flat growth expected</t>
  </si>
  <si>
    <t>Services comparables Sales Growth%</t>
  </si>
  <si>
    <t>Marketplace ramp up due to ads scaling and healthdrag. Entering FY28, heath stabalizes and AI device services helps with the growth rate. Towards FY30 and after, predicting a mature and more stabalized % representation at around 10%</t>
  </si>
  <si>
    <t>DCF Parameters</t>
  </si>
  <si>
    <t xml:space="preserve">    WACC</t>
  </si>
  <si>
    <t>-</t>
  </si>
  <si>
    <t>10.5% — elevated vs. sector peers. Reflects tariff/macro uncertainty, consumer electronics cyclicality, and appliance softness. Source: CAPM + peer comp.</t>
  </si>
  <si>
    <t xml:space="preserve">    Terminal Growth Rate  (TGR)</t>
  </si>
  <si>
    <t>2.0% — conservative; in line with long-run nominal GDP. ~25bps below historical retail median. Implies 12.4× terminal FCFF multiple.</t>
  </si>
  <si>
    <t xml:space="preserve">    Net Debt  ($M)</t>
  </si>
  <si>
    <t>Gross debt ~$1.3B less cash ~$0.3B per Q4 FY26 balance sheet. BBY investment-grade rated (BBB); sustainable dividend. Source: Q4 FY26 10-K.</t>
  </si>
  <si>
    <t xml:space="preserve">    Diluted Shares Outstanding  (M)</t>
  </si>
  <si>
    <t>Reflects ongoing repurchase program. ~200–210M diluted shares. Source: BBY FY26 10-K.</t>
  </si>
  <si>
    <t xml:space="preserve">    Effective Tax Rate</t>
  </si>
  <si>
    <t>Consistent with BBY recent historical effective tax rate (~24%). Source: BBY FY26 10-K.</t>
  </si>
  <si>
    <t xml:space="preserve">    Depreciation &amp; Amortization  ($M)</t>
  </si>
  <si>
    <t xml:space="preserve">Contracting as store count falls, </t>
  </si>
  <si>
    <t xml:space="preserve">    Capital Expenditures  ($M)</t>
  </si>
  <si>
    <t>Modest decline as big-box remodel cycle winds down. Small-format openings (~$2M each × 15/yr = $30M incremental) partially offset savings.</t>
  </si>
  <si>
    <t xml:space="preserve">    Change in Net Working Capital  ($M)</t>
  </si>
  <si>
    <t>Conservative modest outflow; BBY historically runs a lean / negative working capital cycle as a retailer.</t>
  </si>
  <si>
    <t>Operating Margin %</t>
  </si>
  <si>
    <t>Current Stock Price Used In this Model</t>
  </si>
  <si>
    <t>as of 4/15/2026</t>
  </si>
  <si>
    <t>FFCF 2026A</t>
  </si>
  <si>
    <t>CFO ($1,962) + After-tax interest ($44*24% = $33) − CapEx ($704) ≈ ~$1,291M</t>
  </si>
  <si>
    <t>Description</t>
  </si>
  <si>
    <t>Units</t>
  </si>
  <si>
    <t>2021A</t>
  </si>
  <si>
    <t>2022A</t>
  </si>
  <si>
    <t>2023A</t>
  </si>
  <si>
    <t>2024A</t>
  </si>
  <si>
    <t>2025A</t>
  </si>
  <si>
    <t>2026A</t>
  </si>
  <si>
    <t>Key Revenue Drivers and Assumptions</t>
  </si>
  <si>
    <t>Store Sales</t>
  </si>
  <si>
    <t>Total Comparable Sales Growth</t>
  </si>
  <si>
    <t>FY2027E: midpoint of BBY guidance -1% to +1% (Q4 FY26 8-K, 3-Mar-2026, SEC EDGAR). FY2028-31: analyst consensus 1.5-2.0% CAGR</t>
  </si>
  <si>
    <t>Domestic Comparable Sales Growth</t>
  </si>
  <si>
    <t>International Comparable Sales Growth</t>
  </si>
  <si>
    <t>Online Revenue as % of Domestic Rev</t>
  </si>
  <si>
    <t>FY2027E: continuing upward trend from 39.0% (FY26 actual). FY2028-31: +1ppt/yr assumption; consistent with historical shift to online</t>
  </si>
  <si>
    <t>Total Store Count</t>
  </si>
  <si>
    <t>Beginning Store Count</t>
  </si>
  <si>
    <t>Stores Opened</t>
  </si>
  <si>
    <t>FY2027E: 6 new domestic stores (BBY Q4 FY26 8-K: "first time in several years... six new locations"). FY2028-31: gradual normalization</t>
  </si>
  <si>
    <t>Stores Closed</t>
  </si>
  <si>
    <t>FY2027E: 20 dom + 15 intl = 35 total. Declining from 49 in FY26; based on portfolio rationalization trend from BBY 10-K FY2026</t>
  </si>
  <si>
    <t>Ending Store Count</t>
  </si>
  <si>
    <t>Average Store Count</t>
  </si>
  <si>
    <t>Domestic Store Count</t>
  </si>
  <si>
    <t>International Store Count</t>
  </si>
  <si>
    <t>Revenue Per Store</t>
  </si>
  <si>
    <t>Domestic Rev per Avg. Store</t>
  </si>
  <si>
    <t>Y/Y Growth Domestic Rev per Store</t>
  </si>
  <si>
    <t>International Rev per Avg. Store</t>
  </si>
  <si>
    <t>Y/Y Growth International Rev per Store</t>
  </si>
  <si>
    <t>Domestic Revenue Build</t>
  </si>
  <si>
    <t>Comparable Store Rev</t>
  </si>
  <si>
    <t>Prior Year Domestic Revenue</t>
  </si>
  <si>
    <t>Comp Store Base Rev</t>
  </si>
  <si>
    <t>New Store Rev</t>
  </si>
  <si>
    <t>Stores Opened during year</t>
  </si>
  <si>
    <t>Rev per New Store</t>
  </si>
  <si>
    <t>New store rev = (prior yr rev/avg stores) × (1 + comp growth) × 50% ramp factor (new stores earn half-year revenue in opening year)</t>
  </si>
  <si>
    <t>Total new Store Rev</t>
  </si>
  <si>
    <t>Total Domestic Rev</t>
  </si>
  <si>
    <t>International Rev Build</t>
  </si>
  <si>
    <t>Prior Year International Rev</t>
  </si>
  <si>
    <t>Total New Store Rev</t>
  </si>
  <si>
    <t>Total International Rev</t>
  </si>
  <si>
    <t>Total Revenue</t>
  </si>
  <si>
    <t>Segment Revenue Build</t>
  </si>
  <si>
    <t>Segment Growth Rate Assumptions (%YoY)</t>
  </si>
  <si>
    <t>Services</t>
  </si>
  <si>
    <t>Other</t>
  </si>
  <si>
    <t>Segment Revenue ($M)</t>
  </si>
  <si>
    <t>Total Revenue from Segments</t>
  </si>
  <si>
    <t>% of Total Revenue</t>
  </si>
  <si>
    <t>Reconciliation: Segment vs. Geographic Build</t>
  </si>
  <si>
    <t>Total Rev Segment Build</t>
  </si>
  <si>
    <t>Comp-Store Geographic Build</t>
  </si>
  <si>
    <t>Difference ($M)  Comp-Store minus Segment</t>
  </si>
  <si>
    <t>Difference (%)</t>
  </si>
  <si>
    <t>Historical Data</t>
  </si>
  <si>
    <t>BBY-US</t>
  </si>
  <si>
    <t>Sales</t>
  </si>
  <si>
    <t>JAN '17</t>
  </si>
  <si>
    <t>JAN '18</t>
  </si>
  <si>
    <t>JAN '19</t>
  </si>
  <si>
    <t>JAN '20</t>
  </si>
  <si>
    <t>JAN '21</t>
  </si>
  <si>
    <t>JAN '22</t>
  </si>
  <si>
    <t>JAN '23</t>
  </si>
  <si>
    <t>JAN '24</t>
  </si>
  <si>
    <t>JAN '25</t>
  </si>
  <si>
    <t>JAN '26</t>
  </si>
  <si>
    <t>364 Days</t>
  </si>
  <si>
    <t>371 Days</t>
  </si>
  <si>
    <t>Total</t>
  </si>
  <si>
    <t>United States</t>
  </si>
  <si>
    <t>Canada</t>
  </si>
  <si>
    <t>Historical Segments</t>
  </si>
  <si>
    <t>All figures in millions of U.S. Dollar</t>
  </si>
  <si>
    <t>Percent of Total (%)</t>
  </si>
  <si>
    <t>Growth (%)</t>
  </si>
  <si>
    <t>Revenue forecast - using top down approach</t>
  </si>
  <si>
    <t>Key Revenue Drivers Based on Assumptions</t>
  </si>
  <si>
    <t>%</t>
  </si>
  <si>
    <t>#</t>
  </si>
  <si>
    <t>Domestic Rev per Avg. Store  (in millions USD)</t>
  </si>
  <si>
    <t>$</t>
  </si>
  <si>
    <t>International Rev per Avg. Store  (in millions USD)</t>
  </si>
  <si>
    <t>Revenue Build</t>
  </si>
  <si>
    <t>Domestic Revenue Build (in millions USD)</t>
  </si>
  <si>
    <t>International Revenue Build  (in millions USD)</t>
  </si>
  <si>
    <t>Total Revenue (in millions USD)</t>
  </si>
  <si>
    <t>Segment Revenue (in millions USD)</t>
  </si>
  <si>
    <t>Revenue Comparision And Summary</t>
  </si>
  <si>
    <t>International Revenue as % of Total Revenue</t>
  </si>
  <si>
    <t>Domestic Revenue as % of Total Revenue</t>
  </si>
  <si>
    <t>Industry</t>
  </si>
  <si>
    <t>Same Store Sales - Total (%)</t>
  </si>
  <si>
    <t>Same Store Sales - Domestic (%)</t>
  </si>
  <si>
    <t>Same Store Sales - International (%)</t>
  </si>
  <si>
    <t>Floor Area Sq. Ft. (000)</t>
  </si>
  <si>
    <t>Domestic (000)</t>
  </si>
  <si>
    <t>International (000)</t>
  </si>
  <si>
    <t xml:space="preserve">   Online Revenue as % of Domestic Revenue</t>
  </si>
  <si>
    <t># Beginning Stores</t>
  </si>
  <si>
    <t>Domestic</t>
  </si>
  <si>
    <t>International</t>
  </si>
  <si>
    <t># Ending Stores</t>
  </si>
  <si>
    <t># Net Additions</t>
  </si>
  <si>
    <t># New Stores</t>
  </si>
  <si>
    <t># Opened</t>
  </si>
  <si>
    <t># Closed Stores</t>
  </si>
  <si>
    <t># Owned Stores</t>
  </si>
  <si>
    <t># Leased Stores</t>
  </si>
  <si>
    <t># Ground Leased Stores</t>
  </si>
  <si>
    <t>All figures without specified units (e.g. Revenue, Net Income, Capex and Sustaining Capex) in U.S. Dollar. All figures for Sales Volume, Production, Reserves and Resources in of respective weight units. All figures for Realized Price and Unit Costs are in $ per weight unit.</t>
  </si>
  <si>
    <t>Retail Industry Metrics</t>
  </si>
  <si>
    <t>Merchandise Margin (%)</t>
  </si>
  <si>
    <t>EBITDAR</t>
  </si>
  <si>
    <t># Stores (actual)</t>
  </si>
  <si>
    <t># Stores Closed During Period (actual)</t>
  </si>
  <si>
    <t># Stores Opened During Period (actual)</t>
  </si>
  <si>
    <t>Best Buy Co., Inc. (NYSE:BBY) &gt; Financials &gt; Balance Sheet</t>
  </si>
  <si>
    <t>In Millions of the reported currency, except per share items.</t>
  </si>
  <si>
    <t>Template:</t>
  </si>
  <si>
    <t>Standard</t>
  </si>
  <si>
    <t> </t>
  </si>
  <si>
    <t>Restatement:</t>
  </si>
  <si>
    <t>Latest Filings</t>
  </si>
  <si>
    <t>Period Type:</t>
  </si>
  <si>
    <t>Annual</t>
  </si>
  <si>
    <t>Order:</t>
  </si>
  <si>
    <t>Latest on Right</t>
  </si>
  <si>
    <t>Reported Currency</t>
  </si>
  <si>
    <t>Conversion:</t>
  </si>
  <si>
    <t>Historical</t>
  </si>
  <si>
    <t>Units:</t>
  </si>
  <si>
    <t>S&amp;P Capital IQ (Default)</t>
  </si>
  <si>
    <t>Decimals:</t>
  </si>
  <si>
    <t>Capital IQ (Default)</t>
  </si>
  <si>
    <t>Source:</t>
  </si>
  <si>
    <t>Capital IQ &amp; Proprietary Data</t>
  </si>
  <si>
    <t>Balance Sheet</t>
  </si>
  <si>
    <t xml:space="preserve">Balance Sheet as of:
</t>
  </si>
  <si>
    <t>Currency</t>
  </si>
  <si>
    <t>USD</t>
  </si>
  <si>
    <t>ASSETS</t>
  </si>
  <si>
    <t>Cash And Equivalents</t>
  </si>
  <si>
    <t>Short Term Investments</t>
  </si>
  <si>
    <t xml:space="preserve">  Total Cash &amp; ST Investments</t>
  </si>
  <si>
    <t>Accounts Receivable</t>
  </si>
  <si>
    <t xml:space="preserve">  Total Receivables</t>
  </si>
  <si>
    <t>Inventory</t>
  </si>
  <si>
    <t>Restricted Cash</t>
  </si>
  <si>
    <t>Other Current Assets</t>
  </si>
  <si>
    <t xml:space="preserve">  Total Current Assets</t>
  </si>
  <si>
    <t>Gross Property, Plant &amp; Equipment</t>
  </si>
  <si>
    <t>Accumulated Depreciation</t>
  </si>
  <si>
    <t xml:space="preserve">  Net Property, Plant &amp; Equipment</t>
  </si>
  <si>
    <t>Long-term Investments</t>
  </si>
  <si>
    <t>Goodwill</t>
  </si>
  <si>
    <t>Other Intangibles</t>
  </si>
  <si>
    <t>Deferred Tax Assets, LT</t>
  </si>
  <si>
    <t>Other Long-Term Assets</t>
  </si>
  <si>
    <t>Total Assets</t>
  </si>
  <si>
    <t>LIABILITIES</t>
  </si>
  <si>
    <t>Accounts Payable</t>
  </si>
  <si>
    <t>Accrued Exp.</t>
  </si>
  <si>
    <t>Short-term Borrowings</t>
  </si>
  <si>
    <t>Curr. Port. of Leases</t>
  </si>
  <si>
    <t>Unearned Revenue, Current</t>
  </si>
  <si>
    <t>Other Current Liabilities</t>
  </si>
  <si>
    <t xml:space="preserve">  Total Current Liabilities</t>
  </si>
  <si>
    <t>Long-Term Debt</t>
  </si>
  <si>
    <t>Long-Term Leases</t>
  </si>
  <si>
    <t>Unearned Revenue, Non-Current</t>
  </si>
  <si>
    <t>Def. Tax Liability, Non-Curr.</t>
  </si>
  <si>
    <t>Other Non-Current Liabilities</t>
  </si>
  <si>
    <t>Total Liabilities</t>
  </si>
  <si>
    <t>Common Stock</t>
  </si>
  <si>
    <t>Additional Paid In Capital</t>
  </si>
  <si>
    <t>Retained Earnings</t>
  </si>
  <si>
    <t>Treasury Stock</t>
  </si>
  <si>
    <t>Comprehensive Inc. and Other</t>
  </si>
  <si>
    <t xml:space="preserve">  Total Common Equity</t>
  </si>
  <si>
    <t>Total Equity</t>
  </si>
  <si>
    <t>Total Liabilities And Equity</t>
  </si>
  <si>
    <t>Supplemental Items</t>
  </si>
  <si>
    <t>Total Shares Out. on Filing Date</t>
  </si>
  <si>
    <t>Total Shares Out. on Balance Sheet Date</t>
  </si>
  <si>
    <t>Book Value/Share</t>
  </si>
  <si>
    <t>Tangible Book Value</t>
  </si>
  <si>
    <t>Tangible Book Value/Share</t>
  </si>
  <si>
    <t>Total Debt</t>
  </si>
  <si>
    <t>Net Debt</t>
  </si>
  <si>
    <t>Debt Equivalent Oper. Leases</t>
  </si>
  <si>
    <t>Inventory Method</t>
  </si>
  <si>
    <t>Avg Cost</t>
  </si>
  <si>
    <t>Finished Goods Inventory</t>
  </si>
  <si>
    <t>Land</t>
  </si>
  <si>
    <t>Machinery</t>
  </si>
  <si>
    <t>Leasehold Improvements</t>
  </si>
  <si>
    <t>Full Time Employees</t>
  </si>
  <si>
    <t>Part-Time Employees</t>
  </si>
  <si>
    <t>NA</t>
  </si>
  <si>
    <t>Accum. Allowance for Doubtful Accts</t>
  </si>
  <si>
    <t>Filing Date</t>
  </si>
  <si>
    <t>Restatement Type</t>
  </si>
  <si>
    <t>NC</t>
  </si>
  <si>
    <t>O</t>
  </si>
  <si>
    <t>Calculation Type</t>
  </si>
  <si>
    <t>RUP</t>
  </si>
  <si>
    <t>REP</t>
  </si>
  <si>
    <t>Note: For multiple class companies, total share counts are primary class equivalent, and for foreign companies listed as primary ADRs, total share counts are ADR-equivalent.</t>
  </si>
  <si>
    <t xml:space="preserve">
               </t>
  </si>
  <si>
    <t>Best Buy Co., Inc. (NYSE:BBY) &gt; Financials &gt; Income Statement</t>
  </si>
  <si>
    <t>Income Statement</t>
  </si>
  <si>
    <t xml:space="preserve">For the Fiscal Period Ending
</t>
  </si>
  <si>
    <t>Reclassified
12 months
Jan-30-2021</t>
  </si>
  <si>
    <t>Reclassified
12 months
Jan-29-2022</t>
  </si>
  <si>
    <t>12 months
Jan-28-2023</t>
  </si>
  <si>
    <t>Reclassified
12 months
Feb-03-2024</t>
  </si>
  <si>
    <t>Reclassified
12 months
Feb-01-2025</t>
  </si>
  <si>
    <t>12 months
Jan-31-2026</t>
  </si>
  <si>
    <t xml:space="preserve"> </t>
  </si>
  <si>
    <t>Revenue</t>
  </si>
  <si>
    <t>Other Revenue</t>
  </si>
  <si>
    <t xml:space="preserve">  Total Revenue</t>
  </si>
  <si>
    <t>Cost Of Goods Sold</t>
  </si>
  <si>
    <t xml:space="preserve">  Gross Profit</t>
  </si>
  <si>
    <t>Selling General &amp; Admin Exp.</t>
  </si>
  <si>
    <t>R &amp; D Exp.</t>
  </si>
  <si>
    <t>Depreciation &amp; Amort.</t>
  </si>
  <si>
    <t>Amort. of Goodwill and Intangibles</t>
  </si>
  <si>
    <t>Other Operating Expense/(Income)</t>
  </si>
  <si>
    <t xml:space="preserve">  Other Operating Exp., Total</t>
  </si>
  <si>
    <t xml:space="preserve">  Operating Income</t>
  </si>
  <si>
    <t>Interest Expense</t>
  </si>
  <si>
    <t>Interest and Invest. Income</t>
  </si>
  <si>
    <t xml:space="preserve">  Net Interest Exp.</t>
  </si>
  <si>
    <t>Income/(Loss) from Affiliates</t>
  </si>
  <si>
    <t>Other Non-Operating Inc. (Exp.)</t>
  </si>
  <si>
    <t xml:space="preserve">  EBT Excl. Unusual Items</t>
  </si>
  <si>
    <t>Restructuring Charges</t>
  </si>
  <si>
    <t>Merger &amp; Related Restruct. Charges</t>
  </si>
  <si>
    <t>Impairment of Goodwill</t>
  </si>
  <si>
    <t>Gain (Loss) On Sale Of Assets</t>
  </si>
  <si>
    <t>Asset Writedown</t>
  </si>
  <si>
    <t>Other Unusual Items</t>
  </si>
  <si>
    <t xml:space="preserve">  EBT Incl. Unusual Items</t>
  </si>
  <si>
    <t>Income Tax Expense</t>
  </si>
  <si>
    <t xml:space="preserve">  Earnings from Cont. Ops.</t>
  </si>
  <si>
    <t>Earnings of Discontinued Ops.</t>
  </si>
  <si>
    <t>Extraord. Item &amp; Account. Change</t>
  </si>
  <si>
    <t xml:space="preserve">  Net Income to Company</t>
  </si>
  <si>
    <t>Minority Int. in Earnings</t>
  </si>
  <si>
    <t xml:space="preserve">  Net Income</t>
  </si>
  <si>
    <t>Pref. Dividends and Other Adj.</t>
  </si>
  <si>
    <t xml:space="preserve">  NI to Common Incl Extra Items</t>
  </si>
  <si>
    <t xml:space="preserve">  NI to Common Excl. Extra Items</t>
  </si>
  <si>
    <t>Per Share Items</t>
  </si>
  <si>
    <t>Basic EPS</t>
  </si>
  <si>
    <t>Basic EPS Excl. Extra Items</t>
  </si>
  <si>
    <t>Weighted Avg. Basic Shares Out.</t>
  </si>
  <si>
    <t>Diluted EPS</t>
  </si>
  <si>
    <t>Diluted EPS Excl. Extra Items</t>
  </si>
  <si>
    <t>Weighted Avg. Diluted Shares Out.</t>
  </si>
  <si>
    <t>Normalized Basic EPS</t>
  </si>
  <si>
    <t>Normalized Diluted EPS</t>
  </si>
  <si>
    <t>Dividends per Share</t>
  </si>
  <si>
    <t>Payout Ratio %</t>
  </si>
  <si>
    <t>Shares per Depository Receipt</t>
  </si>
  <si>
    <t>EBITDA</t>
  </si>
  <si>
    <t>EBITA</t>
  </si>
  <si>
    <t>EBIT</t>
  </si>
  <si>
    <t>Effective Tax Rate %</t>
  </si>
  <si>
    <t>Current Domestic Taxes</t>
  </si>
  <si>
    <t>Current Foreign Taxes</t>
  </si>
  <si>
    <t>Total Current Taxes</t>
  </si>
  <si>
    <t>Deferred Domestic Taxes</t>
  </si>
  <si>
    <t>Deferred Foreign Taxes</t>
  </si>
  <si>
    <t>Total Deferred Taxes</t>
  </si>
  <si>
    <t>Normalized Net Income</t>
  </si>
  <si>
    <t>Interest on Long Term Debt</t>
  </si>
  <si>
    <t>RC</t>
  </si>
  <si>
    <t>Supplemental Operating Expense Items</t>
  </si>
  <si>
    <t>Advertising Exp.</t>
  </si>
  <si>
    <t>Selling and Marketing Exp.</t>
  </si>
  <si>
    <t>Net Rental Exp.</t>
  </si>
  <si>
    <t>Imputed Oper. Lease Interest Exp.</t>
  </si>
  <si>
    <t>Imputed Oper. Lease Depreciation</t>
  </si>
  <si>
    <t>Stock-Based Comp., Unallocated</t>
  </si>
  <si>
    <t xml:space="preserve">  Stock-Based Comp., Total</t>
  </si>
  <si>
    <t>Note: For multiple class companies, per share items are primary class equivalent, and for foreign companies listed as primary ADRs, per share items are ADR-equivalent.</t>
  </si>
  <si>
    <t>Best Buy Co., Inc. (NYSE:BBY) &gt; Financials &gt; Cash Flow</t>
  </si>
  <si>
    <t>Cash Flow</t>
  </si>
  <si>
    <t>12 months
Jan-30-2021</t>
  </si>
  <si>
    <t>12 months
Jan-29-2022</t>
  </si>
  <si>
    <t>12 months
Feb-03-2024</t>
  </si>
  <si>
    <t>12 months
Feb-01-2025</t>
  </si>
  <si>
    <t>Net Income</t>
  </si>
  <si>
    <t>Depreciation &amp; Amort., Total</t>
  </si>
  <si>
    <t>(Gain) Loss From Sale Of Assets</t>
  </si>
  <si>
    <t>Asset Writedown &amp; Restructuring Costs</t>
  </si>
  <si>
    <t>Stock-Based Compensation</t>
  </si>
  <si>
    <t>Other Operating Activities</t>
  </si>
  <si>
    <t>Change in Acc. Receivable</t>
  </si>
  <si>
    <t>Change In Inventories</t>
  </si>
  <si>
    <t>Change in Acc. Payable</t>
  </si>
  <si>
    <t>Change in Inc. Taxes</t>
  </si>
  <si>
    <t>Change in Other Net Operating Assets</t>
  </si>
  <si>
    <t xml:space="preserve">  Cash from Ops.</t>
  </si>
  <si>
    <t>Capital Expenditure</t>
  </si>
  <si>
    <t>Cash Acquisitions</t>
  </si>
  <si>
    <t>Divestitures</t>
  </si>
  <si>
    <t>Invest. in Marketable &amp; Equity Securt.</t>
  </si>
  <si>
    <t>Net (Inc.) Dec. in Loans Originated/Sold</t>
  </si>
  <si>
    <t>Other Investing Activities</t>
  </si>
  <si>
    <t xml:space="preserve">  Cash from Investing</t>
  </si>
  <si>
    <t>Short Term Debt Issued</t>
  </si>
  <si>
    <t>Long-Term Debt Issued</t>
  </si>
  <si>
    <t>Total Debt Issued</t>
  </si>
  <si>
    <t>Short Term Debt Repaid</t>
  </si>
  <si>
    <t>Long-Term Debt Repaid</t>
  </si>
  <si>
    <t>Total Debt Repaid</t>
  </si>
  <si>
    <t>Issuance of Common Stock</t>
  </si>
  <si>
    <t>Repurchase of Common Stock</t>
  </si>
  <si>
    <t>Common Dividends Paid</t>
  </si>
  <si>
    <t>Total Dividends Paid</t>
  </si>
  <si>
    <t>Special Dividend Paid</t>
  </si>
  <si>
    <t>Other Financing Activities</t>
  </si>
  <si>
    <t xml:space="preserve">  Cash from Financing</t>
  </si>
  <si>
    <t>Foreign Exchange Rate Adj.</t>
  </si>
  <si>
    <t xml:space="preserve">  Net Change in Cash</t>
  </si>
  <si>
    <t>Cash Interest Paid</t>
  </si>
  <si>
    <t>Cash Taxes Paid</t>
  </si>
  <si>
    <t>Levered Free Cash Flow</t>
  </si>
  <si>
    <t>Unlevered Free Cash Flow</t>
  </si>
  <si>
    <t>Change in Net Working Capital</t>
  </si>
  <si>
    <t>Net Debt Issued</t>
  </si>
  <si>
    <t>Best Buy Co., Inc. (NYSE:BBY) &gt; Financials &gt; Historical Capitalization</t>
  </si>
  <si>
    <t>In Millions of the trading currency, except per share items.</t>
  </si>
  <si>
    <t>Frequency:</t>
  </si>
  <si>
    <t>Quarterly</t>
  </si>
  <si>
    <t>Trading Currency</t>
  </si>
  <si>
    <t>Dilution:</t>
  </si>
  <si>
    <t>Basic</t>
  </si>
  <si>
    <t>Historical Capitalization</t>
  </si>
  <si>
    <t>Pricing as of*</t>
  </si>
  <si>
    <t>Capitalization Detail</t>
  </si>
  <si>
    <t>Share Price</t>
  </si>
  <si>
    <t>Shares Out.</t>
  </si>
  <si>
    <t>Market Capitalization</t>
  </si>
  <si>
    <t>- Cash &amp; Short Term Investments</t>
  </si>
  <si>
    <t>+ Total Debt</t>
  </si>
  <si>
    <t>+ Pref. Equity</t>
  </si>
  <si>
    <t>+ Total Minority Interest</t>
  </si>
  <si>
    <t>- Long Term Marketable Securities</t>
  </si>
  <si>
    <t>= Total Enterprise Value (TEV)</t>
  </si>
  <si>
    <t>Book Value of Common Equity</t>
  </si>
  <si>
    <t>= Total Capital</t>
  </si>
  <si>
    <t>* Pricing as of the filing date of the balance sheet period end date. For TEV calculation purposes on this page Capital IQ only uses balance sheet components from the original filing that is publicly available as of a given pricing date and does not use restated balance sheet data from a later filing. In the cases where a company did not disclose balance sheet values for a particular period, TEV is calculated using balance sheet components from the last reported balance sheet as of this date. The table above is organized along period end dates.</t>
  </si>
  <si>
    <t>** For companies that have multiple share classes that publicly trade, we are incorporating the different prices to calculate our company level market capitalization.  Please click on the value to see the detailed calculation. Prices shown on this page are the close price of the company’s primary stock class. Shares shown on this page are total company as-reported share values.</t>
  </si>
  <si>
    <t>Historical Equity Pricing Data supplied by Interactive Data Pricing and Reference Data LLC</t>
  </si>
  <si>
    <t>Best Buy Co., Inc. (NYSE:BBY) &gt; Financials &gt; Multiples</t>
  </si>
  <si>
    <t>View:</t>
  </si>
  <si>
    <t>Data</t>
  </si>
  <si>
    <t>Multiples Detail
                     In Millions of the reported currency, except per share items.</t>
  </si>
  <si>
    <t>For Quarter Ending</t>
  </si>
  <si>
    <t>TEV/LTM Total Revenue</t>
  </si>
  <si>
    <t>Average</t>
  </si>
  <si>
    <t>High</t>
  </si>
  <si>
    <t>Low</t>
  </si>
  <si>
    <t>Close</t>
  </si>
  <si>
    <t>TEV/NTM Total Revenues</t>
  </si>
  <si>
    <t>TEV/LTM EBITDA</t>
  </si>
  <si>
    <t>TEV/NTM EBITDA</t>
  </si>
  <si>
    <t>TEV/LTM EBIT</t>
  </si>
  <si>
    <t>TEV/NTM EBIT</t>
  </si>
  <si>
    <t>P/LTM EPS</t>
  </si>
  <si>
    <t>P/NTM EPS</t>
  </si>
  <si>
    <t>P/LTM Normalized EPS</t>
  </si>
  <si>
    <t>P/BV</t>
  </si>
  <si>
    <t>P/Tangible BV</t>
  </si>
  <si>
    <t>P/NTM CFPS</t>
  </si>
  <si>
    <t>TEV/LTM Unlevered FCF</t>
  </si>
  <si>
    <t>Market Cap/LTM Levered FCF</t>
  </si>
  <si>
    <t>Average multiples are calculated using positive close values on each trading day within the frequency periods selected. Negative values are excluded from the calculation. When the Multiples are not meaningful, due to negative values, then they will not be displayed in the chart.</t>
  </si>
  <si>
    <t>When a mismatch exists between the currency of the equity listing and the reported financial results such results are translated into the currency of the listing at the exchange rate applicable on the financial period end date.</t>
  </si>
  <si>
    <t>Financial Model and Calculations</t>
  </si>
  <si>
    <t>Revenue forecast - using bottom up approach</t>
  </si>
  <si>
    <t>Bottom-up revenue: (Domestic * SSS growth * Store Count) + Online + Canada</t>
  </si>
  <si>
    <t xml:space="preserve">DOMESTIC REVENUE </t>
  </si>
  <si>
    <t>SSS Growth %</t>
  </si>
  <si>
    <t xml:space="preserve"> Projected Domestic Revenue</t>
  </si>
  <si>
    <t>INTERNATIONAL REVENUE</t>
  </si>
  <si>
    <t xml:space="preserve">  Canada Revenue</t>
  </si>
  <si>
    <t>Total Revenue (domestic and international)</t>
  </si>
  <si>
    <t>Difference in total bottom up to top down</t>
  </si>
  <si>
    <t>Segment breakdown:</t>
  </si>
  <si>
    <t>ONLINE REVENUE</t>
  </si>
  <si>
    <t xml:space="preserve">  Online Penetration Rate</t>
  </si>
  <si>
    <t xml:space="preserve">  Online Revenue</t>
  </si>
  <si>
    <t>SERVICES REVENUE</t>
  </si>
  <si>
    <t xml:space="preserve">  Services Revenue</t>
  </si>
  <si>
    <t>Base Case: Discounted Cash Flow Model</t>
  </si>
  <si>
    <t>Fiscal Year Ending January  |  $ in Millions  |  Blue = Hardcoded Input  |  Black = Formula</t>
  </si>
  <si>
    <t>WACC</t>
  </si>
  <si>
    <t>Terminal growth</t>
  </si>
  <si>
    <t>Free Cashflow Projection</t>
  </si>
  <si>
    <t>EBIT (Operating Income)</t>
  </si>
  <si>
    <t>Less: Taxes</t>
  </si>
  <si>
    <t>NOPAT</t>
  </si>
  <si>
    <t>(+) Depreciation &amp; Amortization</t>
  </si>
  <si>
    <t>(-) Capital Expenditures</t>
  </si>
  <si>
    <t>(-) Change in Working Capital</t>
  </si>
  <si>
    <t>Free Cash Flow to Firm (FCFF)</t>
  </si>
  <si>
    <t>PV of FCFF</t>
  </si>
  <si>
    <t xml:space="preserve">  Terminal Value  (Gordon Growth Model)</t>
  </si>
  <si>
    <t xml:space="preserve">Terminal Value </t>
  </si>
  <si>
    <t>PV of Terminal Value</t>
  </si>
  <si>
    <t xml:space="preserve">  Enterprise Value</t>
  </si>
  <si>
    <t>Sum of PV(FCFs)</t>
  </si>
  <si>
    <t xml:space="preserve">  Terminal Value as % of EV</t>
  </si>
  <si>
    <t>EV</t>
  </si>
  <si>
    <t>Less: Net Debt</t>
  </si>
  <si>
    <t>Equity Value</t>
  </si>
  <si>
    <t>Diluted Shares Outstanding (M)</t>
  </si>
  <si>
    <t>Implied Share Price (Per Share)</t>
  </si>
  <si>
    <t>Exit Multiple Method</t>
  </si>
  <si>
    <t>Exit Multiple</t>
  </si>
  <si>
    <t>FCFF GGM Sensitivity Analysis</t>
  </si>
  <si>
    <t>EM Sensitivity Analysis</t>
  </si>
  <si>
    <t>With current stock price 4/15/2026</t>
  </si>
  <si>
    <t xml:space="preserve">Even at a higher WACC and lower growth, we are looking at a $81-88 per share. Which is about 30% or higher growth in price. </t>
  </si>
  <si>
    <t xml:space="preserve">Revenue forecast - Bear Case </t>
  </si>
  <si>
    <t xml:space="preserve">Bear case if the AI PC doesnt go through </t>
  </si>
  <si>
    <t>Bear Case: Discounted Cash Flow Model</t>
  </si>
  <si>
    <t>if the AI PC updgrade doesnt go through , it directly impact revenue for 2027 and then slowly adjusts in later years. Here we showed this through a sharp decline in same store sales for 2027E and then a steady % growth for later years</t>
  </si>
  <si>
    <t>Operating Margin % Bear Case</t>
  </si>
  <si>
    <t>direct impact of store traffic decline due to e-commerce, high cogs due to products being shipped in from other countries (tarrifs)  ~ -2% from the base case</t>
  </si>
  <si>
    <t>Enterprise Value</t>
  </si>
  <si>
    <t>Sensitivity Analysis: Projecting different wacc and growth rate to see the impact on share price</t>
  </si>
  <si>
    <t xml:space="preserve">Decline in share price as % of original, given different WACC and Growth </t>
  </si>
  <si>
    <t>52 week low range:</t>
  </si>
  <si>
    <t>the bear case presents a stock price lower than a 52 week low</t>
  </si>
  <si>
    <t>Base Stock Price as of 4/15/2026</t>
  </si>
  <si>
    <t>the bear case presents a stock price with 13% downside risk</t>
  </si>
  <si>
    <t>FCFE Valuation Model</t>
  </si>
  <si>
    <t>Best Buy Debt</t>
  </si>
  <si>
    <t>Amount</t>
  </si>
  <si>
    <t>Weight</t>
  </si>
  <si>
    <t>Rate</t>
  </si>
  <si>
    <t>2028 Notes</t>
  </si>
  <si>
    <t>2030 Notes</t>
  </si>
  <si>
    <t>Weighted Average Rate</t>
  </si>
  <si>
    <t>Cost of Equity</t>
  </si>
  <si>
    <t>FCFE valuation</t>
  </si>
  <si>
    <t>FCFF</t>
  </si>
  <si>
    <t>Interest tax sheild</t>
  </si>
  <si>
    <t>FCFE</t>
  </si>
  <si>
    <t>PV factor</t>
  </si>
  <si>
    <t>PV of FCFE</t>
  </si>
  <si>
    <t>Terminal Value</t>
  </si>
  <si>
    <t>Enterpirse Value</t>
  </si>
  <si>
    <t xml:space="preserve">Less debt </t>
  </si>
  <si>
    <t>Implied Share Price</t>
  </si>
  <si>
    <t>FCFE GGM Sensitivity Analysis to WACC and Growth Rate</t>
  </si>
  <si>
    <t>Comp Analysis - Best Buy</t>
  </si>
  <si>
    <t>Financials (LTM)</t>
  </si>
  <si>
    <t>Valuation</t>
  </si>
  <si>
    <t>Financials (NTM)</t>
  </si>
  <si>
    <t>Company</t>
  </si>
  <si>
    <t>Ticker</t>
  </si>
  <si>
    <t>Share 
Price</t>
  </si>
  <si>
    <t>Shares Outstanding</t>
  </si>
  <si>
    <t>Enterprise 
Value</t>
  </si>
  <si>
    <t>EV/Revenue</t>
  </si>
  <si>
    <t>EV/EBITDA</t>
  </si>
  <si>
    <t>P/E</t>
  </si>
  <si>
    <t>Best Buy</t>
  </si>
  <si>
    <t>BBY</t>
  </si>
  <si>
    <t>Target</t>
  </si>
  <si>
    <t>TGT</t>
  </si>
  <si>
    <t>Currys</t>
  </si>
  <si>
    <t>CURY</t>
  </si>
  <si>
    <t>75th Percentile</t>
  </si>
  <si>
    <t>Median</t>
  </si>
  <si>
    <t>25th Percentile</t>
  </si>
  <si>
    <t>Best Buy Valuation</t>
  </si>
  <si>
    <t>Implied Enterprise Value</t>
  </si>
  <si>
    <t>Implied Market Value</t>
  </si>
  <si>
    <t>Implied Value Per Share</t>
  </si>
  <si>
    <t>Average Implied Price</t>
  </si>
  <si>
    <t>Justification for comps used:</t>
  </si>
  <si>
    <t xml:space="preserve">Our comp universe contains two companies because the selection criteria are strict and the universe is genuinely small. We required four conditions simultaneously: omnichannel retail as the primary revenue driver, a services or media layer creating margin structure above pure hardware, publicly traded with audited financials sufficient to extract clean EV/EBITDA, and a market cap between $1B and $300B. Two companies survive that screen globally: Target and Currys. The most frequently cited electronics retail competitors: Micro Center and B&amp;H Photo Video, are both privately held and file no public financials. There is no audited GAAP income statement, no disclosed EBITDA, and no traded market multiple to extract. Including them in a public comps table would require fabricating inputs, which is not analysis. They are operationally relevant competitors but analytically unusable as valuation benchmarks. Walmart and Costco are excluded on analytical grounds, not convenience. Both trade at 22-30x EV/EBITDA precisely because their advertising and membership businesses are fully disclosed, separately quantified in earnings calls, and explicitly cited by sell-side analysts as the justification for premium multiples. Using them as consolidated EV/EBITDA comps for BBY would be circular, we would be benchmarking a company whose media business is invisible in its income statement against companies whose re-rating has already fully occurred. Walmart Connect and Target Roundel appear in our SOTP section, where they belong: as margin benchmarks and multiple anchors for valuing BBY Ads as a standalone business. That is a more rigorous use of those data points than folding them into a consolidated comp average that would obscure exactly the gap we are trying to quantify.					</t>
  </si>
  <si>
    <t>Metrics</t>
  </si>
  <si>
    <t>Difference</t>
  </si>
  <si>
    <t>Public Comparables- P/E (NTM)</t>
  </si>
  <si>
    <t>NTM EPS $6.49 (FY2027E - Comp Analysis sheet) × peer P/E range</t>
  </si>
  <si>
    <t>Public Comparables- EV/EBITDA (NTM)</t>
  </si>
  <si>
    <t>NTM EBITDA ~$2,600M (FY2027E from DCF model) × peer range. TGT NTM EV/EBITDA 6.59× → high $76. Bear uses 4.5× = $50</t>
  </si>
  <si>
    <t>FCFF DCF (Base Case)</t>
  </si>
  <si>
    <t>Directly from DCF - Base Model sheet sensitivity table. Low = WACC 11.5% + TGR 1.0% ≈ $81. High = WACC 9.5% + TGR 3.0% ≈ $123. Base case = $97.30 (WACC 10.49%, TGR 2.0%)</t>
  </si>
  <si>
    <t>Analyst Targets</t>
  </si>
  <si>
    <t>FactSet: Estimates from Guggenheim Securities</t>
  </si>
  <si>
    <t>52-week High-Low</t>
  </si>
  <si>
    <t>Historicals Sheet</t>
  </si>
  <si>
    <t>Valuation Football Field</t>
  </si>
  <si>
    <t>L</t>
  </si>
  <si>
    <t>H</t>
  </si>
  <si>
    <t>FCFF GGM</t>
  </si>
  <si>
    <t>FCFE GGM</t>
  </si>
  <si>
    <t>EV/NTM EBITDA</t>
  </si>
  <si>
    <t>NTM PE</t>
  </si>
  <si>
    <t xml:space="preserve">Analyst Targets </t>
  </si>
  <si>
    <t>52 WK Hi/Lo</t>
  </si>
  <si>
    <t>Stock Price Prediction based on valuation methods</t>
  </si>
  <si>
    <t>Analysis Method Used</t>
  </si>
  <si>
    <t>Share Price Target</t>
  </si>
  <si>
    <t xml:space="preserve">Weight </t>
  </si>
  <si>
    <t>Contribution</t>
  </si>
  <si>
    <t>Comparables: (P/E)</t>
  </si>
  <si>
    <t>Blended Implied Share Price</t>
  </si>
  <si>
    <t>Upside %</t>
  </si>
  <si>
    <t>Sensitivity Analysis with DCF percent allocation in columns and Comparables in rows</t>
  </si>
  <si>
    <t>Best Buy Co., Inc. Per-Store Unit Economics</t>
  </si>
  <si>
    <t>Domestic Operations  |  $ in Millions unless noted  |  FY2021A - FY2031E</t>
  </si>
  <si>
    <t>Blue = Input  |  Black = Formula  |  Green = Cross-sheet link</t>
  </si>
  <si>
    <t>I.  Domestic Store Count Build</t>
  </si>
  <si>
    <t>FY2021A</t>
  </si>
  <si>
    <t>FY2022A</t>
  </si>
  <si>
    <t>FY2023A</t>
  </si>
  <si>
    <t>FY2024A</t>
  </si>
  <si>
    <t>FY2025A</t>
  </si>
  <si>
    <t>FY2026A</t>
  </si>
  <si>
    <t>FY2027E</t>
  </si>
  <si>
    <t>FY2028E</t>
  </si>
  <si>
    <t>FY2029E</t>
  </si>
  <si>
    <t>FY2030E</t>
  </si>
  <si>
    <t>FY2031E</t>
  </si>
  <si>
    <t>II.  Revenue per Store  ($M)</t>
  </si>
  <si>
    <t>Domestic Total Revenue ($M)</t>
  </si>
  <si>
    <t>Domestic Revenue per Avg. Store ($M)</t>
  </si>
  <si>
    <t>$M</t>
  </si>
  <si>
    <t xml:space="preserve">  YoY Growth</t>
  </si>
  <si>
    <t>III.  Profitability per Store  ($M unless noted)</t>
  </si>
  <si>
    <t>Operating Margin (%)</t>
  </si>
  <si>
    <t>Operating Income ($M) — Total</t>
  </si>
  <si>
    <t>EBIT per Store ($M)</t>
  </si>
  <si>
    <t>D&amp;A per Store ($M, est.)</t>
  </si>
  <si>
    <t>EBITDA per Store ($M)</t>
  </si>
  <si>
    <t>IV.  CapEx &amp; New Store Payback</t>
  </si>
  <si>
    <t>Total CapEx ($M)</t>
  </si>
  <si>
    <t>Maintenance CapEx (~65% of total, est.)</t>
  </si>
  <si>
    <t>Growth / New-Store CapEx (~35% of total)</t>
  </si>
  <si>
    <t>Total CapEx per Avg. Store ($M)</t>
  </si>
  <si>
    <t>New Store Initial Investment ($M, est.)</t>
  </si>
  <si>
    <t>New Store Year-1 Revenue ($M, est.)</t>
  </si>
  <si>
    <t>New Store 4-Wall EBITDA Margin (est. 8%)</t>
  </si>
  <si>
    <t>New Store Year-1 EBITDA ($M)</t>
  </si>
  <si>
    <t>New Store Cash-on-Cash Payback (years)</t>
  </si>
  <si>
    <t>V.  Free Cash Flow per Store  ($M)</t>
  </si>
  <si>
    <t>(-) Maintenance CapEx per Store ($M)</t>
  </si>
  <si>
    <t>(-) Taxes @ 24%</t>
  </si>
  <si>
    <t>Store-Level FCF per Store ($M)</t>
  </si>
  <si>
    <t>Store-Level ROIC (FCF / Inv. per Store)</t>
  </si>
  <si>
    <t>Sources: Best Buy Q4 FY2026 10-K (Mar 3, 2026); Assumptions sheet. Maintenance CapEx estimated at 65% of total. New store investment ~$1.5M based on mgmt commentary. 4-wall EBITDA margin 8% per FY2026 earnings call context.</t>
  </si>
  <si>
    <t>Income Statement Proforma</t>
  </si>
  <si>
    <t>Notes:</t>
  </si>
  <si>
    <t>REVENUE</t>
  </si>
  <si>
    <t>Total Revenue ($mm)</t>
  </si>
  <si>
    <t>from revenue build</t>
  </si>
  <si>
    <t>COST OF GOODS SOLD &amp; GROSS PROFIT</t>
  </si>
  <si>
    <t>Gross Margin expansion: From 22.48% (FY26A) to 23.50% (FY31E). Driven by Services/Ads revenue mix shift.</t>
  </si>
  <si>
    <t xml:space="preserve">  Gross Margin % (assumption)</t>
  </si>
  <si>
    <t>Calculated from Historical IS sheet: Gross Profit ÷ Revenue. E.g. FY2026A: $9,373M ÷ $41,691M = 22.48%, From 27 and on EBIT margin ramp (4.3% → 5.3% from DCF) by holding SG&amp;A roughly flat and letting GP margin absorb the expansion.</t>
  </si>
  <si>
    <t xml:space="preserve">  Ads ($900M, 70-75% op margin) recorded as COGS offset in reported P&amp;L — expansion understates true margin improvement.</t>
  </si>
  <si>
    <t xml:space="preserve">  Cost of Goods Sold</t>
  </si>
  <si>
    <t xml:space="preserve">Until 2026 </t>
  </si>
  <si>
    <t>Gross Profit</t>
  </si>
  <si>
    <t xml:space="preserve">  Gross Margin %</t>
  </si>
  <si>
    <t>OPERATING EXPENSES (SG&amp;A)</t>
  </si>
  <si>
    <t xml:space="preserve">  SG&amp;A % Revenue (assumption)</t>
  </si>
  <si>
    <t>Based on common size averages, the SG&amp;A% comes from GM%-EBIT%FY22-26, Flat after 2027</t>
  </si>
  <si>
    <t>inline with sales</t>
  </si>
  <si>
    <t xml:space="preserve">SG&amp;A CAGR </t>
  </si>
  <si>
    <t xml:space="preserve">  Selling, General &amp; Administrative</t>
  </si>
  <si>
    <t>EBIT (OPERATING INCOME)</t>
  </si>
  <si>
    <t xml:space="preserve">  EBIT Margin %</t>
  </si>
  <si>
    <t>EBIT (FY27E–FY31E): Pulled directly from DCF Base Case model [Green = cross-sheet link]. WACC 10.49%, TGR 2.0%.</t>
  </si>
  <si>
    <t>D&amp;A AND EBITDA</t>
  </si>
  <si>
    <t xml:space="preserve">  Depreciation &amp; Amortization</t>
  </si>
  <si>
    <t xml:space="preserve">  EBITDA Margin %</t>
  </si>
  <si>
    <t>BELOW-THE-LINE ITEMS</t>
  </si>
  <si>
    <t xml:space="preserve">  Interest Expense</t>
  </si>
  <si>
    <t>Source: WACC sheet – weighted avg rate 3.06% × $1,130M debt = ~$35M forward</t>
  </si>
  <si>
    <t>Interest Expense forward: $35M/yr from WACC sheet (3.06% wtd avg rate × $1,130M debt [2028 Notes $500M + 2030 Notes $630M]).</t>
  </si>
  <si>
    <t xml:space="preserve">  Interest &amp; Investment Income</t>
  </si>
  <si>
    <t>Source: Historical actuals; forward assumes declining as cash deployed</t>
  </si>
  <si>
    <t xml:space="preserve">  Net Interest Income / (Expense)</t>
  </si>
  <si>
    <t xml:space="preserve">  Restructuring &amp; Other (one-time)</t>
  </si>
  <si>
    <t>Note: FY25A=-$386M; FY26A=-$386M approx bridge. Forward=0 (non-recurring)</t>
  </si>
  <si>
    <t>Restructuring charges: $0 forward. FY2025A/FY2026A included ~$382M restructuring. Non-recurring; excluded from forward EPS.</t>
  </si>
  <si>
    <t>PRE-TAX INCOME</t>
  </si>
  <si>
    <t>Earnings Before Tax (EBT)</t>
  </si>
  <si>
    <t xml:space="preserve">  Effective Tax Rate (assumption)</t>
  </si>
  <si>
    <t>Tax Rate: 24% flat (consistent with BBY adj. effective rate per FY26 10-K and model assumptions sheet).</t>
  </si>
  <si>
    <t xml:space="preserve">  Income Tax Expense</t>
  </si>
  <si>
    <t>NET INCOME &amp; EPS</t>
  </si>
  <si>
    <t>NET INCOME</t>
  </si>
  <si>
    <t xml:space="preserve">  Net Margin %</t>
  </si>
  <si>
    <t xml:space="preserve">  Diluted Shares Outstanding (mm)</t>
  </si>
  <si>
    <t>Source: BBY 10-K FY26 – 209.1M diluted; forward assumes ~210M with minor buybacks</t>
  </si>
  <si>
    <t xml:space="preserve">  This is the PRIMARY reason our FY2027E EPS ($6.57) is ~1.2% above Street consensus ($6.49).</t>
  </si>
  <si>
    <t>EPS (Diluted, GAAP)</t>
  </si>
  <si>
    <t xml:space="preserve">  Street Consensus EPS (GAAP)</t>
  </si>
  <si>
    <t>Source: Comp Analysis sheet – NTM EPS $6.49 (FY27E)</t>
  </si>
  <si>
    <t xml:space="preserve">  Premium/(Discount) to Consensus</t>
  </si>
  <si>
    <t>Using blemded for first 2 yrs then the DCF</t>
  </si>
  <si>
    <t>Hardware retail trades at 5-7x EBITDA. Retail media trades at 15-20x EBITDA. Blending those two on $700M of Ads EBITDA at 15x adds roughly $10.5B to the implied enterprise value versus applying 5-7x to the whole thing.</t>
  </si>
  <si>
    <t>Forward looking estimates as CAGR</t>
  </si>
  <si>
    <t>3-y CAGR</t>
  </si>
  <si>
    <t>5-y CAGR</t>
  </si>
  <si>
    <t>Sales ($mm)</t>
  </si>
  <si>
    <t>EPS</t>
  </si>
  <si>
    <t>this is diluted eps</t>
  </si>
  <si>
    <t>EPS and P/E forcaste: numbers below are copied from DCF Base Model</t>
  </si>
  <si>
    <t xml:space="preserve">same store </t>
  </si>
  <si>
    <t>Interest</t>
  </si>
  <si>
    <t>less: after tax interest expense</t>
  </si>
  <si>
    <t>below consensus in 2027 and above in 2028</t>
  </si>
  <si>
    <t>Price per share</t>
  </si>
  <si>
    <t>Price</t>
  </si>
  <si>
    <t>WACC Calculation</t>
  </si>
  <si>
    <t xml:space="preserve">  I.  Market Inputs</t>
  </si>
  <si>
    <t>Risk-free rate (Rf)</t>
  </si>
  <si>
    <t>10Y US Treasury yield, April 14 2026</t>
  </si>
  <si>
    <t>Equity risk premium (ERP)</t>
  </si>
  <si>
    <t>Damodaran US ERP, base case</t>
  </si>
  <si>
    <t>5-year monthly beta (raw)</t>
  </si>
  <si>
    <t>Yahoo Finance / CNBC, April 2026</t>
  </si>
  <si>
    <t>Pre-tax cost of debt (Kd)</t>
  </si>
  <si>
    <t>BBY FY2026 10-K</t>
  </si>
  <si>
    <t>Effective tax rate (t)</t>
  </si>
  <si>
    <t>BBY FY2026 10-K, adj. effective rate</t>
  </si>
  <si>
    <t>After-tax cost of debt</t>
  </si>
  <si>
    <t>Kd × (1 − t)</t>
  </si>
  <si>
    <t xml:space="preserve">  II.  Capital Structure (Market Value Weights)</t>
  </si>
  <si>
    <t>Amount ($M)</t>
  </si>
  <si>
    <t>Source / Note</t>
  </si>
  <si>
    <t>Equity (market cap)</t>
  </si>
  <si>
    <t>~$62/share × 210M diluted shares outstanding</t>
  </si>
  <si>
    <t>Financial debt (gross)</t>
  </si>
  <si>
    <t>FY2026 10-K, Note 7 — long-term debt</t>
  </si>
  <si>
    <t>Total capital (E + D)</t>
  </si>
  <si>
    <t xml:space="preserve">  Weight of equity (E/V)</t>
  </si>
  <si>
    <t xml:space="preserve">  Weight of debt (D/V)</t>
  </si>
  <si>
    <t xml:space="preserve">  IV.  WACC</t>
  </si>
  <si>
    <t>Cost Equity</t>
  </si>
  <si>
    <t>Equity contribution</t>
  </si>
  <si>
    <t>Debt contribution</t>
  </si>
  <si>
    <t>Appendix</t>
  </si>
  <si>
    <t>T1 | Segment Revenue ($M) | FY2022A–FY2031E</t>
  </si>
  <si>
    <t>Computing &amp; Mobile</t>
  </si>
  <si>
    <t>T2 | Operating Margin % | FY2021A–FY2031E</t>
  </si>
  <si>
    <t>BBY Base</t>
  </si>
  <si>
    <t>Bear Case</t>
  </si>
  <si>
    <t>T3 | Segment Mix % | FY2022A / FY2026A / FY2031E</t>
  </si>
  <si>
    <t>T4 | SOTP Value Bridge ($)</t>
  </si>
  <si>
    <t>Bridge Step</t>
  </si>
  <si>
    <t>Invis. Base</t>
  </si>
  <si>
    <t>Anchor (Navy)</t>
  </si>
  <si>
    <t>Uplift (Green)</t>
  </si>
  <si>
    <t>Current Market Price</t>
  </si>
  <si>
    <t>BBY Ads Platform (+$11.9)</t>
  </si>
  <si>
    <t>Services / Totaltech (+$6.5)</t>
  </si>
  <si>
    <t>Op. Leverage &amp; Margin Exp.</t>
  </si>
  <si>
    <t>DCF Base Target</t>
  </si>
  <si>
    <t>T5 | DCF GGM Sensitivity | Implied Share Price</t>
  </si>
  <si>
    <t>T6 | Normalized EPS | Base vs. Bear | FY2021A–FY2031E</t>
  </si>
  <si>
    <t>Base Case EPS</t>
  </si>
  <si>
    <t>Bear Case EPS</t>
  </si>
  <si>
    <t>T7 | Domestic SSS % &amp; Rev per Store ($M) | FY2021A–FY2031E</t>
  </si>
  <si>
    <t>Domestic SSS %</t>
  </si>
  <si>
    <t>Dom. Rev/Store ($M)</t>
  </si>
  <si>
    <t>T8 | Football Field Valuation</t>
  </si>
  <si>
    <t>Methodology</t>
  </si>
  <si>
    <t>Low ($)</t>
  </si>
  <si>
    <t>Range ($)</t>
  </si>
  <si>
    <t>P/E Comps (NTM)</t>
  </si>
  <si>
    <t>EV/EBITDA Comps (NTM)</t>
  </si>
  <si>
    <t>Analyst Price Targets</t>
  </si>
  <si>
    <t>52-Week Hi-Lo Range</t>
  </si>
  <si>
    <t>Chart 5 | DCF GGM Sensitivity — Implied Share Price ($)</t>
  </si>
  <si>
    <t>Base case: WACC 10.5% | TGR 2.0% | Current Price: $63.39</t>
  </si>
  <si>
    <t>TGR \ WACC</t>
  </si>
  <si>
    <t>9.5%</t>
  </si>
  <si>
    <t>10.0%</t>
  </si>
  <si>
    <t>10.5%</t>
  </si>
  <si>
    <t>11.0%</t>
  </si>
  <si>
    <t>11.5%</t>
  </si>
  <si>
    <t>1.0%</t>
  </si>
  <si>
    <t>1.5%</t>
  </si>
  <si>
    <t>2.0%</t>
  </si>
  <si>
    <t>2.5%</t>
  </si>
  <si>
    <t>3.0%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</si>
</sst>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2">
    <numFmt numFmtId="6" formatCode="&quot;$&quot;#,##0_);[Red]\(&quot;$&quot;#,##0\)"/>
    <numFmt numFmtId="8" formatCode="&quot;$&quot;#,##0.00_);[Red]\(&quot;$&quot;#,##0.00\)"/>
    <numFmt numFmtId="44" formatCode="_(&quot;$&quot;* #,##0.00_);_(&quot;$&quot;* \(#,##0.00\);_(&quot;$&quot;* &quot;-&quot;??_);_(@_)"/>
    <numFmt numFmtId="43" formatCode="_(* #,##0.00_);_(* \(#,##0.00\);_(* &quot;-&quot;??_);_(@_)"/>
    <numFmt numFmtId="164" formatCode="#,##0.0"/>
    <numFmt numFmtId="165" formatCode="0.0%"/>
    <numFmt numFmtId="166" formatCode="_(&quot;$&quot;* #,##0_);_(&quot;$&quot;* \(#,##0\);_(&quot;$&quot;* &quot;-&quot;??_);_(@_)"/>
    <numFmt numFmtId="167" formatCode="_(* #,##0.0_);_(* \(#,##0.0\)_)\ ;_(* 0_)"/>
    <numFmt numFmtId="168" formatCode="_(&quot;$&quot;#,##0.0#_);_(\(&quot;$&quot;#,##0.0#\)_);_(&quot;$&quot;&quot; - &quot;_)"/>
    <numFmt numFmtId="169" formatCode="_(* #,##0.0#_);_(* \(#,##0.0#\)_)\ ;_(* 0_)"/>
    <numFmt numFmtId="170" formatCode="_(#,##0.0%_);_(\(#,##0.0%\)_);_(#,##0.0%_)"/>
    <numFmt numFmtId="171" formatCode="_(* #,##0.0##_);_(* \(#,##0.0##\)_)\ ;_(* 0_)"/>
    <numFmt numFmtId="172" formatCode="mmm\-dd\-yyyy"/>
    <numFmt numFmtId="173" formatCode="_(* #,##0_);_(* \(#,##0\)_)\ ;_(* 0_)"/>
    <numFmt numFmtId="174" formatCode="#,##0.00\x"/>
    <numFmt numFmtId="175" formatCode="_-* #,##0.00_-;\-* #,##0.00_-;_-* &quot;-&quot;??_-;_-@"/>
    <numFmt numFmtId="176" formatCode="_-* #,##0_-;\-* #,##0_-;_-* &quot;-&quot;??_-;_-@"/>
    <numFmt numFmtId="177" formatCode="#,##0.0\x"/>
    <numFmt numFmtId="178" formatCode="_-* #,##0.00\ _€_-;\-* #,##0.00\ _€_-;_-* &quot;-&quot;??\ _€_-;_-@"/>
    <numFmt numFmtId="179" formatCode="_([$$-409]* #,##0.00_);_([$$-409]* \(#,##0.00\);_([$$-409]* &quot;-&quot;??_);_(@_)"/>
    <numFmt numFmtId="180" formatCode="#.00&quot;x&quot;"/>
    <numFmt numFmtId="181" formatCode="\$#,##0.00"/>
    <numFmt numFmtId="182" formatCode="#,##0;\(#,##0\);\-"/>
    <numFmt numFmtId="183" formatCode="\$#,##0;&quot;($&quot;#,##0\);\-"/>
    <numFmt numFmtId="184" formatCode="\$#,##0.0"/>
    <numFmt numFmtId="185" formatCode="0.0%;\(0.0%\);\-"/>
    <numFmt numFmtId="186" formatCode="\$#,##0.000"/>
    <numFmt numFmtId="187" formatCode="0.0\y"/>
    <numFmt numFmtId="188" formatCode="0.00%;\(0.00%\);\-"/>
    <numFmt numFmtId="189" formatCode="#,##0.0;\(#,##0.0\);\-"/>
    <numFmt numFmtId="190" formatCode="\$0.00"/>
    <numFmt numFmtId="191" formatCode="0.000"/>
  </numFmts>
  <fonts count="149">
    <font>
      <sz val="10"/>
      <color theme="1"/>
      <name val="Arial"/>
      <family val="2"/>
      <charset val="1"/>
    </font>
    <font>
      <sz val="12"/>
      <color theme="1"/>
      <name val="Calibri"/>
      <family val="2"/>
      <scheme val="minor"/>
    </font>
    <font>
      <sz val="11"/>
      <color theme="1"/>
      <name val="Calibri"/>
      <family val="2"/>
      <scheme val="minor"/>
    </font>
    <font>
      <sz val="10"/>
      <name val="Arial"/>
      <family val="2"/>
    </font>
    <font>
      <sz val="10"/>
      <color rgb="FF000000"/>
      <name val="Arial"/>
      <family val="2"/>
      <charset val="1"/>
    </font>
    <font>
      <b/>
      <sz val="8"/>
      <color rgb="FF000000"/>
      <name val="Verdana"/>
      <family val="2"/>
      <charset val="1"/>
    </font>
    <font>
      <b/>
      <u/>
      <sz val="8"/>
      <color rgb="FF000000"/>
      <name val="Arial"/>
      <family val="2"/>
      <charset val="1"/>
    </font>
    <font>
      <sz val="1"/>
      <color rgb="FFFFFFFF"/>
      <name val="Symbol"/>
      <family val="1"/>
      <charset val="2"/>
    </font>
    <font>
      <b/>
      <u/>
      <sz val="8"/>
      <color rgb="FF000000"/>
      <name val="Verdana"/>
      <family val="2"/>
      <charset val="1"/>
    </font>
    <font>
      <b/>
      <sz val="10"/>
      <color rgb="FFFFFFFF"/>
      <name val="Arial"/>
      <family val="2"/>
      <charset val="1"/>
    </font>
    <font>
      <b/>
      <sz val="12"/>
      <color rgb="FF000000"/>
      <name val="Verdana"/>
      <family val="2"/>
      <charset val="1"/>
    </font>
    <font>
      <sz val="10"/>
      <name val="Arial"/>
      <family val="2"/>
      <charset val="1"/>
    </font>
    <font>
      <b/>
      <sz val="8"/>
      <color rgb="FFFFFFFF"/>
      <name val="Verdana"/>
      <family val="2"/>
      <charset val="1"/>
    </font>
    <font>
      <sz val="8"/>
      <color rgb="FF000000"/>
      <name val="Arial"/>
      <family val="2"/>
      <charset val="1"/>
    </font>
    <font>
      <b/>
      <sz val="8"/>
      <color rgb="FF000000"/>
      <name val="Arial"/>
      <family val="2"/>
      <charset val="1"/>
    </font>
    <font>
      <i/>
      <sz val="8"/>
      <color rgb="FF000000"/>
      <name val="Arial"/>
      <family val="2"/>
      <charset val="1"/>
    </font>
    <font>
      <b/>
      <sz val="13"/>
      <color rgb="FF000000"/>
      <name val="Verdana"/>
      <family val="2"/>
      <charset val="1"/>
    </font>
    <font>
      <b/>
      <sz val="10"/>
      <color theme="1"/>
      <name val="Arial"/>
      <family val="2"/>
      <charset val="1"/>
    </font>
    <font>
      <b/>
      <sz val="10"/>
      <color rgb="FF003366"/>
      <name val="Arial"/>
      <family val="2"/>
      <charset val="1"/>
    </font>
    <font>
      <sz val="10"/>
      <color rgb="FF646464"/>
      <name val="Arial"/>
      <family val="2"/>
      <charset val="1"/>
    </font>
    <font>
      <sz val="10"/>
      <color rgb="FFFF0000"/>
      <name val="Arial"/>
      <family val="2"/>
      <charset val="1"/>
    </font>
    <font>
      <sz val="10"/>
      <color theme="1"/>
      <name val="Arial"/>
      <family val="2"/>
    </font>
    <font>
      <b/>
      <sz val="10"/>
      <color theme="1"/>
      <name val="Arial"/>
      <family val="2"/>
    </font>
    <font>
      <sz val="10"/>
      <color rgb="FF0000FF"/>
      <name val="Arial"/>
      <family val="2"/>
    </font>
    <font>
      <sz val="10"/>
      <color rgb="FF000000"/>
      <name val="Arial"/>
      <family val="2"/>
    </font>
    <font>
      <b/>
      <sz val="10"/>
      <name val="Arial"/>
      <family val="2"/>
    </font>
    <font>
      <b/>
      <sz val="10"/>
      <color rgb="FF000000"/>
      <name val="Arial"/>
      <family val="2"/>
    </font>
    <font>
      <sz val="10"/>
      <color theme="1"/>
      <name val="Arial"/>
      <family val="2"/>
      <charset val="1"/>
    </font>
    <font>
      <i/>
      <sz val="10"/>
      <color theme="1"/>
      <name val="Arial"/>
      <family val="2"/>
    </font>
    <font>
      <i/>
      <sz val="8"/>
      <color theme="1"/>
      <name val="Arial"/>
      <family val="2"/>
    </font>
    <font>
      <b/>
      <sz val="10"/>
      <color rgb="FF003366"/>
      <name val="Arial"/>
      <family val="2"/>
    </font>
    <font>
      <i/>
      <sz val="10"/>
      <color rgb="FF555555"/>
      <name val="Arial"/>
      <family val="2"/>
    </font>
    <font>
      <b/>
      <sz val="10"/>
      <color theme="0"/>
      <name val="Arial"/>
      <family val="2"/>
    </font>
    <font>
      <sz val="10"/>
      <color theme="0"/>
      <name val="Arial"/>
      <family val="2"/>
    </font>
    <font>
      <i/>
      <sz val="8"/>
      <color theme="0"/>
      <name val="Arial"/>
      <family val="2"/>
    </font>
    <font>
      <i/>
      <sz val="8"/>
      <color rgb="FF333333"/>
      <name val="Arial"/>
      <family val="2"/>
    </font>
    <font>
      <i/>
      <sz val="8"/>
      <color rgb="FF1155CC"/>
      <name val="Arial"/>
      <family val="2"/>
    </font>
    <font>
      <i/>
      <sz val="8"/>
      <color rgb="FF000000"/>
      <name val="Arial"/>
      <family val="2"/>
    </font>
    <font>
      <b/>
      <i/>
      <sz val="8"/>
      <color theme="1"/>
      <name val="Arial"/>
      <family val="2"/>
    </font>
    <font>
      <b/>
      <i/>
      <sz val="8"/>
      <name val="Arial"/>
      <family val="2"/>
    </font>
    <font>
      <i/>
      <sz val="8"/>
      <color rgb="FFFF0000"/>
      <name val="Arial"/>
      <family val="2"/>
    </font>
    <font>
      <b/>
      <sz val="12"/>
      <color indexed="8"/>
      <name val="Arial"/>
      <family val="2"/>
    </font>
    <font>
      <sz val="12"/>
      <name val="Arial"/>
      <family val="2"/>
    </font>
    <font>
      <i/>
      <sz val="12"/>
      <name val="Arial"/>
      <family val="2"/>
    </font>
    <font>
      <b/>
      <sz val="12"/>
      <name val="Arial"/>
      <family val="2"/>
    </font>
    <font>
      <sz val="12"/>
      <color indexed="8"/>
      <name val="Arial"/>
      <family val="2"/>
    </font>
    <font>
      <b/>
      <sz val="12"/>
      <color indexed="9"/>
      <name val="Arial"/>
      <family val="2"/>
    </font>
    <font>
      <sz val="1"/>
      <color indexed="9"/>
      <name val="Symbol"/>
      <family val="1"/>
      <charset val="2"/>
    </font>
    <font>
      <sz val="12"/>
      <color indexed="9"/>
      <name val="Arial"/>
      <family val="2"/>
    </font>
    <font>
      <b/>
      <sz val="12"/>
      <color theme="0"/>
      <name val="Arial"/>
      <family val="2"/>
    </font>
    <font>
      <b/>
      <i/>
      <sz val="12"/>
      <color theme="0"/>
      <name val="Arial"/>
      <family val="2"/>
    </font>
    <font>
      <b/>
      <u val="double"/>
      <sz val="12"/>
      <color indexed="8"/>
      <name val="Arial"/>
      <family val="2"/>
    </font>
    <font>
      <b/>
      <u/>
      <sz val="12"/>
      <color indexed="8"/>
      <name val="Arial"/>
      <family val="2"/>
    </font>
    <font>
      <b/>
      <sz val="12"/>
      <color indexed="8"/>
      <name val="Verdana"/>
      <family val="2"/>
    </font>
    <font>
      <b/>
      <sz val="12"/>
      <color indexed="9"/>
      <name val="Verdana"/>
      <family val="2"/>
    </font>
    <font>
      <b/>
      <sz val="12"/>
      <color theme="0"/>
      <name val="Verdana"/>
      <family val="2"/>
    </font>
    <font>
      <sz val="12"/>
      <color indexed="9"/>
      <name val="Symbol"/>
      <family val="1"/>
      <charset val="2"/>
    </font>
    <font>
      <b/>
      <u val="singleAccounting"/>
      <sz val="12"/>
      <color indexed="9"/>
      <name val="Verdana"/>
      <family val="2"/>
    </font>
    <font>
      <b/>
      <u val="singleAccounting"/>
      <sz val="12"/>
      <color theme="0"/>
      <name val="Arial"/>
      <family val="2"/>
    </font>
    <font>
      <i/>
      <sz val="9"/>
      <color rgb="FF595959"/>
      <name val="Arial"/>
      <family val="2"/>
    </font>
    <font>
      <sz val="11"/>
      <color rgb="FF000000"/>
      <name val="Calibri"/>
      <family val="2"/>
      <charset val="1"/>
    </font>
    <font>
      <b/>
      <sz val="10"/>
      <color rgb="FFFFFFFF"/>
      <name val="Arial"/>
      <family val="2"/>
    </font>
    <font>
      <b/>
      <sz val="10"/>
      <color rgb="FF0000FF"/>
      <name val="Arial"/>
      <family val="2"/>
    </font>
    <font>
      <i/>
      <sz val="8"/>
      <color rgb="FF595959"/>
      <name val="Arial"/>
      <family val="2"/>
    </font>
    <font>
      <i/>
      <sz val="10"/>
      <color rgb="FF595959"/>
      <name val="Arial"/>
      <family val="2"/>
    </font>
    <font>
      <b/>
      <sz val="12"/>
      <color rgb="FF000000"/>
      <name val="Arial"/>
      <family val="2"/>
    </font>
    <font>
      <b/>
      <sz val="11"/>
      <color rgb="FF000000"/>
      <name val="Arial"/>
      <family val="2"/>
    </font>
    <font>
      <sz val="11"/>
      <color theme="1"/>
      <name val="Calibri"/>
      <family val="2"/>
      <scheme val="minor"/>
    </font>
    <font>
      <i/>
      <sz val="8"/>
      <color theme="1"/>
      <name val="Arial"/>
      <family val="2"/>
      <charset val="1"/>
    </font>
    <font>
      <i/>
      <sz val="10"/>
      <color rgb="FF666666"/>
      <name val="Arial"/>
      <family val="2"/>
    </font>
    <font>
      <sz val="10"/>
      <color rgb="FF0000FF"/>
      <name val="Arial"/>
      <family val="2"/>
      <charset val="1"/>
    </font>
    <font>
      <i/>
      <sz val="10"/>
      <color rgb="FF555555"/>
      <name val="Arial"/>
      <family val="2"/>
      <charset val="1"/>
    </font>
    <font>
      <b/>
      <sz val="10"/>
      <name val="Arial"/>
      <family val="2"/>
      <charset val="1"/>
    </font>
    <font>
      <i/>
      <sz val="9"/>
      <color rgb="FF000000"/>
      <name val="Arial"/>
      <family val="2"/>
      <charset val="1"/>
    </font>
    <font>
      <sz val="9"/>
      <color rgb="FF595959"/>
      <name val="Arial"/>
      <family val="2"/>
    </font>
    <font>
      <b/>
      <sz val="9"/>
      <color rgb="FF595959"/>
      <name val="Arial"/>
      <family val="2"/>
    </font>
    <font>
      <b/>
      <sz val="12"/>
      <color theme="0"/>
      <name val="Calibri"/>
      <family val="2"/>
      <scheme val="minor"/>
    </font>
    <font>
      <u/>
      <sz val="10"/>
      <color theme="10"/>
      <name val="Arial"/>
      <family val="2"/>
      <charset val="1"/>
    </font>
    <font>
      <b/>
      <sz val="14"/>
      <color theme="0"/>
      <name val="Arial"/>
      <family val="2"/>
    </font>
    <font>
      <b/>
      <sz val="11"/>
      <color theme="0"/>
      <name val="Calibri"/>
      <family val="2"/>
      <scheme val="minor"/>
    </font>
    <font>
      <sz val="11"/>
      <color theme="0"/>
      <name val="Calibri"/>
      <family val="2"/>
      <scheme val="minor"/>
    </font>
    <font>
      <b/>
      <sz val="10"/>
      <color theme="1"/>
      <name val="Calibri"/>
      <family val="2"/>
      <scheme val="minor"/>
    </font>
    <font>
      <sz val="10"/>
      <color theme="1"/>
      <name val="Calibri"/>
      <family val="2"/>
      <scheme val="minor"/>
    </font>
    <font>
      <sz val="10"/>
      <name val="Calibri"/>
      <family val="2"/>
      <scheme val="minor"/>
    </font>
    <font>
      <sz val="10"/>
      <color rgb="FF0432FF"/>
      <name val="Calibri"/>
      <family val="2"/>
      <scheme val="minor"/>
    </font>
    <font>
      <sz val="10"/>
      <color rgb="FF0052F6"/>
      <name val="Calibri"/>
      <family val="2"/>
      <scheme val="minor"/>
    </font>
    <font>
      <b/>
      <sz val="10"/>
      <color rgb="FF0432FF"/>
      <name val="Calibri"/>
      <family val="2"/>
      <scheme val="minor"/>
    </font>
    <font>
      <sz val="10"/>
      <color theme="10"/>
      <name val="Arial"/>
      <family val="2"/>
      <charset val="1"/>
    </font>
    <font>
      <sz val="10"/>
      <color rgb="FF00B050"/>
      <name val="Calibri"/>
      <family val="2"/>
      <scheme val="minor"/>
    </font>
    <font>
      <i/>
      <sz val="8"/>
      <color rgb="FF595959"/>
      <name val="Calibri"/>
      <family val="2"/>
      <scheme val="minor"/>
    </font>
    <font>
      <b/>
      <sz val="14"/>
      <color theme="0"/>
      <name val="Arial"/>
      <family val="2"/>
      <charset val="1"/>
    </font>
    <font>
      <i/>
      <sz val="9"/>
      <color rgb="FF595959"/>
      <name val="Arial"/>
      <family val="2"/>
      <charset val="1"/>
    </font>
    <font>
      <b/>
      <sz val="10"/>
      <color rgb="FF000000"/>
      <name val="Arial"/>
      <family val="2"/>
      <charset val="1"/>
    </font>
    <font>
      <b/>
      <sz val="10"/>
      <color rgb="FF0000FF"/>
      <name val="Arial"/>
      <family val="2"/>
      <charset val="1"/>
    </font>
    <font>
      <b/>
      <sz val="10"/>
      <color theme="0"/>
      <name val="Arial"/>
      <family val="2"/>
      <charset val="1"/>
    </font>
    <font>
      <sz val="11"/>
      <color rgb="FF000000"/>
      <name val="Calibri"/>
      <family val="2"/>
    </font>
    <font>
      <i/>
      <sz val="10"/>
      <color rgb="FF595959"/>
      <name val="Arial"/>
      <family val="2"/>
      <charset val="1"/>
    </font>
    <font>
      <b/>
      <sz val="12"/>
      <color rgb="FF000000"/>
      <name val="Arial"/>
      <family val="2"/>
      <charset val="1"/>
    </font>
    <font>
      <b/>
      <sz val="8"/>
      <color theme="1"/>
      <name val="Arial"/>
      <family val="2"/>
      <charset val="1"/>
    </font>
    <font>
      <sz val="8"/>
      <color theme="1"/>
      <name val="Arial"/>
      <family val="2"/>
      <charset val="1"/>
    </font>
    <font>
      <b/>
      <sz val="12"/>
      <color theme="1"/>
      <name val="Arial"/>
      <family val="2"/>
    </font>
    <font>
      <b/>
      <sz val="11"/>
      <color rgb="FF000000"/>
      <name val="Calibri"/>
      <family val="2"/>
    </font>
    <font>
      <b/>
      <sz val="13"/>
      <color rgb="FF000000"/>
      <name val="Calibri"/>
      <family val="2"/>
    </font>
    <font>
      <sz val="9"/>
      <color indexed="81"/>
      <name val="Tahoma"/>
      <family val="2"/>
    </font>
    <font>
      <b/>
      <sz val="9"/>
      <color indexed="81"/>
      <name val="Tahoma"/>
      <family val="2"/>
    </font>
    <font>
      <b/>
      <sz val="11"/>
      <color rgb="FF1F3864"/>
      <name val="Arial"/>
      <family val="2"/>
    </font>
    <font>
      <b/>
      <sz val="9"/>
      <color rgb="FFFFFFFF"/>
      <name val="Arial"/>
      <family val="2"/>
    </font>
    <font>
      <sz val="9"/>
      <color rgb="FF000000"/>
      <name val="Arial"/>
      <family val="2"/>
    </font>
    <font>
      <b/>
      <sz val="11"/>
      <color theme="0"/>
      <name val="Arial"/>
      <family val="2"/>
    </font>
    <font>
      <sz val="11"/>
      <name val="Arial"/>
      <family val="2"/>
    </font>
    <font>
      <b/>
      <sz val="12"/>
      <color rgb="FF1F3864"/>
      <name val="Arial"/>
      <family val="2"/>
    </font>
    <font>
      <b/>
      <i/>
      <sz val="10"/>
      <color theme="1"/>
      <name val="Arial"/>
      <family val="2"/>
      <charset val="1"/>
    </font>
    <font>
      <i/>
      <sz val="10"/>
      <color theme="1"/>
      <name val="Arial"/>
      <family val="2"/>
      <charset val="1"/>
    </font>
    <font>
      <sz val="10"/>
      <color rgb="FF008000"/>
      <name val="Arial"/>
      <family val="2"/>
    </font>
    <font>
      <b/>
      <sz val="9"/>
      <color rgb="FF000000"/>
      <name val="Arial"/>
      <family val="2"/>
    </font>
    <font>
      <b/>
      <sz val="9"/>
      <color rgb="FF1F3864"/>
      <name val="Arial"/>
      <family val="2"/>
    </font>
    <font>
      <b/>
      <sz val="12"/>
      <color rgb="FF313D4F"/>
      <name val="Calibri"/>
      <family val="2"/>
    </font>
    <font>
      <sz val="12"/>
      <color rgb="FF000000"/>
      <name val="Calibri"/>
      <family val="2"/>
    </font>
    <font>
      <sz val="12"/>
      <color rgb="FF313D4F"/>
      <name val="Calibri"/>
      <family val="2"/>
    </font>
    <font>
      <b/>
      <sz val="16"/>
      <color theme="1"/>
      <name val="Arial"/>
      <family val="2"/>
      <charset val="1"/>
    </font>
    <font>
      <b/>
      <sz val="16"/>
      <color rgb="FFFFFFFF"/>
      <name val="Arial"/>
      <family val="2"/>
      <charset val="1"/>
    </font>
    <font>
      <b/>
      <sz val="12"/>
      <color rgb="FFFFFFFF"/>
      <name val="Arial"/>
      <family val="2"/>
      <charset val="1"/>
    </font>
    <font>
      <sz val="12"/>
      <name val="Calibri"/>
      <family val="2"/>
      <scheme val="minor"/>
    </font>
    <font>
      <b/>
      <sz val="16"/>
      <color theme="0"/>
      <name val="Calibri"/>
      <family val="2"/>
      <scheme val="minor"/>
    </font>
    <font>
      <i/>
      <sz val="12"/>
      <name val="Calibri"/>
      <family val="2"/>
      <scheme val="minor"/>
    </font>
    <font>
      <b/>
      <sz val="12"/>
      <name val="Calibri"/>
      <family val="2"/>
      <scheme val="minor"/>
    </font>
    <font>
      <b/>
      <sz val="12"/>
      <color rgb="FF00B050"/>
      <name val="Calibri"/>
      <family val="2"/>
      <scheme val="minor"/>
    </font>
    <font>
      <b/>
      <sz val="16"/>
      <color theme="0"/>
      <name val="Arial"/>
      <family val="2"/>
      <charset val="1"/>
    </font>
    <font>
      <sz val="11"/>
      <color theme="1"/>
      <name val="-Apple-System"/>
    </font>
    <font>
      <sz val="11"/>
      <color theme="1"/>
      <name val="Calibri"/>
      <family val="2"/>
      <charset val="1"/>
    </font>
    <font>
      <sz val="8"/>
      <name val="Calibri"/>
      <family val="2"/>
      <scheme val="minor"/>
    </font>
    <font>
      <b/>
      <sz val="14"/>
      <color theme="0"/>
      <name val="Calibri"/>
      <family val="2"/>
      <scheme val="minor"/>
    </font>
    <font>
      <b/>
      <sz val="9"/>
      <color rgb="FFFFFFFF"/>
      <name val="Calibri"/>
      <family val="2"/>
      <scheme val="minor"/>
    </font>
    <font>
      <sz val="10"/>
      <color rgb="FF000000"/>
      <name val="Calibri"/>
      <family val="2"/>
      <scheme val="minor"/>
    </font>
    <font>
      <b/>
      <sz val="9"/>
      <color rgb="FF000000"/>
      <name val="Calibri"/>
      <family val="2"/>
      <scheme val="minor"/>
    </font>
    <font>
      <b/>
      <sz val="9"/>
      <color rgb="FF0000FF"/>
      <name val="Calibri"/>
      <family val="2"/>
      <scheme val="minor"/>
    </font>
    <font>
      <sz val="9"/>
      <name val="Calibri"/>
      <family val="2"/>
      <scheme val="minor"/>
    </font>
    <font>
      <sz val="9"/>
      <color theme="9" tint="-0.249977111117893"/>
      <name val="Calibri"/>
      <family val="2"/>
      <scheme val="minor"/>
    </font>
    <font>
      <sz val="9"/>
      <color rgb="FF000000"/>
      <name val="Calibri"/>
      <family val="2"/>
      <scheme val="minor"/>
    </font>
    <font>
      <b/>
      <sz val="9"/>
      <name val="Calibri"/>
      <family val="2"/>
      <scheme val="minor"/>
    </font>
    <font>
      <sz val="9"/>
      <color rgb="FF007F00"/>
      <name val="Calibri"/>
      <family val="2"/>
      <scheme val="minor"/>
    </font>
    <font>
      <b/>
      <sz val="10"/>
      <name val="Calibri"/>
      <family val="2"/>
      <scheme val="minor"/>
    </font>
    <font>
      <sz val="11"/>
      <name val="Calibri"/>
      <family val="2"/>
      <scheme val="minor"/>
    </font>
    <font>
      <sz val="9"/>
      <color rgb="FF555555"/>
      <name val="Calibri"/>
      <family val="2"/>
      <scheme val="minor"/>
    </font>
    <font>
      <sz val="8"/>
      <color rgb="FF444444"/>
      <name val="Calibri"/>
      <family val="2"/>
      <scheme val="minor"/>
    </font>
    <font>
      <b/>
      <sz val="12"/>
      <color rgb="FFFFFFFF"/>
      <name val="Calibri"/>
      <family val="2"/>
      <scheme val="minor"/>
    </font>
    <font>
      <sz val="12"/>
      <color theme="0"/>
      <name val="Calibri"/>
      <family val="2"/>
    </font>
    <font>
      <b/>
      <sz val="12"/>
      <color theme="0"/>
      <name val="Calibri"/>
      <family val="2"/>
    </font>
    <font>
      <b/>
      <sz val="12"/>
      <name val="Calibri"/>
      <family val="2"/>
    </font>
  </fonts>
  <fills count="52">
    <fill>
      <patternFill patternType="none"/>
    </fill>
    <fill>
      <patternFill patternType="gray125"/>
    </fill>
    <fill>
      <patternFill patternType="solid">
        <fgColor rgb="FF993300"/>
        <bgColor rgb="FF993366"/>
      </patternFill>
    </fill>
    <fill>
      <patternFill patternType="solid">
        <fgColor rgb="FF333399"/>
        <bgColor rgb="FF003366"/>
      </patternFill>
    </fill>
    <fill>
      <patternFill patternType="solid">
        <fgColor rgb="FF333333"/>
        <bgColor rgb="FF333300"/>
      </patternFill>
    </fill>
    <fill>
      <patternFill patternType="solid">
        <fgColor rgb="FF003366"/>
        <bgColor rgb="FF333399"/>
      </patternFill>
    </fill>
    <fill>
      <patternFill patternType="solid">
        <fgColor rgb="FFC8C8C8"/>
        <bgColor rgb="FFBFBFBF"/>
      </patternFill>
    </fill>
    <fill>
      <patternFill patternType="solid">
        <fgColor rgb="FFF0F0F0"/>
        <bgColor rgb="FFFFFFFF"/>
      </patternFill>
    </fill>
    <fill>
      <patternFill patternType="solid">
        <fgColor theme="0" tint="-0.249977111117893"/>
        <bgColor rgb="FFC8C8C8"/>
      </patternFill>
    </fill>
    <fill>
      <patternFill patternType="solid">
        <fgColor theme="4" tint="0.59987182226020086"/>
        <bgColor rgb="FFC8C8C8"/>
      </patternFill>
    </fill>
    <fill>
      <patternFill patternType="solid">
        <fgColor theme="4" tint="0.79989013336588644"/>
        <bgColor rgb="FFF0F0F0"/>
      </patternFill>
    </fill>
    <fill>
      <patternFill patternType="solid">
        <fgColor theme="4"/>
        <bgColor rgb="FF646464"/>
      </patternFill>
    </fill>
    <fill>
      <patternFill patternType="solid">
        <fgColor theme="9" tint="0.59999389629810485"/>
        <bgColor indexed="64"/>
      </patternFill>
    </fill>
    <fill>
      <patternFill patternType="solid">
        <fgColor theme="4" tint="0.79998168889431442"/>
        <bgColor indexed="64"/>
      </patternFill>
    </fill>
    <fill>
      <patternFill patternType="solid">
        <fgColor theme="4"/>
        <bgColor indexed="64"/>
      </patternFill>
    </fill>
    <fill>
      <patternFill patternType="solid">
        <fgColor theme="4"/>
        <bgColor rgb="FFC8C8C8"/>
      </patternFill>
    </fill>
    <fill>
      <patternFill patternType="solid">
        <fgColor indexed="56"/>
        <bgColor indexed="64"/>
      </patternFill>
    </fill>
    <fill>
      <patternFill patternType="solid">
        <fgColor theme="3"/>
        <bgColor indexed="64"/>
      </patternFill>
    </fill>
    <fill>
      <patternFill patternType="solid">
        <fgColor rgb="FFD9D9D9"/>
        <bgColor rgb="FFC0C0C0"/>
      </patternFill>
    </fill>
    <fill>
      <patternFill patternType="solid">
        <fgColor rgb="FFFFFFFF"/>
        <bgColor rgb="FFF2F2F2"/>
      </patternFill>
    </fill>
    <fill>
      <patternFill patternType="solid">
        <fgColor rgb="FFD9E1F2"/>
      </patternFill>
    </fill>
    <fill>
      <patternFill patternType="solid">
        <fgColor rgb="FFDAE2F2"/>
        <bgColor indexed="64"/>
      </patternFill>
    </fill>
    <fill>
      <patternFill patternType="solid">
        <fgColor theme="9" tint="0.79998168889431442"/>
        <bgColor indexed="64"/>
      </patternFill>
    </fill>
    <fill>
      <patternFill patternType="solid">
        <fgColor rgb="FF2E4B8C"/>
        <bgColor rgb="FF595959"/>
      </patternFill>
    </fill>
    <fill>
      <patternFill patternType="solid">
        <fgColor rgb="FFD9D9D9"/>
        <bgColor rgb="FFC6EFCE"/>
      </patternFill>
    </fill>
    <fill>
      <patternFill patternType="solid">
        <fgColor rgb="FFC6EFCE"/>
        <bgColor rgb="FFD9D9D9"/>
      </patternFill>
    </fill>
    <fill>
      <patternFill patternType="solid">
        <fgColor theme="5" tint="0.79998168889431442"/>
        <bgColor indexed="64"/>
      </patternFill>
    </fill>
    <fill>
      <patternFill patternType="solid">
        <fgColor theme="9" tint="0.39997558519241921"/>
        <bgColor indexed="64"/>
      </patternFill>
    </fill>
    <fill>
      <patternFill patternType="solid">
        <fgColor theme="8" tint="-0.499984740745262"/>
        <bgColor rgb="FF000080"/>
      </patternFill>
    </fill>
    <fill>
      <patternFill patternType="solid">
        <fgColor theme="4" tint="0.79998168889431442"/>
        <bgColor rgb="FFFFFFFF"/>
      </patternFill>
    </fill>
    <fill>
      <patternFill patternType="solid">
        <fgColor theme="4"/>
        <bgColor rgb="FF293D68"/>
      </patternFill>
    </fill>
    <fill>
      <patternFill patternType="solid">
        <fgColor theme="0" tint="-0.14999847407452621"/>
        <bgColor rgb="FFD9E2F3"/>
      </patternFill>
    </fill>
    <fill>
      <patternFill patternType="solid">
        <fgColor theme="0" tint="-0.14999847407452621"/>
        <bgColor indexed="64"/>
      </patternFill>
    </fill>
    <fill>
      <patternFill patternType="solid">
        <fgColor theme="2" tint="-9.9978637043366805E-2"/>
        <bgColor indexed="64"/>
      </patternFill>
    </fill>
    <fill>
      <patternFill patternType="solid">
        <fgColor rgb="FFFFFF00"/>
        <bgColor indexed="64"/>
      </patternFill>
    </fill>
    <fill>
      <patternFill patternType="solid">
        <fgColor theme="0"/>
        <bgColor indexed="64"/>
      </patternFill>
    </fill>
    <fill>
      <patternFill patternType="solid">
        <fgColor theme="4" tint="0.59999389629810485"/>
        <bgColor indexed="64"/>
      </patternFill>
    </fill>
    <fill>
      <patternFill patternType="solid">
        <fgColor theme="0" tint="-0.249977111117893"/>
        <bgColor indexed="64"/>
      </patternFill>
    </fill>
    <fill>
      <patternFill patternType="solid">
        <fgColor theme="4" tint="0.39997558519241921"/>
        <bgColor indexed="64"/>
      </patternFill>
    </fill>
    <fill>
      <patternFill patternType="solid">
        <fgColor rgb="FF1F3864"/>
        <bgColor rgb="FF003366"/>
      </patternFill>
    </fill>
    <fill>
      <patternFill patternType="solid">
        <fgColor rgb="FF2E75B6"/>
        <bgColor rgb="FF4472C4"/>
      </patternFill>
    </fill>
    <fill>
      <patternFill patternType="solid">
        <fgColor theme="4" tint="-0.499984740745262"/>
        <bgColor indexed="64"/>
      </patternFill>
    </fill>
    <fill>
      <patternFill patternType="solid">
        <fgColor rgb="FFF2F2F2"/>
        <bgColor rgb="FFF0F0F0"/>
      </patternFill>
    </fill>
    <fill>
      <patternFill patternType="solid">
        <fgColor rgb="FFFFF2CC"/>
        <bgColor rgb="FFFBE5D6"/>
      </patternFill>
    </fill>
    <fill>
      <patternFill patternType="solid">
        <fgColor theme="2" tint="-0.249977111117893"/>
        <bgColor indexed="64"/>
      </patternFill>
    </fill>
    <fill>
      <patternFill patternType="solid">
        <fgColor theme="1" tint="0.499984740745262"/>
        <bgColor indexed="64"/>
      </patternFill>
    </fill>
    <fill>
      <patternFill patternType="solid">
        <fgColor theme="8" tint="-0.499984740745262"/>
        <bgColor indexed="64"/>
      </patternFill>
    </fill>
    <fill>
      <patternFill patternType="solid">
        <fgColor theme="6"/>
        <bgColor indexed="64"/>
      </patternFill>
    </fill>
    <fill>
      <patternFill patternType="solid">
        <fgColor theme="4" tint="-0.249977111117893"/>
        <bgColor indexed="64"/>
      </patternFill>
    </fill>
    <fill>
      <patternFill patternType="solid">
        <fgColor theme="4" tint="0.79998168889431442"/>
        <bgColor rgb="FFF0F0F0"/>
      </patternFill>
    </fill>
    <fill>
      <patternFill patternType="solid">
        <fgColor theme="6"/>
        <bgColor rgb="FF2E4057"/>
      </patternFill>
    </fill>
    <fill>
      <patternFill patternType="solid">
        <fgColor theme="4"/>
        <bgColor rgb="FF1F3864"/>
      </patternFill>
    </fill>
  </fills>
  <borders count="27">
    <border>
      <left/>
      <right/>
      <top/>
      <bottom/>
      <diagonal/>
    </border>
    <border>
      <left/>
      <right/>
      <top/>
      <bottom style="thin">
        <color rgb="FFCCCCCC"/>
      </bottom>
      <diagonal/>
    </border>
    <border>
      <left/>
      <right/>
      <top/>
      <bottom style="thin">
        <color indexed="64"/>
      </bottom>
      <diagonal/>
    </border>
    <border>
      <left/>
      <right/>
      <top style="thin">
        <color indexed="8"/>
      </top>
      <bottom/>
      <diagonal/>
    </border>
    <border>
      <left/>
      <right/>
      <top style="thin">
        <color indexed="64"/>
      </top>
      <bottom style="double">
        <color indexed="64"/>
      </bottom>
      <diagonal/>
    </border>
    <border>
      <left/>
      <right style="thin">
        <color indexed="64"/>
      </right>
      <top/>
      <bottom/>
      <diagonal/>
    </border>
    <border>
      <left/>
      <right style="thin">
        <color indexed="64"/>
      </right>
      <top/>
      <bottom style="thin">
        <color indexed="64"/>
      </bottom>
      <diagonal/>
    </border>
    <border>
      <left style="thin">
        <color rgb="FFBFBFBF"/>
      </left>
      <right/>
      <top style="thin">
        <color rgb="FFBFBFBF"/>
      </top>
      <bottom/>
      <diagonal/>
    </border>
    <border>
      <left/>
      <right/>
      <top style="thin">
        <color rgb="FFBFBFBF"/>
      </top>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theme="0"/>
      </bottom>
      <diagonal/>
    </border>
    <border>
      <left/>
      <right/>
      <top style="thin">
        <color theme="1"/>
      </top>
      <bottom style="thin">
        <color theme="1"/>
      </bottom>
      <diagonal/>
    </border>
    <border>
      <left/>
      <right/>
      <top style="thin">
        <color theme="1"/>
      </top>
      <bottom/>
      <diagonal/>
    </border>
    <border>
      <left/>
      <right/>
      <top style="thin">
        <color indexed="64"/>
      </top>
      <bottom style="thin">
        <color theme="1"/>
      </bottom>
      <diagonal/>
    </border>
    <border>
      <left style="dashed">
        <color auto="1"/>
      </left>
      <right style="dashed">
        <color auto="1"/>
      </right>
      <top style="dashed">
        <color auto="1"/>
      </top>
      <bottom style="dashed">
        <color auto="1"/>
      </bottom>
      <diagonal/>
    </border>
    <border>
      <left style="thin">
        <color indexed="64"/>
      </left>
      <right style="thin">
        <color indexed="64"/>
      </right>
      <top style="thin">
        <color indexed="64"/>
      </top>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right/>
      <top/>
      <bottom style="thin">
        <color rgb="FF000000"/>
      </bottom>
      <diagonal/>
    </border>
    <border>
      <left/>
      <right style="thin">
        <color rgb="FF000000"/>
      </right>
      <top/>
      <bottom/>
      <diagonal/>
    </border>
    <border>
      <left/>
      <right/>
      <top/>
      <bottom style="medium">
        <color auto="1"/>
      </bottom>
      <diagonal/>
    </border>
    <border>
      <left/>
      <right style="thin">
        <color indexed="64"/>
      </right>
      <top/>
      <bottom style="medium">
        <color auto="1"/>
      </bottom>
      <diagonal/>
    </border>
  </borders>
  <cellStyleXfs count="26">
    <xf numFmtId="0" fontId="0" fillId="0" borderId="0"/>
    <xf numFmtId="0" fontId="4" fillId="0" borderId="0"/>
    <xf numFmtId="0" fontId="5" fillId="0" borderId="0"/>
    <xf numFmtId="0" fontId="6" fillId="2" borderId="0"/>
    <xf numFmtId="0" fontId="7" fillId="0" borderId="0"/>
    <xf numFmtId="0" fontId="8" fillId="3" borderId="0"/>
    <xf numFmtId="0" fontId="9" fillId="4" borderId="0"/>
    <xf numFmtId="0" fontId="10" fillId="0" borderId="0"/>
    <xf numFmtId="0" fontId="11" fillId="0" borderId="0"/>
    <xf numFmtId="0" fontId="12" fillId="5" borderId="0"/>
    <xf numFmtId="0" fontId="13" fillId="0" borderId="0"/>
    <xf numFmtId="0" fontId="13" fillId="0" borderId="0"/>
    <xf numFmtId="0" fontId="14" fillId="0" borderId="0"/>
    <xf numFmtId="0" fontId="15" fillId="0" borderId="0"/>
    <xf numFmtId="0" fontId="13" fillId="0" borderId="0"/>
    <xf numFmtId="0" fontId="16" fillId="0" borderId="0"/>
    <xf numFmtId="0" fontId="14" fillId="0" borderId="0">
      <alignment wrapText="1"/>
    </xf>
    <xf numFmtId="44" fontId="27" fillId="0" borderId="0" applyFont="0" applyFill="0" applyBorder="0" applyAlignment="0" applyProtection="0"/>
    <xf numFmtId="0" fontId="3" fillId="0" borderId="0"/>
    <xf numFmtId="0" fontId="47" fillId="0" borderId="0" applyAlignment="0"/>
    <xf numFmtId="9" fontId="27" fillId="0" borderId="0" applyFont="0" applyFill="0" applyBorder="0" applyAlignment="0" applyProtection="0"/>
    <xf numFmtId="0" fontId="67" fillId="0" borderId="0"/>
    <xf numFmtId="43" fontId="27" fillId="0" borderId="0" applyFont="0" applyFill="0" applyBorder="0" applyAlignment="0" applyProtection="0"/>
    <xf numFmtId="0" fontId="77" fillId="0" borderId="0" applyNumberFormat="0" applyFill="0" applyBorder="0" applyAlignment="0" applyProtection="0"/>
    <xf numFmtId="0" fontId="2" fillId="0" borderId="0"/>
    <xf numFmtId="0" fontId="129" fillId="0" borderId="0"/>
  </cellStyleXfs>
  <cellXfs count="662">
    <xf numFmtId="0" fontId="0" fillId="0" borderId="0" xfId="0"/>
    <xf numFmtId="0" fontId="17" fillId="0" borderId="0" xfId="0" applyFont="1"/>
    <xf numFmtId="0" fontId="17" fillId="6" borderId="0" xfId="0" applyFont="1" applyFill="1" applyAlignment="1">
      <alignment horizontal="left"/>
    </xf>
    <xf numFmtId="0" fontId="0" fillId="7" borderId="0" xfId="0" applyFill="1" applyAlignment="1">
      <alignment horizontal="left"/>
    </xf>
    <xf numFmtId="0" fontId="0" fillId="0" borderId="0" xfId="0" applyAlignment="1">
      <alignment horizontal="left"/>
    </xf>
    <xf numFmtId="3" fontId="0" fillId="0" borderId="0" xfId="0" applyNumberFormat="1" applyAlignment="1">
      <alignment horizontal="right"/>
    </xf>
    <xf numFmtId="3" fontId="0" fillId="7" borderId="0" xfId="0" applyNumberFormat="1" applyFill="1" applyAlignment="1">
      <alignment horizontal="right"/>
    </xf>
    <xf numFmtId="0" fontId="18" fillId="7" borderId="0" xfId="0" applyFont="1" applyFill="1" applyAlignment="1">
      <alignment horizontal="left"/>
    </xf>
    <xf numFmtId="3" fontId="18" fillId="7" borderId="0" xfId="0" applyNumberFormat="1" applyFont="1" applyFill="1" applyAlignment="1">
      <alignment horizontal="right"/>
    </xf>
    <xf numFmtId="0" fontId="0" fillId="0" borderId="0" xfId="0" applyAlignment="1">
      <alignment horizontal="left" indent="1"/>
    </xf>
    <xf numFmtId="0" fontId="19" fillId="0" borderId="0" xfId="0" applyFont="1" applyAlignment="1">
      <alignment horizontal="left"/>
    </xf>
    <xf numFmtId="164" fontId="0" fillId="7" borderId="0" xfId="0" applyNumberFormat="1" applyFill="1" applyAlignment="1">
      <alignment horizontal="right"/>
    </xf>
    <xf numFmtId="164" fontId="0" fillId="0" borderId="0" xfId="0" applyNumberFormat="1" applyAlignment="1">
      <alignment horizontal="right"/>
    </xf>
    <xf numFmtId="0" fontId="18" fillId="0" borderId="0" xfId="0" applyFont="1" applyAlignment="1">
      <alignment horizontal="left"/>
    </xf>
    <xf numFmtId="164" fontId="18" fillId="0" borderId="0" xfId="0" applyNumberFormat="1" applyFont="1" applyAlignment="1">
      <alignment horizontal="right"/>
    </xf>
    <xf numFmtId="0" fontId="0" fillId="7" borderId="0" xfId="0" applyFill="1" applyAlignment="1">
      <alignment horizontal="left" indent="1"/>
    </xf>
    <xf numFmtId="164" fontId="20" fillId="7" borderId="0" xfId="0" applyNumberFormat="1" applyFont="1" applyFill="1" applyAlignment="1">
      <alignment horizontal="right"/>
    </xf>
    <xf numFmtId="164" fontId="20" fillId="0" borderId="0" xfId="0" applyNumberFormat="1" applyFont="1" applyAlignment="1">
      <alignment horizontal="right"/>
    </xf>
    <xf numFmtId="0" fontId="17" fillId="0" borderId="0" xfId="0" applyFont="1" applyAlignment="1">
      <alignment horizontal="left"/>
    </xf>
    <xf numFmtId="10" fontId="0" fillId="0" borderId="0" xfId="0" applyNumberFormat="1"/>
    <xf numFmtId="10" fontId="0" fillId="0" borderId="0" xfId="0" applyNumberFormat="1" applyAlignment="1">
      <alignment horizontal="right"/>
    </xf>
    <xf numFmtId="0" fontId="18" fillId="7" borderId="0" xfId="0" applyFont="1" applyFill="1" applyAlignment="1">
      <alignment horizontal="right"/>
    </xf>
    <xf numFmtId="0" fontId="18" fillId="0" borderId="0" xfId="0" applyFont="1" applyAlignment="1">
      <alignment horizontal="right"/>
    </xf>
    <xf numFmtId="0" fontId="0" fillId="0" borderId="0" xfId="0" applyAlignment="1">
      <alignment horizontal="right"/>
    </xf>
    <xf numFmtId="0" fontId="0" fillId="7" borderId="0" xfId="0" applyFill="1" applyAlignment="1">
      <alignment horizontal="right"/>
    </xf>
    <xf numFmtId="9" fontId="0" fillId="0" borderId="0" xfId="0" applyNumberFormat="1"/>
    <xf numFmtId="0" fontId="18" fillId="7" borderId="0" xfId="0" applyFont="1" applyFill="1" applyAlignment="1">
      <alignment horizontal="left" indent="3"/>
    </xf>
    <xf numFmtId="0" fontId="18" fillId="0" borderId="0" xfId="0" applyFont="1" applyAlignment="1">
      <alignment horizontal="left" indent="6"/>
    </xf>
    <xf numFmtId="0" fontId="0" fillId="7" borderId="0" xfId="0" applyFill="1" applyAlignment="1">
      <alignment horizontal="left" indent="7"/>
    </xf>
    <xf numFmtId="0" fontId="0" fillId="0" borderId="0" xfId="0" applyAlignment="1">
      <alignment horizontal="left" indent="7"/>
    </xf>
    <xf numFmtId="0" fontId="0" fillId="0" borderId="0" xfId="0" applyAlignment="1">
      <alignment horizontal="left" indent="4"/>
    </xf>
    <xf numFmtId="0" fontId="0" fillId="7" borderId="0" xfId="0" applyFill="1" applyAlignment="1">
      <alignment horizontal="left" indent="4"/>
    </xf>
    <xf numFmtId="4" fontId="0" fillId="7" borderId="0" xfId="0" applyNumberFormat="1" applyFill="1" applyAlignment="1">
      <alignment horizontal="right"/>
    </xf>
    <xf numFmtId="4" fontId="0" fillId="0" borderId="0" xfId="0" applyNumberFormat="1" applyAlignment="1">
      <alignment horizontal="right"/>
    </xf>
    <xf numFmtId="0" fontId="21" fillId="7" borderId="0" xfId="0" applyFont="1" applyFill="1" applyAlignment="1">
      <alignment horizontal="right"/>
    </xf>
    <xf numFmtId="0" fontId="22" fillId="8" borderId="0" xfId="0" applyFont="1" applyFill="1"/>
    <xf numFmtId="0" fontId="21" fillId="0" borderId="0" xfId="0" applyFont="1"/>
    <xf numFmtId="0" fontId="22" fillId="9" borderId="0" xfId="0" applyFont="1" applyFill="1"/>
    <xf numFmtId="0" fontId="21" fillId="9" borderId="0" xfId="0" applyFont="1" applyFill="1"/>
    <xf numFmtId="0" fontId="22" fillId="10" borderId="0" xfId="0" applyFont="1" applyFill="1"/>
    <xf numFmtId="0" fontId="21" fillId="10" borderId="0" xfId="0" applyFont="1" applyFill="1"/>
    <xf numFmtId="10" fontId="21" fillId="0" borderId="0" xfId="0" applyNumberFormat="1" applyFont="1"/>
    <xf numFmtId="165" fontId="23" fillId="0" borderId="0" xfId="0" applyNumberFormat="1" applyFont="1"/>
    <xf numFmtId="9" fontId="21" fillId="0" borderId="0" xfId="0" applyNumberFormat="1" applyFont="1"/>
    <xf numFmtId="3" fontId="24" fillId="0" borderId="0" xfId="0" applyNumberFormat="1" applyFont="1"/>
    <xf numFmtId="3" fontId="23" fillId="0" borderId="0" xfId="0" applyNumberFormat="1" applyFont="1"/>
    <xf numFmtId="164" fontId="24" fillId="0" borderId="0" xfId="0" applyNumberFormat="1" applyFont="1"/>
    <xf numFmtId="165" fontId="24" fillId="0" borderId="0" xfId="0" applyNumberFormat="1" applyFont="1"/>
    <xf numFmtId="3" fontId="21" fillId="0" borderId="0" xfId="0" applyNumberFormat="1" applyFont="1"/>
    <xf numFmtId="1" fontId="21" fillId="0" borderId="0" xfId="0" applyNumberFormat="1" applyFont="1"/>
    <xf numFmtId="0" fontId="3" fillId="0" borderId="0" xfId="0" applyFont="1"/>
    <xf numFmtId="0" fontId="25" fillId="0" borderId="0" xfId="0" applyFont="1"/>
    <xf numFmtId="3" fontId="26" fillId="0" borderId="0" xfId="0" applyNumberFormat="1" applyFont="1"/>
    <xf numFmtId="0" fontId="22" fillId="0" borderId="0" xfId="0" applyFont="1"/>
    <xf numFmtId="165" fontId="21" fillId="0" borderId="0" xfId="0" applyNumberFormat="1" applyFont="1"/>
    <xf numFmtId="0" fontId="25" fillId="12" borderId="0" xfId="0" applyFont="1" applyFill="1"/>
    <xf numFmtId="0" fontId="21" fillId="12" borderId="0" xfId="0" applyFont="1" applyFill="1"/>
    <xf numFmtId="3" fontId="26" fillId="12" borderId="0" xfId="0" applyNumberFormat="1" applyFont="1" applyFill="1"/>
    <xf numFmtId="0" fontId="0" fillId="9" borderId="0" xfId="0" applyFill="1"/>
    <xf numFmtId="0" fontId="0" fillId="10" borderId="0" xfId="0" applyFill="1"/>
    <xf numFmtId="0" fontId="21" fillId="0" borderId="0" xfId="0" applyFont="1" applyAlignment="1">
      <alignment horizontal="left" indent="1"/>
    </xf>
    <xf numFmtId="0" fontId="21" fillId="0" borderId="0" xfId="0" applyFont="1" applyAlignment="1">
      <alignment horizontal="left" vertical="top" wrapText="1"/>
    </xf>
    <xf numFmtId="0" fontId="21" fillId="0" borderId="0" xfId="0" applyFont="1" applyAlignment="1">
      <alignment vertical="top"/>
    </xf>
    <xf numFmtId="0" fontId="3" fillId="0" borderId="0" xfId="0" applyFont="1" applyAlignment="1">
      <alignment horizontal="left" vertical="top"/>
    </xf>
    <xf numFmtId="0" fontId="3" fillId="0" borderId="0" xfId="0" applyFont="1" applyAlignment="1">
      <alignment vertical="top"/>
    </xf>
    <xf numFmtId="0" fontId="28" fillId="0" borderId="0" xfId="0" applyFont="1" applyAlignment="1">
      <alignment horizontal="left" vertical="top"/>
    </xf>
    <xf numFmtId="0" fontId="21" fillId="0" borderId="0" xfId="0" applyFont="1" applyAlignment="1">
      <alignment horizontal="left" vertical="top"/>
    </xf>
    <xf numFmtId="165" fontId="23" fillId="0" borderId="0" xfId="0" applyNumberFormat="1" applyFont="1" applyAlignment="1">
      <alignment horizontal="left" vertical="top" wrapText="1"/>
    </xf>
    <xf numFmtId="165" fontId="23" fillId="0" borderId="0" xfId="0" applyNumberFormat="1" applyFont="1" applyAlignment="1">
      <alignment horizontal="left" vertical="top"/>
    </xf>
    <xf numFmtId="3" fontId="23" fillId="0" borderId="0" xfId="0" applyNumberFormat="1" applyFont="1" applyAlignment="1">
      <alignment horizontal="left" vertical="top"/>
    </xf>
    <xf numFmtId="0" fontId="32" fillId="14" borderId="0" xfId="0" applyFont="1" applyFill="1" applyAlignment="1">
      <alignment vertical="top"/>
    </xf>
    <xf numFmtId="0" fontId="31" fillId="0" borderId="0" xfId="0" applyFont="1" applyAlignment="1">
      <alignment vertical="top"/>
    </xf>
    <xf numFmtId="0" fontId="32" fillId="11" borderId="0" xfId="0" applyFont="1" applyFill="1"/>
    <xf numFmtId="0" fontId="21" fillId="14" borderId="0" xfId="0" applyFont="1" applyFill="1"/>
    <xf numFmtId="0" fontId="30" fillId="13" borderId="0" xfId="0" applyFont="1" applyFill="1" applyAlignment="1">
      <alignment horizontal="left" vertical="top"/>
    </xf>
    <xf numFmtId="0" fontId="21" fillId="13" borderId="0" xfId="0" applyFont="1" applyFill="1" applyAlignment="1">
      <alignment horizontal="left" vertical="top"/>
    </xf>
    <xf numFmtId="0" fontId="25" fillId="13" borderId="0" xfId="0" applyFont="1" applyFill="1" applyAlignment="1">
      <alignment horizontal="left" vertical="top"/>
    </xf>
    <xf numFmtId="0" fontId="29" fillId="0" borderId="0" xfId="0" applyFont="1" applyAlignment="1">
      <alignment horizontal="left" vertical="top" wrapText="1"/>
    </xf>
    <xf numFmtId="0" fontId="29" fillId="0" borderId="0" xfId="0" applyFont="1" applyAlignment="1">
      <alignment horizontal="left" vertical="top"/>
    </xf>
    <xf numFmtId="0" fontId="29" fillId="13" borderId="0" xfId="0" applyFont="1" applyFill="1" applyAlignment="1">
      <alignment horizontal="left" vertical="top"/>
    </xf>
    <xf numFmtId="0" fontId="35" fillId="0" borderId="1" xfId="0" applyFont="1" applyBorder="1" applyAlignment="1">
      <alignment horizontal="left" vertical="top" wrapText="1"/>
    </xf>
    <xf numFmtId="0" fontId="36" fillId="0" borderId="1" xfId="0" applyFont="1" applyBorder="1" applyAlignment="1">
      <alignment horizontal="left" vertical="top" wrapText="1"/>
    </xf>
    <xf numFmtId="0" fontId="29" fillId="13" borderId="0" xfId="0" applyFont="1" applyFill="1" applyAlignment="1">
      <alignment horizontal="left" vertical="top" wrapText="1"/>
    </xf>
    <xf numFmtId="0" fontId="29" fillId="0" borderId="0" xfId="0" applyFont="1" applyAlignment="1">
      <alignment vertical="top" wrapText="1"/>
    </xf>
    <xf numFmtId="0" fontId="37" fillId="0" borderId="0" xfId="0" applyFont="1" applyAlignment="1">
      <alignment horizontal="left" vertical="top" wrapText="1"/>
    </xf>
    <xf numFmtId="0" fontId="29" fillId="0" borderId="0" xfId="0" applyFont="1" applyAlignment="1">
      <alignment vertical="top"/>
    </xf>
    <xf numFmtId="0" fontId="33" fillId="14" borderId="0" xfId="0" applyFont="1" applyFill="1"/>
    <xf numFmtId="166" fontId="21" fillId="0" borderId="0" xfId="17" applyNumberFormat="1" applyFont="1"/>
    <xf numFmtId="166" fontId="24" fillId="0" borderId="0" xfId="17" applyNumberFormat="1" applyFont="1"/>
    <xf numFmtId="0" fontId="3" fillId="0" borderId="0" xfId="0" applyFont="1" applyAlignment="1">
      <alignment horizontal="left" indent="1"/>
    </xf>
    <xf numFmtId="2" fontId="21" fillId="0" borderId="0" xfId="0" applyNumberFormat="1" applyFont="1"/>
    <xf numFmtId="2" fontId="24" fillId="0" borderId="0" xfId="0" applyNumberFormat="1" applyFont="1"/>
    <xf numFmtId="1" fontId="21" fillId="0" borderId="0" xfId="17" applyNumberFormat="1" applyFont="1"/>
    <xf numFmtId="1" fontId="24" fillId="0" borderId="0" xfId="17" applyNumberFormat="1" applyFont="1"/>
    <xf numFmtId="1" fontId="24" fillId="0" borderId="0" xfId="0" applyNumberFormat="1" applyFont="1"/>
    <xf numFmtId="166" fontId="21" fillId="0" borderId="0" xfId="0" applyNumberFormat="1" applyFont="1"/>
    <xf numFmtId="166" fontId="24" fillId="0" borderId="0" xfId="0" applyNumberFormat="1" applyFont="1"/>
    <xf numFmtId="166" fontId="21" fillId="9" borderId="0" xfId="0" applyNumberFormat="1" applyFont="1" applyFill="1"/>
    <xf numFmtId="166" fontId="0" fillId="9" borderId="0" xfId="0" applyNumberFormat="1" applyFill="1"/>
    <xf numFmtId="166" fontId="21" fillId="10" borderId="0" xfId="0" applyNumberFormat="1" applyFont="1" applyFill="1"/>
    <xf numFmtId="166" fontId="0" fillId="10" borderId="0" xfId="0" applyNumberFormat="1" applyFill="1"/>
    <xf numFmtId="0" fontId="29" fillId="9" borderId="0" xfId="0" applyFont="1" applyFill="1" applyAlignment="1">
      <alignment horizontal="center"/>
    </xf>
    <xf numFmtId="0" fontId="29" fillId="10" borderId="0" xfId="0" applyFont="1" applyFill="1" applyAlignment="1">
      <alignment horizontal="center"/>
    </xf>
    <xf numFmtId="0" fontId="29" fillId="0" borderId="0" xfId="0" applyFont="1" applyAlignment="1">
      <alignment horizontal="center"/>
    </xf>
    <xf numFmtId="0" fontId="29" fillId="14" borderId="0" xfId="0" applyFont="1" applyFill="1" applyAlignment="1">
      <alignment horizontal="center"/>
    </xf>
    <xf numFmtId="0" fontId="21" fillId="0" borderId="2" xfId="0" applyFont="1" applyBorder="1" applyAlignment="1">
      <alignment horizontal="left" indent="1"/>
    </xf>
    <xf numFmtId="0" fontId="29" fillId="0" borderId="2" xfId="0" applyFont="1" applyBorder="1" applyAlignment="1">
      <alignment horizontal="center"/>
    </xf>
    <xf numFmtId="9" fontId="21" fillId="0" borderId="2" xfId="0" applyNumberFormat="1" applyFont="1" applyBorder="1"/>
    <xf numFmtId="10" fontId="21" fillId="0" borderId="2" xfId="0" applyNumberFormat="1" applyFont="1" applyBorder="1"/>
    <xf numFmtId="165" fontId="23" fillId="0" borderId="2" xfId="0" applyNumberFormat="1" applyFont="1" applyBorder="1"/>
    <xf numFmtId="0" fontId="22" fillId="8" borderId="0" xfId="0" applyFont="1" applyFill="1" applyAlignment="1">
      <alignment horizontal="left"/>
    </xf>
    <xf numFmtId="0" fontId="21" fillId="0" borderId="2" xfId="0" applyFont="1" applyBorder="1"/>
    <xf numFmtId="0" fontId="32" fillId="15" borderId="0" xfId="0" applyFont="1" applyFill="1"/>
    <xf numFmtId="0" fontId="34" fillId="15" borderId="0" xfId="0" applyFont="1" applyFill="1" applyAlignment="1">
      <alignment horizontal="center"/>
    </xf>
    <xf numFmtId="0" fontId="33" fillId="15" borderId="0" xfId="0" applyFont="1" applyFill="1"/>
    <xf numFmtId="164" fontId="24" fillId="0" borderId="2" xfId="0" applyNumberFormat="1" applyFont="1" applyBorder="1"/>
    <xf numFmtId="166" fontId="21" fillId="0" borderId="2" xfId="0" applyNumberFormat="1" applyFont="1" applyBorder="1"/>
    <xf numFmtId="166" fontId="24" fillId="0" borderId="2" xfId="0" applyNumberFormat="1" applyFont="1" applyBorder="1"/>
    <xf numFmtId="166" fontId="21" fillId="0" borderId="2" xfId="17" applyNumberFormat="1" applyFont="1" applyBorder="1"/>
    <xf numFmtId="166" fontId="24" fillId="0" borderId="2" xfId="17" applyNumberFormat="1" applyFont="1" applyBorder="1"/>
    <xf numFmtId="1" fontId="24" fillId="0" borderId="0" xfId="17" applyNumberFormat="1" applyFont="1" applyBorder="1"/>
    <xf numFmtId="0" fontId="25" fillId="12" borderId="2" xfId="0" applyFont="1" applyFill="1" applyBorder="1"/>
    <xf numFmtId="0" fontId="39" fillId="12" borderId="2" xfId="0" applyFont="1" applyFill="1" applyBorder="1" applyAlignment="1">
      <alignment horizontal="center"/>
    </xf>
    <xf numFmtId="166" fontId="25" fillId="12" borderId="2" xfId="0" applyNumberFormat="1" applyFont="1" applyFill="1" applyBorder="1"/>
    <xf numFmtId="0" fontId="39" fillId="0" borderId="0" xfId="0" applyFont="1" applyAlignment="1">
      <alignment horizontal="center"/>
    </xf>
    <xf numFmtId="166" fontId="25" fillId="0" borderId="0" xfId="0" applyNumberFormat="1" applyFont="1"/>
    <xf numFmtId="0" fontId="29" fillId="12" borderId="2" xfId="0" applyFont="1" applyFill="1" applyBorder="1" applyAlignment="1">
      <alignment horizontal="center"/>
    </xf>
    <xf numFmtId="166" fontId="26" fillId="12" borderId="2" xfId="17" applyNumberFormat="1" applyFont="1" applyFill="1" applyBorder="1"/>
    <xf numFmtId="0" fontId="3" fillId="0" borderId="2" xfId="0" applyFont="1" applyBorder="1" applyAlignment="1">
      <alignment horizontal="left" indent="1"/>
    </xf>
    <xf numFmtId="165" fontId="24" fillId="0" borderId="2" xfId="0" applyNumberFormat="1" applyFont="1" applyBorder="1"/>
    <xf numFmtId="0" fontId="38" fillId="12" borderId="0" xfId="0" applyFont="1" applyFill="1" applyAlignment="1">
      <alignment horizontal="center"/>
    </xf>
    <xf numFmtId="165" fontId="26" fillId="12" borderId="0" xfId="0" applyNumberFormat="1" applyFont="1" applyFill="1"/>
    <xf numFmtId="0" fontId="32" fillId="14" borderId="0" xfId="0" applyFont="1" applyFill="1" applyAlignment="1">
      <alignment horizontal="left" vertical="top" wrapText="1"/>
    </xf>
    <xf numFmtId="0" fontId="32" fillId="14" borderId="0" xfId="0" applyFont="1" applyFill="1" applyAlignment="1">
      <alignment horizontal="left" vertical="top"/>
    </xf>
    <xf numFmtId="0" fontId="41" fillId="0" borderId="0" xfId="18" applyFont="1"/>
    <xf numFmtId="0" fontId="42" fillId="0" borderId="0" xfId="18" applyFont="1"/>
    <xf numFmtId="0" fontId="43" fillId="0" borderId="0" xfId="18" applyFont="1" applyAlignment="1">
      <alignment wrapText="1"/>
    </xf>
    <xf numFmtId="0" fontId="44" fillId="0" borderId="0" xfId="18" applyFont="1"/>
    <xf numFmtId="0" fontId="45" fillId="0" borderId="0" xfId="18" applyFont="1" applyAlignment="1">
      <alignment horizontal="left" vertical="top"/>
    </xf>
    <xf numFmtId="49" fontId="42" fillId="0" borderId="0" xfId="18" applyNumberFormat="1" applyFont="1"/>
    <xf numFmtId="0" fontId="45" fillId="0" borderId="0" xfId="18" applyFont="1" applyAlignment="1">
      <alignment horizontal="left" vertical="center"/>
    </xf>
    <xf numFmtId="0" fontId="46" fillId="16" borderId="0" xfId="18" applyFont="1" applyFill="1"/>
    <xf numFmtId="0" fontId="48" fillId="0" borderId="0" xfId="19" applyFont="1" applyAlignment="1"/>
    <xf numFmtId="0" fontId="49" fillId="17" borderId="0" xfId="18" applyFont="1" applyFill="1" applyAlignment="1">
      <alignment wrapText="1"/>
    </xf>
    <xf numFmtId="0" fontId="49" fillId="17" borderId="0" xfId="18" applyFont="1" applyFill="1" applyAlignment="1">
      <alignment horizontal="right" wrapText="1"/>
    </xf>
    <xf numFmtId="0" fontId="50" fillId="17" borderId="0" xfId="18" applyFont="1" applyFill="1" applyAlignment="1">
      <alignment wrapText="1"/>
    </xf>
    <xf numFmtId="0" fontId="50" fillId="17" borderId="0" xfId="18" applyFont="1" applyFill="1" applyAlignment="1">
      <alignment horizontal="right" wrapText="1"/>
    </xf>
    <xf numFmtId="0" fontId="41" fillId="0" borderId="0" xfId="18" applyFont="1" applyAlignment="1">
      <alignment horizontal="left" vertical="top"/>
    </xf>
    <xf numFmtId="167" fontId="45" fillId="0" borderId="0" xfId="18" applyNumberFormat="1" applyFont="1" applyAlignment="1">
      <alignment horizontal="right" vertical="top" wrapText="1"/>
    </xf>
    <xf numFmtId="167" fontId="41" fillId="0" borderId="3" xfId="18" applyNumberFormat="1" applyFont="1" applyBorder="1" applyAlignment="1">
      <alignment horizontal="right" vertical="top" wrapText="1"/>
    </xf>
    <xf numFmtId="167" fontId="41" fillId="0" borderId="0" xfId="18" applyNumberFormat="1" applyFont="1" applyAlignment="1">
      <alignment horizontal="right" vertical="top" wrapText="1"/>
    </xf>
    <xf numFmtId="167" fontId="51" fillId="0" borderId="3" xfId="18" applyNumberFormat="1" applyFont="1" applyBorder="1" applyAlignment="1">
      <alignment horizontal="right" vertical="top" wrapText="1"/>
    </xf>
    <xf numFmtId="168" fontId="45" fillId="0" borderId="0" xfId="18" applyNumberFormat="1" applyFont="1" applyAlignment="1">
      <alignment horizontal="right" vertical="top" wrapText="1"/>
    </xf>
    <xf numFmtId="169" fontId="45" fillId="0" borderId="0" xfId="18" applyNumberFormat="1" applyFont="1" applyAlignment="1">
      <alignment horizontal="right" vertical="top" wrapText="1"/>
    </xf>
    <xf numFmtId="170" fontId="45" fillId="0" borderId="0" xfId="18" applyNumberFormat="1" applyFont="1" applyAlignment="1">
      <alignment horizontal="right" vertical="top" wrapText="1"/>
    </xf>
    <xf numFmtId="171" fontId="45" fillId="0" borderId="0" xfId="18" applyNumberFormat="1" applyFont="1" applyAlignment="1">
      <alignment horizontal="right" vertical="top" wrapText="1"/>
    </xf>
    <xf numFmtId="172" fontId="45" fillId="0" borderId="0" xfId="18" applyNumberFormat="1" applyFont="1" applyAlignment="1">
      <alignment horizontal="right" vertical="top" wrapText="1"/>
    </xf>
    <xf numFmtId="49" fontId="45" fillId="0" borderId="0" xfId="18" applyNumberFormat="1" applyFont="1" applyAlignment="1">
      <alignment horizontal="right" vertical="top" wrapText="1"/>
    </xf>
    <xf numFmtId="0" fontId="42" fillId="0" borderId="0" xfId="18" applyFont="1" applyAlignment="1">
      <alignment vertical="top" wrapText="1"/>
    </xf>
    <xf numFmtId="0" fontId="45" fillId="0" borderId="0" xfId="18" applyFont="1" applyAlignment="1">
      <alignment horizontal="center" vertical="center"/>
    </xf>
    <xf numFmtId="172" fontId="49" fillId="17" borderId="0" xfId="18" applyNumberFormat="1" applyFont="1" applyFill="1" applyAlignment="1">
      <alignment horizontal="right" wrapText="1"/>
    </xf>
    <xf numFmtId="167" fontId="52" fillId="0" borderId="0" xfId="18" applyNumberFormat="1" applyFont="1" applyAlignment="1">
      <alignment horizontal="right" vertical="top" wrapText="1"/>
    </xf>
    <xf numFmtId="167" fontId="51" fillId="0" borderId="0" xfId="18" applyNumberFormat="1" applyFont="1" applyAlignment="1">
      <alignment horizontal="right" vertical="top" wrapText="1"/>
    </xf>
    <xf numFmtId="173" fontId="45" fillId="0" borderId="0" xfId="18" applyNumberFormat="1" applyFont="1" applyAlignment="1">
      <alignment horizontal="right" vertical="top" wrapText="1"/>
    </xf>
    <xf numFmtId="0" fontId="49" fillId="17" borderId="0" xfId="18" applyFont="1" applyFill="1"/>
    <xf numFmtId="0" fontId="45" fillId="0" borderId="0" xfId="18" applyFont="1" applyAlignment="1">
      <alignment horizontal="center" vertical="center" wrapText="1"/>
    </xf>
    <xf numFmtId="0" fontId="53" fillId="0" borderId="0" xfId="18" applyFont="1"/>
    <xf numFmtId="0" fontId="54" fillId="16" borderId="0" xfId="18" applyFont="1" applyFill="1"/>
    <xf numFmtId="0" fontId="55" fillId="17" borderId="0" xfId="18" applyFont="1" applyFill="1"/>
    <xf numFmtId="0" fontId="56" fillId="0" borderId="0" xfId="19" applyFont="1" applyAlignment="1"/>
    <xf numFmtId="0" fontId="57" fillId="16" borderId="0" xfId="18" applyFont="1" applyFill="1" applyAlignment="1">
      <alignment horizontal="left"/>
    </xf>
    <xf numFmtId="0" fontId="58" fillId="17" borderId="0" xfId="18" applyFont="1" applyFill="1" applyAlignment="1">
      <alignment horizontal="right"/>
    </xf>
    <xf numFmtId="0" fontId="41" fillId="0" borderId="0" xfId="18" applyFont="1" applyAlignment="1">
      <alignment horizontal="left"/>
    </xf>
    <xf numFmtId="0" fontId="49" fillId="17" borderId="0" xfId="18" applyFont="1" applyFill="1" applyAlignment="1">
      <alignment horizontal="right"/>
    </xf>
    <xf numFmtId="172" fontId="49" fillId="17" borderId="0" xfId="18" applyNumberFormat="1" applyFont="1" applyFill="1" applyAlignment="1">
      <alignment horizontal="right"/>
    </xf>
    <xf numFmtId="0" fontId="41" fillId="0" borderId="0" xfId="18" applyFont="1" applyAlignment="1">
      <alignment horizontal="right"/>
    </xf>
    <xf numFmtId="174" fontId="45" fillId="0" borderId="0" xfId="18" applyNumberFormat="1" applyFont="1" applyAlignment="1">
      <alignment horizontal="right"/>
    </xf>
    <xf numFmtId="174" fontId="42" fillId="0" borderId="0" xfId="18" applyNumberFormat="1" applyFont="1" applyAlignment="1">
      <alignment horizontal="right"/>
    </xf>
    <xf numFmtId="0" fontId="42" fillId="0" borderId="0" xfId="18" applyFont="1" applyAlignment="1">
      <alignment horizontal="left"/>
    </xf>
    <xf numFmtId="0" fontId="42" fillId="0" borderId="0" xfId="18" applyFont="1" applyAlignment="1">
      <alignment horizontal="right" wrapText="1"/>
    </xf>
    <xf numFmtId="0" fontId="42" fillId="0" borderId="0" xfId="18" applyFont="1" applyAlignment="1">
      <alignment wrapText="1"/>
    </xf>
    <xf numFmtId="0" fontId="60" fillId="0" borderId="0" xfId="0" applyFont="1"/>
    <xf numFmtId="0" fontId="26" fillId="0" borderId="0" xfId="0" applyFont="1"/>
    <xf numFmtId="6" fontId="62" fillId="0" borderId="0" xfId="0" applyNumberFormat="1" applyFont="1"/>
    <xf numFmtId="0" fontId="24" fillId="0" borderId="0" xfId="0" applyFont="1"/>
    <xf numFmtId="10" fontId="23" fillId="0" borderId="0" xfId="0" applyNumberFormat="1" applyFont="1"/>
    <xf numFmtId="6" fontId="23" fillId="0" borderId="0" xfId="0" applyNumberFormat="1" applyFont="1"/>
    <xf numFmtId="6" fontId="24" fillId="0" borderId="0" xfId="0" applyNumberFormat="1" applyFont="1"/>
    <xf numFmtId="0" fontId="64" fillId="0" borderId="0" xfId="0" applyFont="1"/>
    <xf numFmtId="10" fontId="64" fillId="0" borderId="0" xfId="0" applyNumberFormat="1" applyFont="1"/>
    <xf numFmtId="0" fontId="68" fillId="0" borderId="0" xfId="0" applyFont="1" applyAlignment="1">
      <alignment horizontal="left" vertical="top" wrapText="1"/>
    </xf>
    <xf numFmtId="10" fontId="21" fillId="0" borderId="0" xfId="20" applyNumberFormat="1" applyFont="1"/>
    <xf numFmtId="10" fontId="0" fillId="0" borderId="0" xfId="20" applyNumberFormat="1" applyFont="1"/>
    <xf numFmtId="0" fontId="22" fillId="8" borderId="5" xfId="0" applyFont="1" applyFill="1" applyBorder="1"/>
    <xf numFmtId="0" fontId="21" fillId="0" borderId="0" xfId="21" applyFont="1"/>
    <xf numFmtId="0" fontId="30" fillId="20" borderId="0" xfId="21" applyFont="1" applyFill="1" applyAlignment="1">
      <alignment horizontal="left" vertical="center"/>
    </xf>
    <xf numFmtId="0" fontId="21" fillId="0" borderId="5" xfId="21" applyFont="1" applyBorder="1"/>
    <xf numFmtId="0" fontId="24" fillId="0" borderId="0" xfId="21" applyFont="1" applyAlignment="1">
      <alignment horizontal="left"/>
    </xf>
    <xf numFmtId="10" fontId="21" fillId="0" borderId="5" xfId="20" applyNumberFormat="1" applyFont="1" applyBorder="1"/>
    <xf numFmtId="10" fontId="21" fillId="0" borderId="0" xfId="20" applyNumberFormat="1" applyFont="1" applyBorder="1"/>
    <xf numFmtId="0" fontId="26" fillId="0" borderId="0" xfId="21" applyFont="1" applyAlignment="1">
      <alignment horizontal="left" indent="1"/>
    </xf>
    <xf numFmtId="0" fontId="21" fillId="21" borderId="0" xfId="21" applyFont="1" applyFill="1"/>
    <xf numFmtId="0" fontId="21" fillId="21" borderId="5" xfId="21" applyFont="1" applyFill="1" applyBorder="1"/>
    <xf numFmtId="9" fontId="21" fillId="0" borderId="0" xfId="21" applyNumberFormat="1" applyFont="1"/>
    <xf numFmtId="9" fontId="21" fillId="0" borderId="5" xfId="21" applyNumberFormat="1" applyFont="1" applyBorder="1"/>
    <xf numFmtId="0" fontId="24" fillId="0" borderId="0" xfId="21" applyFont="1" applyAlignment="1">
      <alignment horizontal="left" indent="1"/>
    </xf>
    <xf numFmtId="1" fontId="21" fillId="0" borderId="0" xfId="21" applyNumberFormat="1" applyFont="1"/>
    <xf numFmtId="1" fontId="21" fillId="0" borderId="5" xfId="21" applyNumberFormat="1" applyFont="1" applyBorder="1"/>
    <xf numFmtId="3" fontId="21" fillId="0" borderId="0" xfId="21" applyNumberFormat="1" applyFont="1"/>
    <xf numFmtId="3" fontId="21" fillId="0" borderId="5" xfId="21" applyNumberFormat="1" applyFont="1" applyBorder="1"/>
    <xf numFmtId="0" fontId="30" fillId="21" borderId="0" xfId="21" applyFont="1" applyFill="1" applyAlignment="1">
      <alignment horizontal="left" vertical="center"/>
    </xf>
    <xf numFmtId="1" fontId="21" fillId="21" borderId="0" xfId="21" applyNumberFormat="1" applyFont="1" applyFill="1"/>
    <xf numFmtId="0" fontId="30" fillId="13" borderId="0" xfId="21" applyFont="1" applyFill="1" applyAlignment="1">
      <alignment horizontal="left" vertical="center"/>
    </xf>
    <xf numFmtId="0" fontId="21" fillId="13" borderId="0" xfId="21" applyFont="1" applyFill="1"/>
    <xf numFmtId="0" fontId="21" fillId="13" borderId="5" xfId="21" applyFont="1" applyFill="1" applyBorder="1"/>
    <xf numFmtId="0" fontId="33" fillId="15" borderId="5" xfId="0" applyFont="1" applyFill="1" applyBorder="1"/>
    <xf numFmtId="0" fontId="21" fillId="10" borderId="5" xfId="0" applyFont="1" applyFill="1" applyBorder="1"/>
    <xf numFmtId="10" fontId="21" fillId="0" borderId="5" xfId="0" applyNumberFormat="1" applyFont="1" applyBorder="1"/>
    <xf numFmtId="9" fontId="21" fillId="0" borderId="6" xfId="0" applyNumberFormat="1" applyFont="1" applyBorder="1"/>
    <xf numFmtId="0" fontId="21" fillId="9" borderId="5" xfId="0" applyFont="1" applyFill="1" applyBorder="1"/>
    <xf numFmtId="0" fontId="21" fillId="0" borderId="5" xfId="0" applyFont="1" applyBorder="1"/>
    <xf numFmtId="0" fontId="21" fillId="0" borderId="6" xfId="0" applyFont="1" applyBorder="1"/>
    <xf numFmtId="166" fontId="24" fillId="0" borderId="5" xfId="17" applyNumberFormat="1" applyFont="1" applyBorder="1"/>
    <xf numFmtId="166" fontId="24" fillId="0" borderId="5" xfId="0" applyNumberFormat="1" applyFont="1" applyBorder="1"/>
    <xf numFmtId="166" fontId="24" fillId="0" borderId="6" xfId="0" applyNumberFormat="1" applyFont="1" applyBorder="1"/>
    <xf numFmtId="0" fontId="21" fillId="14" borderId="5" xfId="0" applyFont="1" applyFill="1" applyBorder="1"/>
    <xf numFmtId="166" fontId="21" fillId="9" borderId="5" xfId="0" applyNumberFormat="1" applyFont="1" applyFill="1" applyBorder="1"/>
    <xf numFmtId="166" fontId="21" fillId="10" borderId="5" xfId="0" applyNumberFormat="1" applyFont="1" applyFill="1" applyBorder="1"/>
    <xf numFmtId="166" fontId="21" fillId="0" borderId="5" xfId="17" applyNumberFormat="1" applyFont="1" applyBorder="1"/>
    <xf numFmtId="2" fontId="21" fillId="0" borderId="5" xfId="0" applyNumberFormat="1" applyFont="1" applyBorder="1"/>
    <xf numFmtId="166" fontId="21" fillId="0" borderId="6" xfId="17" applyNumberFormat="1" applyFont="1" applyBorder="1"/>
    <xf numFmtId="1" fontId="21" fillId="0" borderId="5" xfId="17" applyNumberFormat="1" applyFont="1" applyBorder="1"/>
    <xf numFmtId="1" fontId="21" fillId="0" borderId="5" xfId="0" applyNumberFormat="1" applyFont="1" applyBorder="1"/>
    <xf numFmtId="1" fontId="24" fillId="0" borderId="5" xfId="17" applyNumberFormat="1" applyFont="1" applyBorder="1"/>
    <xf numFmtId="166" fontId="25" fillId="12" borderId="6" xfId="0" applyNumberFormat="1" applyFont="1" applyFill="1" applyBorder="1"/>
    <xf numFmtId="166" fontId="25" fillId="0" borderId="5" xfId="0" applyNumberFormat="1" applyFont="1" applyBorder="1"/>
    <xf numFmtId="0" fontId="22" fillId="9" borderId="5" xfId="0" applyFont="1" applyFill="1" applyBorder="1"/>
    <xf numFmtId="165" fontId="21" fillId="0" borderId="5" xfId="0" applyNumberFormat="1" applyFont="1" applyBorder="1"/>
    <xf numFmtId="3" fontId="21" fillId="0" borderId="5" xfId="0" applyNumberFormat="1" applyFont="1" applyBorder="1"/>
    <xf numFmtId="166" fontId="26" fillId="12" borderId="6" xfId="17" applyNumberFormat="1" applyFont="1" applyFill="1" applyBorder="1"/>
    <xf numFmtId="165" fontId="24" fillId="0" borderId="5" xfId="0" applyNumberFormat="1" applyFont="1" applyBorder="1"/>
    <xf numFmtId="165" fontId="24" fillId="0" borderId="6" xfId="0" applyNumberFormat="1" applyFont="1" applyBorder="1"/>
    <xf numFmtId="0" fontId="32" fillId="11" borderId="5" xfId="0" applyFont="1" applyFill="1" applyBorder="1"/>
    <xf numFmtId="165" fontId="26" fillId="12" borderId="5" xfId="0" applyNumberFormat="1" applyFont="1" applyFill="1" applyBorder="1"/>
    <xf numFmtId="10" fontId="0" fillId="0" borderId="5" xfId="20" applyNumberFormat="1" applyFont="1" applyBorder="1"/>
    <xf numFmtId="1" fontId="0" fillId="0" borderId="0" xfId="21" applyNumberFormat="1" applyFont="1"/>
    <xf numFmtId="0" fontId="22" fillId="22" borderId="0" xfId="21" applyFont="1" applyFill="1"/>
    <xf numFmtId="1" fontId="22" fillId="22" borderId="0" xfId="21" applyNumberFormat="1" applyFont="1" applyFill="1"/>
    <xf numFmtId="1" fontId="17" fillId="22" borderId="0" xfId="21" applyNumberFormat="1" applyFont="1" applyFill="1"/>
    <xf numFmtId="0" fontId="11" fillId="0" borderId="0" xfId="0" applyFont="1" applyAlignment="1">
      <alignment horizontal="left" vertical="top"/>
    </xf>
    <xf numFmtId="165" fontId="70" fillId="0" borderId="0" xfId="0" applyNumberFormat="1" applyFont="1" applyAlignment="1">
      <alignment horizontal="left" vertical="top"/>
    </xf>
    <xf numFmtId="0" fontId="71" fillId="0" borderId="0" xfId="0" applyFont="1" applyAlignment="1">
      <alignment vertical="top"/>
    </xf>
    <xf numFmtId="0" fontId="0" fillId="0" borderId="0" xfId="0" applyAlignment="1">
      <alignment horizontal="left" vertical="top"/>
    </xf>
    <xf numFmtId="0" fontId="68" fillId="0" borderId="0" xfId="0" applyFont="1" applyAlignment="1">
      <alignment horizontal="left" vertical="top"/>
    </xf>
    <xf numFmtId="0" fontId="4" fillId="0" borderId="0" xfId="0" applyFont="1" applyAlignment="1">
      <alignment horizontal="left" vertical="center"/>
    </xf>
    <xf numFmtId="10" fontId="70" fillId="0" borderId="0" xfId="0" applyNumberFormat="1" applyFont="1" applyAlignment="1">
      <alignment horizontal="center" vertical="center"/>
    </xf>
    <xf numFmtId="0" fontId="4" fillId="0" borderId="0" xfId="0" applyFont="1" applyAlignment="1">
      <alignment horizontal="center" vertical="center"/>
    </xf>
    <xf numFmtId="3" fontId="70" fillId="0" borderId="0" xfId="0" applyNumberFormat="1" applyFont="1" applyAlignment="1">
      <alignment horizontal="center" vertical="center"/>
    </xf>
    <xf numFmtId="0" fontId="70" fillId="0" borderId="0" xfId="0" applyFont="1" applyAlignment="1">
      <alignment horizontal="center" vertical="center"/>
    </xf>
    <xf numFmtId="0" fontId="73" fillId="0" borderId="0" xfId="0" applyFont="1" applyAlignment="1">
      <alignment horizontal="left" vertical="center"/>
    </xf>
    <xf numFmtId="167" fontId="42" fillId="0" borderId="0" xfId="18" applyNumberFormat="1" applyFont="1"/>
    <xf numFmtId="10" fontId="4" fillId="0" borderId="0" xfId="0" applyNumberFormat="1" applyFont="1" applyAlignment="1">
      <alignment horizontal="center" vertical="center"/>
    </xf>
    <xf numFmtId="8" fontId="0" fillId="0" borderId="0" xfId="0" applyNumberFormat="1"/>
    <xf numFmtId="0" fontId="26" fillId="22" borderId="0" xfId="0" applyFont="1" applyFill="1"/>
    <xf numFmtId="6" fontId="26" fillId="22" borderId="0" xfId="0" applyNumberFormat="1" applyFont="1" applyFill="1"/>
    <xf numFmtId="0" fontId="74" fillId="0" borderId="0" xfId="0" applyFont="1"/>
    <xf numFmtId="0" fontId="75" fillId="24" borderId="0" xfId="0" applyFont="1" applyFill="1"/>
    <xf numFmtId="0" fontId="4" fillId="0" borderId="0" xfId="0" applyFont="1"/>
    <xf numFmtId="10" fontId="26" fillId="0" borderId="0" xfId="0" applyNumberFormat="1" applyFont="1"/>
    <xf numFmtId="0" fontId="59" fillId="0" borderId="0" xfId="0" applyFont="1"/>
    <xf numFmtId="0" fontId="65" fillId="22" borderId="0" xfId="0" applyFont="1" applyFill="1"/>
    <xf numFmtId="8" fontId="65" fillId="22" borderId="4" xfId="0" applyNumberFormat="1" applyFont="1" applyFill="1" applyBorder="1"/>
    <xf numFmtId="9" fontId="0" fillId="0" borderId="0" xfId="20" applyFont="1"/>
    <xf numFmtId="9" fontId="21" fillId="0" borderId="0" xfId="20" applyFont="1"/>
    <xf numFmtId="44" fontId="21" fillId="0" borderId="0" xfId="17" applyFont="1"/>
    <xf numFmtId="0" fontId="26" fillId="13" borderId="0" xfId="0" applyFont="1" applyFill="1"/>
    <xf numFmtId="6" fontId="26" fillId="13" borderId="4" xfId="0" applyNumberFormat="1" applyFont="1" applyFill="1" applyBorder="1"/>
    <xf numFmtId="6" fontId="26" fillId="13" borderId="0" xfId="0" applyNumberFormat="1" applyFont="1" applyFill="1"/>
    <xf numFmtId="0" fontId="26" fillId="29" borderId="0" xfId="0" applyFont="1" applyFill="1"/>
    <xf numFmtId="6" fontId="26" fillId="29" borderId="0" xfId="0" applyNumberFormat="1" applyFont="1" applyFill="1"/>
    <xf numFmtId="6" fontId="26" fillId="22" borderId="4" xfId="0" applyNumberFormat="1" applyFont="1" applyFill="1" applyBorder="1"/>
    <xf numFmtId="0" fontId="32" fillId="0" borderId="0" xfId="0" applyFont="1" applyAlignment="1">
      <alignment horizontal="left"/>
    </xf>
    <xf numFmtId="8" fontId="24" fillId="0" borderId="0" xfId="0" applyNumberFormat="1" applyFont="1"/>
    <xf numFmtId="8" fontId="24" fillId="13" borderId="0" xfId="0" applyNumberFormat="1" applyFont="1" applyFill="1"/>
    <xf numFmtId="8" fontId="24" fillId="26" borderId="0" xfId="0" applyNumberFormat="1" applyFont="1" applyFill="1"/>
    <xf numFmtId="8" fontId="24" fillId="26" borderId="5" xfId="0" applyNumberFormat="1" applyFont="1" applyFill="1" applyBorder="1"/>
    <xf numFmtId="8" fontId="66" fillId="13" borderId="0" xfId="0" applyNumberFormat="1" applyFont="1" applyFill="1"/>
    <xf numFmtId="8" fontId="24" fillId="13" borderId="5" xfId="0" applyNumberFormat="1" applyFont="1" applyFill="1" applyBorder="1"/>
    <xf numFmtId="8" fontId="24" fillId="27" borderId="0" xfId="0" applyNumberFormat="1" applyFont="1" applyFill="1"/>
    <xf numFmtId="8" fontId="24" fillId="27" borderId="5" xfId="0" applyNumberFormat="1" applyFont="1" applyFill="1" applyBorder="1"/>
    <xf numFmtId="8" fontId="24" fillId="0" borderId="2" xfId="0" applyNumberFormat="1" applyFont="1" applyBorder="1"/>
    <xf numFmtId="8" fontId="24" fillId="13" borderId="2" xfId="0" applyNumberFormat="1" applyFont="1" applyFill="1" applyBorder="1"/>
    <xf numFmtId="8" fontId="24" fillId="27" borderId="2" xfId="0" applyNumberFormat="1" applyFont="1" applyFill="1" applyBorder="1"/>
    <xf numFmtId="8" fontId="24" fillId="27" borderId="6" xfId="0" applyNumberFormat="1" applyFont="1" applyFill="1" applyBorder="1"/>
    <xf numFmtId="10" fontId="66" fillId="0" borderId="11" xfId="0" applyNumberFormat="1" applyFont="1" applyBorder="1"/>
    <xf numFmtId="10" fontId="66" fillId="13" borderId="11" xfId="0" applyNumberFormat="1" applyFont="1" applyFill="1" applyBorder="1"/>
    <xf numFmtId="10" fontId="66" fillId="0" borderId="12" xfId="0" applyNumberFormat="1" applyFont="1" applyBorder="1"/>
    <xf numFmtId="8" fontId="66" fillId="0" borderId="9" xfId="0" applyNumberFormat="1" applyFont="1" applyBorder="1"/>
    <xf numFmtId="10" fontId="66" fillId="0" borderId="13" xfId="0" applyNumberFormat="1" applyFont="1" applyBorder="1"/>
    <xf numFmtId="10" fontId="66" fillId="13" borderId="13" xfId="0" applyNumberFormat="1" applyFont="1" applyFill="1" applyBorder="1"/>
    <xf numFmtId="10" fontId="66" fillId="0" borderId="14" xfId="0" applyNumberFormat="1" applyFont="1" applyBorder="1"/>
    <xf numFmtId="0" fontId="32" fillId="0" borderId="0" xfId="0" applyFont="1"/>
    <xf numFmtId="0" fontId="79" fillId="30" borderId="0" xfId="0" applyFont="1" applyFill="1"/>
    <xf numFmtId="0" fontId="79" fillId="30" borderId="15" xfId="0" applyFont="1" applyFill="1" applyBorder="1" applyAlignment="1">
      <alignment horizontal="centerContinuous"/>
    </xf>
    <xf numFmtId="0" fontId="80" fillId="14" borderId="15" xfId="0" applyFont="1" applyFill="1" applyBorder="1" applyAlignment="1">
      <alignment horizontal="centerContinuous"/>
    </xf>
    <xf numFmtId="0" fontId="80" fillId="14" borderId="0" xfId="0" applyFont="1" applyFill="1" applyAlignment="1">
      <alignment horizontal="centerContinuous"/>
    </xf>
    <xf numFmtId="0" fontId="79" fillId="30" borderId="0" xfId="0" applyFont="1" applyFill="1" applyAlignment="1">
      <alignment horizontal="center"/>
    </xf>
    <xf numFmtId="0" fontId="79" fillId="30" borderId="0" xfId="0" applyFont="1" applyFill="1" applyAlignment="1">
      <alignment horizontal="center" vertical="center"/>
    </xf>
    <xf numFmtId="0" fontId="76" fillId="0" borderId="0" xfId="0" applyFont="1" applyAlignment="1">
      <alignment horizontal="center"/>
    </xf>
    <xf numFmtId="0" fontId="76" fillId="0" borderId="0" xfId="0" applyFont="1" applyAlignment="1">
      <alignment horizontal="center" vertical="center" wrapText="1"/>
    </xf>
    <xf numFmtId="0" fontId="76" fillId="0" borderId="0" xfId="0" applyFont="1" applyAlignment="1">
      <alignment horizontal="center" vertical="center"/>
    </xf>
    <xf numFmtId="0" fontId="81" fillId="31" borderId="0" xfId="0" applyFont="1" applyFill="1"/>
    <xf numFmtId="0" fontId="82" fillId="31" borderId="0" xfId="0" applyFont="1" applyFill="1" applyAlignment="1">
      <alignment horizontal="right"/>
    </xf>
    <xf numFmtId="43" fontId="82" fillId="31" borderId="0" xfId="22" applyFont="1" applyFill="1"/>
    <xf numFmtId="176" fontId="84" fillId="31" borderId="0" xfId="0" applyNumberFormat="1" applyFont="1" applyFill="1"/>
    <xf numFmtId="176" fontId="82" fillId="31" borderId="0" xfId="0" applyNumberFormat="1" applyFont="1" applyFill="1"/>
    <xf numFmtId="177" fontId="82" fillId="32" borderId="0" xfId="0" applyNumberFormat="1" applyFont="1" applyFill="1"/>
    <xf numFmtId="0" fontId="81" fillId="0" borderId="0" xfId="0" applyFont="1"/>
    <xf numFmtId="0" fontId="82" fillId="0" borderId="0" xfId="0" applyFont="1" applyAlignment="1">
      <alignment horizontal="right"/>
    </xf>
    <xf numFmtId="43" fontId="84" fillId="0" borderId="0" xfId="22" applyFont="1"/>
    <xf numFmtId="176" fontId="82" fillId="0" borderId="0" xfId="0" applyNumberFormat="1" applyFont="1"/>
    <xf numFmtId="177" fontId="82" fillId="0" borderId="0" xfId="0" applyNumberFormat="1" applyFont="1"/>
    <xf numFmtId="174" fontId="82" fillId="0" borderId="0" xfId="0" applyNumberFormat="1" applyFont="1"/>
    <xf numFmtId="43" fontId="85" fillId="0" borderId="0" xfId="22" applyFont="1"/>
    <xf numFmtId="176" fontId="84" fillId="0" borderId="0" xfId="0" applyNumberFormat="1" applyFont="1"/>
    <xf numFmtId="0" fontId="82" fillId="0" borderId="0" xfId="0" applyFont="1"/>
    <xf numFmtId="175" fontId="84" fillId="0" borderId="0" xfId="0" applyNumberFormat="1" applyFont="1"/>
    <xf numFmtId="0" fontId="82" fillId="31" borderId="0" xfId="0" applyFont="1" applyFill="1"/>
    <xf numFmtId="177" fontId="82" fillId="31" borderId="0" xfId="0" applyNumberFormat="1" applyFont="1" applyFill="1"/>
    <xf numFmtId="177" fontId="81" fillId="31" borderId="0" xfId="0" applyNumberFormat="1" applyFont="1" applyFill="1"/>
    <xf numFmtId="0" fontId="80" fillId="30" borderId="0" xfId="0" applyFont="1" applyFill="1"/>
    <xf numFmtId="178" fontId="82" fillId="0" borderId="0" xfId="0" applyNumberFormat="1" applyFont="1"/>
    <xf numFmtId="0" fontId="81" fillId="31" borderId="16" xfId="0" applyFont="1" applyFill="1" applyBorder="1"/>
    <xf numFmtId="178" fontId="81" fillId="31" borderId="16" xfId="0" applyNumberFormat="1" applyFont="1" applyFill="1" applyBorder="1"/>
    <xf numFmtId="176" fontId="86" fillId="31" borderId="16" xfId="0" applyNumberFormat="1" applyFont="1" applyFill="1" applyBorder="1"/>
    <xf numFmtId="175" fontId="81" fillId="31" borderId="16" xfId="0" applyNumberFormat="1" applyFont="1" applyFill="1" applyBorder="1"/>
    <xf numFmtId="176" fontId="83" fillId="0" borderId="0" xfId="0" applyNumberFormat="1" applyFont="1"/>
    <xf numFmtId="175" fontId="83" fillId="0" borderId="0" xfId="0" applyNumberFormat="1" applyFont="1"/>
    <xf numFmtId="175" fontId="87" fillId="31" borderId="0" xfId="23" applyNumberFormat="1" applyFont="1" applyFill="1"/>
    <xf numFmtId="43" fontId="87" fillId="0" borderId="0" xfId="23" applyNumberFormat="1" applyFont="1"/>
    <xf numFmtId="43" fontId="87" fillId="31" borderId="0" xfId="23" applyNumberFormat="1" applyFont="1" applyFill="1"/>
    <xf numFmtId="43" fontId="88" fillId="31" borderId="0" xfId="22" applyFont="1" applyFill="1"/>
    <xf numFmtId="2" fontId="87" fillId="31" borderId="0" xfId="23" applyNumberFormat="1" applyFont="1" applyFill="1" applyAlignment="1">
      <alignment horizontal="right"/>
    </xf>
    <xf numFmtId="2" fontId="87" fillId="0" borderId="0" xfId="23" applyNumberFormat="1" applyFont="1" applyAlignment="1">
      <alignment horizontal="right"/>
    </xf>
    <xf numFmtId="0" fontId="89" fillId="19" borderId="0" xfId="0" applyFont="1" applyFill="1" applyAlignment="1">
      <alignment horizontal="left" vertical="center"/>
    </xf>
    <xf numFmtId="0" fontId="22" fillId="0" borderId="2" xfId="0" applyFont="1" applyBorder="1"/>
    <xf numFmtId="44" fontId="0" fillId="0" borderId="0" xfId="17" applyFont="1"/>
    <xf numFmtId="0" fontId="0" fillId="0" borderId="10" xfId="0" applyBorder="1"/>
    <xf numFmtId="0" fontId="37" fillId="0" borderId="0" xfId="0" applyFont="1"/>
    <xf numFmtId="0" fontId="92" fillId="0" borderId="0" xfId="0" applyFont="1"/>
    <xf numFmtId="10" fontId="92" fillId="0" borderId="0" xfId="0" applyNumberFormat="1" applyFont="1"/>
    <xf numFmtId="0" fontId="91" fillId="0" borderId="0" xfId="0" applyFont="1"/>
    <xf numFmtId="0" fontId="17" fillId="8" borderId="0" xfId="0" applyFont="1" applyFill="1"/>
    <xf numFmtId="6" fontId="93" fillId="0" borderId="0" xfId="0" applyNumberFormat="1" applyFont="1"/>
    <xf numFmtId="0" fontId="94" fillId="15" borderId="0" xfId="0" applyFont="1" applyFill="1"/>
    <xf numFmtId="0" fontId="92" fillId="13" borderId="0" xfId="0" applyFont="1" applyFill="1"/>
    <xf numFmtId="6" fontId="92" fillId="13" borderId="0" xfId="0" applyNumberFormat="1" applyFont="1" applyFill="1"/>
    <xf numFmtId="6" fontId="4" fillId="0" borderId="0" xfId="0" applyNumberFormat="1" applyFont="1"/>
    <xf numFmtId="0" fontId="92" fillId="29" borderId="0" xfId="0" applyFont="1" applyFill="1"/>
    <xf numFmtId="6" fontId="92" fillId="29" borderId="0" xfId="0" applyNumberFormat="1" applyFont="1" applyFill="1"/>
    <xf numFmtId="0" fontId="92" fillId="13" borderId="4" xfId="0" applyFont="1" applyFill="1" applyBorder="1"/>
    <xf numFmtId="6" fontId="92" fillId="13" borderId="4" xfId="0" applyNumberFormat="1" applyFont="1" applyFill="1" applyBorder="1"/>
    <xf numFmtId="0" fontId="92" fillId="22" borderId="0" xfId="0" applyFont="1" applyFill="1"/>
    <xf numFmtId="6" fontId="92" fillId="22" borderId="0" xfId="0" applyNumberFormat="1" applyFont="1" applyFill="1"/>
    <xf numFmtId="0" fontId="95" fillId="0" borderId="0" xfId="0" applyFont="1"/>
    <xf numFmtId="0" fontId="96" fillId="0" borderId="0" xfId="0" applyFont="1"/>
    <xf numFmtId="10" fontId="96" fillId="0" borderId="0" xfId="0" applyNumberFormat="1" applyFont="1"/>
    <xf numFmtId="6" fontId="92" fillId="22" borderId="4" xfId="0" applyNumberFormat="1" applyFont="1" applyFill="1" applyBorder="1"/>
    <xf numFmtId="0" fontId="97" fillId="22" borderId="0" xfId="0" applyFont="1" applyFill="1"/>
    <xf numFmtId="8" fontId="97" fillId="22" borderId="4" xfId="0" applyNumberFormat="1" applyFont="1" applyFill="1" applyBorder="1"/>
    <xf numFmtId="10" fontId="70" fillId="0" borderId="0" xfId="0" applyNumberFormat="1" applyFont="1"/>
    <xf numFmtId="0" fontId="99" fillId="0" borderId="0" xfId="0" applyFont="1"/>
    <xf numFmtId="0" fontId="98" fillId="0" borderId="0" xfId="0" applyFont="1"/>
    <xf numFmtId="44" fontId="21" fillId="0" borderId="0" xfId="17" applyFont="1" applyFill="1"/>
    <xf numFmtId="9" fontId="21" fillId="0" borderId="0" xfId="20" applyFont="1" applyFill="1"/>
    <xf numFmtId="9" fontId="60" fillId="0" borderId="0" xfId="20" applyFont="1"/>
    <xf numFmtId="44" fontId="60" fillId="0" borderId="0" xfId="0" applyNumberFormat="1" applyFont="1"/>
    <xf numFmtId="0" fontId="23" fillId="0" borderId="0" xfId="0" applyFont="1"/>
    <xf numFmtId="10" fontId="24" fillId="0" borderId="0" xfId="0" applyNumberFormat="1" applyFont="1"/>
    <xf numFmtId="0" fontId="61" fillId="23" borderId="0" xfId="0" applyFont="1" applyFill="1"/>
    <xf numFmtId="0" fontId="66" fillId="25" borderId="0" xfId="0" applyFont="1" applyFill="1"/>
    <xf numFmtId="10" fontId="66" fillId="25" borderId="0" xfId="0" applyNumberFormat="1" applyFont="1" applyFill="1"/>
    <xf numFmtId="0" fontId="32" fillId="15" borderId="0" xfId="0" applyFont="1" applyFill="1" applyAlignment="1">
      <alignment horizontal="center"/>
    </xf>
    <xf numFmtId="0" fontId="22" fillId="33" borderId="0" xfId="0" applyFont="1" applyFill="1"/>
    <xf numFmtId="10" fontId="22" fillId="34" borderId="19" xfId="0" applyNumberFormat="1" applyFont="1" applyFill="1" applyBorder="1"/>
    <xf numFmtId="10" fontId="22" fillId="35" borderId="0" xfId="0" applyNumberFormat="1" applyFont="1" applyFill="1"/>
    <xf numFmtId="179" fontId="0" fillId="0" borderId="0" xfId="20" applyNumberFormat="1" applyFont="1"/>
    <xf numFmtId="43" fontId="28" fillId="0" borderId="0" xfId="22" applyFont="1" applyAlignment="1">
      <alignment horizontal="left" indent="1"/>
    </xf>
    <xf numFmtId="0" fontId="0" fillId="38" borderId="0" xfId="0" applyFill="1"/>
    <xf numFmtId="0" fontId="22" fillId="38" borderId="0" xfId="0" applyFont="1" applyFill="1"/>
    <xf numFmtId="0" fontId="22" fillId="37" borderId="0" xfId="0" applyFont="1" applyFill="1"/>
    <xf numFmtId="0" fontId="28" fillId="0" borderId="0" xfId="0" applyFont="1" applyAlignment="1">
      <alignment horizontal="left" indent="1"/>
    </xf>
    <xf numFmtId="6" fontId="22" fillId="13" borderId="0" xfId="0" applyNumberFormat="1" applyFont="1" applyFill="1"/>
    <xf numFmtId="0" fontId="22" fillId="13" borderId="0" xfId="0" applyFont="1" applyFill="1"/>
    <xf numFmtId="0" fontId="22" fillId="36" borderId="0" xfId="0" applyFont="1" applyFill="1"/>
    <xf numFmtId="43" fontId="0" fillId="0" borderId="0" xfId="22" applyFont="1"/>
    <xf numFmtId="10" fontId="22" fillId="0" borderId="0" xfId="0" applyNumberFormat="1" applyFont="1"/>
    <xf numFmtId="6" fontId="21" fillId="0" borderId="0" xfId="0" applyNumberFormat="1" applyFont="1"/>
    <xf numFmtId="179" fontId="22" fillId="37" borderId="0" xfId="0" applyNumberFormat="1" applyFont="1" applyFill="1"/>
    <xf numFmtId="0" fontId="63" fillId="0" borderId="0" xfId="0" applyFont="1"/>
    <xf numFmtId="179" fontId="22" fillId="38" borderId="0" xfId="0" applyNumberFormat="1" applyFont="1" applyFill="1"/>
    <xf numFmtId="179" fontId="21" fillId="34" borderId="0" xfId="0" applyNumberFormat="1" applyFont="1" applyFill="1"/>
    <xf numFmtId="179" fontId="100" fillId="34" borderId="0" xfId="0" applyNumberFormat="1" applyFont="1" applyFill="1"/>
    <xf numFmtId="0" fontId="32" fillId="14" borderId="0" xfId="0" applyFont="1" applyFill="1"/>
    <xf numFmtId="0" fontId="22" fillId="0" borderId="0" xfId="0" applyFont="1" applyAlignment="1">
      <alignment horizontal="center"/>
    </xf>
    <xf numFmtId="0" fontId="22" fillId="8" borderId="0" xfId="0" applyFont="1" applyFill="1" applyAlignment="1">
      <alignment horizontal="center"/>
    </xf>
    <xf numFmtId="0" fontId="101" fillId="0" borderId="0" xfId="0" applyFont="1"/>
    <xf numFmtId="6" fontId="60" fillId="0" borderId="0" xfId="0" applyNumberFormat="1" applyFont="1"/>
    <xf numFmtId="180" fontId="60" fillId="0" borderId="0" xfId="0" applyNumberFormat="1" applyFont="1"/>
    <xf numFmtId="0" fontId="65" fillId="0" borderId="0" xfId="0" applyFont="1"/>
    <xf numFmtId="8" fontId="65" fillId="0" borderId="0" xfId="0" applyNumberFormat="1" applyFont="1"/>
    <xf numFmtId="9" fontId="60" fillId="0" borderId="0" xfId="20" applyFont="1" applyFill="1"/>
    <xf numFmtId="179" fontId="65" fillId="22" borderId="0" xfId="0" applyNumberFormat="1" applyFont="1" applyFill="1"/>
    <xf numFmtId="179" fontId="26" fillId="22" borderId="0" xfId="22" applyNumberFormat="1" applyFont="1" applyFill="1"/>
    <xf numFmtId="9" fontId="0" fillId="0" borderId="0" xfId="22" applyNumberFormat="1" applyFont="1"/>
    <xf numFmtId="0" fontId="22" fillId="0" borderId="10" xfId="0" applyFont="1" applyBorder="1"/>
    <xf numFmtId="44" fontId="22" fillId="22" borderId="10" xfId="17" applyFont="1" applyFill="1" applyBorder="1"/>
    <xf numFmtId="179" fontId="66" fillId="0" borderId="9" xfId="0" applyNumberFormat="1" applyFont="1" applyBorder="1" applyAlignment="1">
      <alignment wrapText="1"/>
    </xf>
    <xf numFmtId="10" fontId="66" fillId="0" borderId="13" xfId="0" applyNumberFormat="1" applyFont="1" applyBorder="1" applyAlignment="1">
      <alignment wrapText="1"/>
    </xf>
    <xf numFmtId="10" fontId="66" fillId="13" borderId="13" xfId="0" applyNumberFormat="1" applyFont="1" applyFill="1" applyBorder="1" applyAlignment="1">
      <alignment wrapText="1"/>
    </xf>
    <xf numFmtId="10" fontId="66" fillId="0" borderId="14" xfId="0" applyNumberFormat="1" applyFont="1" applyBorder="1" applyAlignment="1">
      <alignment wrapText="1"/>
    </xf>
    <xf numFmtId="180" fontId="102" fillId="0" borderId="20" xfId="0" applyNumberFormat="1" applyFont="1" applyBorder="1" applyAlignment="1">
      <alignment wrapText="1"/>
    </xf>
    <xf numFmtId="8" fontId="24" fillId="0" borderId="0" xfId="0" applyNumberFormat="1" applyFont="1" applyAlignment="1">
      <alignment wrapText="1"/>
    </xf>
    <xf numFmtId="8" fontId="24" fillId="13" borderId="0" xfId="0" applyNumberFormat="1" applyFont="1" applyFill="1" applyAlignment="1">
      <alignment wrapText="1"/>
    </xf>
    <xf numFmtId="8" fontId="24" fillId="26" borderId="0" xfId="0" applyNumberFormat="1" applyFont="1" applyFill="1" applyAlignment="1">
      <alignment wrapText="1"/>
    </xf>
    <xf numFmtId="8" fontId="24" fillId="26" borderId="5" xfId="0" applyNumberFormat="1" applyFont="1" applyFill="1" applyBorder="1" applyAlignment="1">
      <alignment wrapText="1"/>
    </xf>
    <xf numFmtId="180" fontId="102" fillId="0" borderId="11" xfId="0" applyNumberFormat="1" applyFont="1" applyBorder="1" applyAlignment="1">
      <alignment wrapText="1"/>
    </xf>
    <xf numFmtId="8" fontId="66" fillId="13" borderId="0" xfId="0" applyNumberFormat="1" applyFont="1" applyFill="1" applyAlignment="1">
      <alignment wrapText="1"/>
    </xf>
    <xf numFmtId="8" fontId="24" fillId="13" borderId="5" xfId="0" applyNumberFormat="1" applyFont="1" applyFill="1" applyBorder="1" applyAlignment="1">
      <alignment wrapText="1"/>
    </xf>
    <xf numFmtId="8" fontId="24" fillId="27" borderId="0" xfId="0" applyNumberFormat="1" applyFont="1" applyFill="1" applyAlignment="1">
      <alignment wrapText="1"/>
    </xf>
    <xf numFmtId="8" fontId="24" fillId="27" borderId="5" xfId="0" applyNumberFormat="1" applyFont="1" applyFill="1" applyBorder="1" applyAlignment="1">
      <alignment wrapText="1"/>
    </xf>
    <xf numFmtId="180" fontId="102" fillId="0" borderId="12" xfId="0" applyNumberFormat="1" applyFont="1" applyBorder="1" applyAlignment="1">
      <alignment wrapText="1"/>
    </xf>
    <xf numFmtId="8" fontId="24" fillId="0" borderId="2" xfId="0" applyNumberFormat="1" applyFont="1" applyBorder="1" applyAlignment="1">
      <alignment wrapText="1"/>
    </xf>
    <xf numFmtId="8" fontId="24" fillId="13" borderId="2" xfId="0" applyNumberFormat="1" applyFont="1" applyFill="1" applyBorder="1" applyAlignment="1">
      <alignment wrapText="1"/>
    </xf>
    <xf numFmtId="8" fontId="24" fillId="27" borderId="2" xfId="0" applyNumberFormat="1" applyFont="1" applyFill="1" applyBorder="1" applyAlignment="1">
      <alignment wrapText="1"/>
    </xf>
    <xf numFmtId="8" fontId="24" fillId="27" borderId="6" xfId="0" applyNumberFormat="1" applyFont="1" applyFill="1" applyBorder="1" applyAlignment="1">
      <alignment wrapText="1"/>
    </xf>
    <xf numFmtId="0" fontId="32" fillId="15" borderId="0" xfId="0" applyFont="1" applyFill="1" applyAlignment="1">
      <alignment horizontal="left"/>
    </xf>
    <xf numFmtId="10" fontId="22" fillId="0" borderId="0" xfId="20" applyNumberFormat="1" applyFont="1"/>
    <xf numFmtId="10" fontId="102" fillId="0" borderId="11" xfId="20" applyNumberFormat="1" applyFont="1" applyBorder="1" applyAlignment="1">
      <alignment wrapText="1"/>
    </xf>
    <xf numFmtId="10" fontId="102" fillId="0" borderId="20" xfId="20" applyNumberFormat="1" applyFont="1" applyBorder="1" applyAlignment="1">
      <alignment wrapText="1"/>
    </xf>
    <xf numFmtId="10" fontId="102" fillId="0" borderId="12" xfId="20" applyNumberFormat="1" applyFont="1" applyBorder="1" applyAlignment="1">
      <alignment wrapText="1"/>
    </xf>
    <xf numFmtId="8" fontId="24" fillId="0" borderId="5" xfId="0" applyNumberFormat="1" applyFont="1" applyBorder="1" applyAlignment="1">
      <alignment wrapText="1"/>
    </xf>
    <xf numFmtId="8" fontId="24" fillId="0" borderId="6" xfId="0" applyNumberFormat="1" applyFont="1" applyBorder="1" applyAlignment="1">
      <alignment wrapText="1"/>
    </xf>
    <xf numFmtId="8" fontId="24" fillId="12" borderId="0" xfId="0" applyNumberFormat="1" applyFont="1" applyFill="1" applyAlignment="1">
      <alignment wrapText="1"/>
    </xf>
    <xf numFmtId="8" fontId="24" fillId="12" borderId="2" xfId="0" applyNumberFormat="1" applyFont="1" applyFill="1" applyBorder="1" applyAlignment="1">
      <alignment wrapText="1"/>
    </xf>
    <xf numFmtId="8" fontId="24" fillId="0" borderId="5" xfId="0" applyNumberFormat="1" applyFont="1" applyBorder="1"/>
    <xf numFmtId="8" fontId="24" fillId="0" borderId="6" xfId="0" applyNumberFormat="1" applyFont="1" applyBorder="1"/>
    <xf numFmtId="8" fontId="24" fillId="12" borderId="0" xfId="0" applyNumberFormat="1" applyFont="1" applyFill="1"/>
    <xf numFmtId="8" fontId="24" fillId="12" borderId="2" xfId="0" applyNumberFormat="1" applyFont="1" applyFill="1" applyBorder="1"/>
    <xf numFmtId="8" fontId="23" fillId="0" borderId="0" xfId="0" applyNumberFormat="1" applyFont="1"/>
    <xf numFmtId="10" fontId="0" fillId="0" borderId="0" xfId="20" applyNumberFormat="1" applyFont="1" applyAlignment="1">
      <alignment horizontal="center"/>
    </xf>
    <xf numFmtId="6" fontId="0" fillId="0" borderId="0" xfId="0" applyNumberFormat="1"/>
    <xf numFmtId="0" fontId="105" fillId="0" borderId="0" xfId="0" applyFont="1" applyAlignment="1">
      <alignment horizontal="left" vertical="center"/>
    </xf>
    <xf numFmtId="0" fontId="106" fillId="39" borderId="0" xfId="0" applyFont="1" applyFill="1" applyAlignment="1">
      <alignment horizontal="center" vertical="center"/>
    </xf>
    <xf numFmtId="0" fontId="106" fillId="40" borderId="0" xfId="0" applyFont="1" applyFill="1" applyAlignment="1">
      <alignment horizontal="center" vertical="center"/>
    </xf>
    <xf numFmtId="0" fontId="107" fillId="0" borderId="0" xfId="0" applyFont="1" applyAlignment="1">
      <alignment horizontal="left" vertical="center"/>
    </xf>
    <xf numFmtId="3" fontId="107" fillId="0" borderId="0" xfId="0" applyNumberFormat="1" applyFont="1" applyAlignment="1">
      <alignment horizontal="left" vertical="center"/>
    </xf>
    <xf numFmtId="165" fontId="107" fillId="0" borderId="0" xfId="0" applyNumberFormat="1" applyFont="1" applyAlignment="1">
      <alignment horizontal="left" vertical="center"/>
    </xf>
    <xf numFmtId="0" fontId="106" fillId="39" borderId="0" xfId="0" applyFont="1" applyFill="1" applyAlignment="1">
      <alignment horizontal="left" vertical="center"/>
    </xf>
    <xf numFmtId="181" fontId="107" fillId="0" borderId="0" xfId="0" applyNumberFormat="1" applyFont="1" applyAlignment="1">
      <alignment horizontal="left" vertical="center"/>
    </xf>
    <xf numFmtId="164" fontId="107" fillId="0" borderId="0" xfId="0" applyNumberFormat="1" applyFont="1" applyAlignment="1">
      <alignment horizontal="left" vertical="center"/>
    </xf>
    <xf numFmtId="165" fontId="26" fillId="0" borderId="0" xfId="0" applyNumberFormat="1" applyFont="1"/>
    <xf numFmtId="8" fontId="108" fillId="41" borderId="9" xfId="0" applyNumberFormat="1" applyFont="1" applyFill="1" applyBorder="1"/>
    <xf numFmtId="10" fontId="108" fillId="41" borderId="13" xfId="0" applyNumberFormat="1" applyFont="1" applyFill="1" applyBorder="1"/>
    <xf numFmtId="10" fontId="108" fillId="41" borderId="14" xfId="0" applyNumberFormat="1" applyFont="1" applyFill="1" applyBorder="1"/>
    <xf numFmtId="0" fontId="109" fillId="0" borderId="0" xfId="0" applyFont="1" applyAlignment="1">
      <alignment horizontal="left" vertical="center"/>
    </xf>
    <xf numFmtId="0" fontId="109" fillId="0" borderId="0" xfId="0" applyFont="1"/>
    <xf numFmtId="0" fontId="109" fillId="0" borderId="0" xfId="0" applyFont="1" applyAlignment="1">
      <alignment horizontal="center" vertical="center"/>
    </xf>
    <xf numFmtId="181" fontId="109" fillId="0" borderId="0" xfId="0" applyNumberFormat="1" applyFont="1" applyAlignment="1">
      <alignment horizontal="center" vertical="center"/>
    </xf>
    <xf numFmtId="0" fontId="110" fillId="0" borderId="0" xfId="0" applyFont="1" applyAlignment="1">
      <alignment horizontal="left" vertical="center"/>
    </xf>
    <xf numFmtId="0" fontId="59" fillId="0" borderId="0" xfId="0" applyFont="1" applyAlignment="1">
      <alignment horizontal="left" vertical="center"/>
    </xf>
    <xf numFmtId="0" fontId="61" fillId="39" borderId="0" xfId="0" applyFont="1" applyFill="1" applyAlignment="1">
      <alignment horizontal="center" vertical="center"/>
    </xf>
    <xf numFmtId="0" fontId="26" fillId="0" borderId="0" xfId="0" applyFont="1" applyAlignment="1">
      <alignment horizontal="center" vertical="center"/>
    </xf>
    <xf numFmtId="181" fontId="24" fillId="0" borderId="0" xfId="0" applyNumberFormat="1" applyFont="1" applyAlignment="1">
      <alignment horizontal="center" vertical="center"/>
    </xf>
    <xf numFmtId="181" fontId="61" fillId="39" borderId="0" xfId="0" applyNumberFormat="1" applyFont="1" applyFill="1" applyAlignment="1">
      <alignment horizontal="center" vertical="center"/>
    </xf>
    <xf numFmtId="3" fontId="0" fillId="10" borderId="0" xfId="0" applyNumberFormat="1" applyFill="1"/>
    <xf numFmtId="165" fontId="23" fillId="34" borderId="0" xfId="0" applyNumberFormat="1" applyFont="1" applyFill="1"/>
    <xf numFmtId="165" fontId="23" fillId="34" borderId="2" xfId="0" applyNumberFormat="1" applyFont="1" applyFill="1" applyBorder="1"/>
    <xf numFmtId="0" fontId="112" fillId="0" borderId="0" xfId="0" applyFont="1" applyAlignment="1">
      <alignment horizontal="left" indent="1"/>
    </xf>
    <xf numFmtId="10" fontId="111" fillId="0" borderId="0" xfId="20" applyNumberFormat="1" applyFont="1"/>
    <xf numFmtId="10" fontId="24" fillId="13" borderId="0" xfId="0" applyNumberFormat="1" applyFont="1" applyFill="1"/>
    <xf numFmtId="10" fontId="66" fillId="13" borderId="0" xfId="0" applyNumberFormat="1" applyFont="1" applyFill="1"/>
    <xf numFmtId="10" fontId="24" fillId="13" borderId="5" xfId="0" applyNumberFormat="1" applyFont="1" applyFill="1" applyBorder="1"/>
    <xf numFmtId="10" fontId="24" fillId="0" borderId="2" xfId="0" applyNumberFormat="1" applyFont="1" applyBorder="1"/>
    <xf numFmtId="10" fontId="24" fillId="13" borderId="2" xfId="0" applyNumberFormat="1" applyFont="1" applyFill="1" applyBorder="1"/>
    <xf numFmtId="44" fontId="22" fillId="0" borderId="0" xfId="0" applyNumberFormat="1" applyFont="1"/>
    <xf numFmtId="9" fontId="22" fillId="0" borderId="0" xfId="20" applyFont="1" applyFill="1" applyBorder="1"/>
    <xf numFmtId="9" fontId="22" fillId="0" borderId="0" xfId="0" applyNumberFormat="1" applyFont="1"/>
    <xf numFmtId="44" fontId="0" fillId="0" borderId="0" xfId="17" applyFont="1" applyFill="1" applyBorder="1"/>
    <xf numFmtId="44" fontId="0" fillId="0" borderId="0" xfId="0" applyNumberFormat="1"/>
    <xf numFmtId="10" fontId="24" fillId="0" borderId="5" xfId="0" applyNumberFormat="1" applyFont="1" applyBorder="1"/>
    <xf numFmtId="10" fontId="24" fillId="0" borderId="6" xfId="0" applyNumberFormat="1" applyFont="1" applyBorder="1"/>
    <xf numFmtId="0" fontId="74" fillId="0" borderId="0" xfId="0" applyFont="1" applyAlignment="1">
      <alignment horizontal="center" vertical="center"/>
    </xf>
    <xf numFmtId="182" fontId="113" fillId="0" borderId="0" xfId="0" applyNumberFormat="1" applyFont="1" applyAlignment="1">
      <alignment horizontal="right" vertical="center"/>
    </xf>
    <xf numFmtId="0" fontId="114" fillId="0" borderId="0" xfId="0" applyFont="1" applyAlignment="1">
      <alignment horizontal="left" vertical="center"/>
    </xf>
    <xf numFmtId="182" fontId="113" fillId="42" borderId="0" xfId="0" applyNumberFormat="1" applyFont="1" applyFill="1" applyAlignment="1">
      <alignment horizontal="right" vertical="center"/>
    </xf>
    <xf numFmtId="183" fontId="113" fillId="0" borderId="0" xfId="0" applyNumberFormat="1" applyFont="1" applyAlignment="1">
      <alignment horizontal="right" vertical="center"/>
    </xf>
    <xf numFmtId="0" fontId="115" fillId="0" borderId="0" xfId="0" applyFont="1" applyAlignment="1">
      <alignment horizontal="left" vertical="center"/>
    </xf>
    <xf numFmtId="184" fontId="113" fillId="0" borderId="0" xfId="0" applyNumberFormat="1" applyFont="1" applyAlignment="1">
      <alignment horizontal="right" vertical="center"/>
    </xf>
    <xf numFmtId="185" fontId="113" fillId="0" borderId="0" xfId="0" applyNumberFormat="1" applyFont="1" applyAlignment="1">
      <alignment horizontal="right" vertical="center"/>
    </xf>
    <xf numFmtId="185" fontId="23" fillId="43" borderId="0" xfId="0" applyNumberFormat="1" applyFont="1" applyFill="1" applyAlignment="1">
      <alignment horizontal="right" vertical="center"/>
    </xf>
    <xf numFmtId="185" fontId="113" fillId="0" borderId="0" xfId="0" applyNumberFormat="1" applyFont="1"/>
    <xf numFmtId="183" fontId="24" fillId="0" borderId="0" xfId="0" applyNumberFormat="1" applyFont="1" applyAlignment="1">
      <alignment horizontal="right" vertical="center"/>
    </xf>
    <xf numFmtId="186" fontId="24" fillId="42" borderId="0" xfId="0" applyNumberFormat="1" applyFont="1" applyFill="1" applyAlignment="1">
      <alignment horizontal="right" vertical="center"/>
    </xf>
    <xf numFmtId="186" fontId="24" fillId="0" borderId="0" xfId="0" applyNumberFormat="1" applyFont="1" applyAlignment="1">
      <alignment horizontal="right" vertical="center"/>
    </xf>
    <xf numFmtId="183" fontId="23" fillId="43" borderId="0" xfId="0" applyNumberFormat="1" applyFont="1" applyFill="1" applyAlignment="1">
      <alignment horizontal="right" vertical="center"/>
    </xf>
    <xf numFmtId="184" fontId="23" fillId="43" borderId="0" xfId="0" applyNumberFormat="1" applyFont="1" applyFill="1" applyAlignment="1">
      <alignment horizontal="right" vertical="center"/>
    </xf>
    <xf numFmtId="184" fontId="24" fillId="0" borderId="0" xfId="0" applyNumberFormat="1" applyFont="1" applyAlignment="1">
      <alignment horizontal="right" vertical="center"/>
    </xf>
    <xf numFmtId="181" fontId="24" fillId="0" borderId="0" xfId="0" applyNumberFormat="1" applyFont="1" applyAlignment="1">
      <alignment horizontal="right" vertical="center"/>
    </xf>
    <xf numFmtId="187" fontId="24" fillId="42" borderId="0" xfId="0" applyNumberFormat="1" applyFont="1" applyFill="1" applyAlignment="1">
      <alignment horizontal="right" vertical="center"/>
    </xf>
    <xf numFmtId="0" fontId="63" fillId="0" borderId="0" xfId="0" applyFont="1" applyAlignment="1">
      <alignment horizontal="left" vertical="center" wrapText="1"/>
    </xf>
    <xf numFmtId="165" fontId="92" fillId="0" borderId="0" xfId="0" applyNumberFormat="1" applyFont="1"/>
    <xf numFmtId="0" fontId="17" fillId="8" borderId="0" xfId="0" applyFont="1" applyFill="1" applyAlignment="1">
      <alignment horizontal="center"/>
    </xf>
    <xf numFmtId="6" fontId="92" fillId="0" borderId="0" xfId="0" applyNumberFormat="1" applyFont="1"/>
    <xf numFmtId="8" fontId="92" fillId="29" borderId="0" xfId="0" applyNumberFormat="1" applyFont="1" applyFill="1"/>
    <xf numFmtId="0" fontId="0" fillId="13" borderId="0" xfId="0" applyFill="1"/>
    <xf numFmtId="0" fontId="17" fillId="13" borderId="0" xfId="0" applyFont="1" applyFill="1"/>
    <xf numFmtId="2" fontId="17" fillId="13" borderId="0" xfId="0" applyNumberFormat="1" applyFont="1" applyFill="1"/>
    <xf numFmtId="2" fontId="92" fillId="13" borderId="0" xfId="0" applyNumberFormat="1" applyFont="1" applyFill="1"/>
    <xf numFmtId="175" fontId="81" fillId="22" borderId="18" xfId="0" applyNumberFormat="1" applyFont="1" applyFill="1" applyBorder="1"/>
    <xf numFmtId="175" fontId="81" fillId="22" borderId="17" xfId="0" applyNumberFormat="1" applyFont="1" applyFill="1" applyBorder="1"/>
    <xf numFmtId="44" fontId="0" fillId="0" borderId="23" xfId="0" applyNumberFormat="1" applyBorder="1"/>
    <xf numFmtId="0" fontId="90" fillId="28" borderId="0" xfId="0" applyFont="1" applyFill="1"/>
    <xf numFmtId="0" fontId="90" fillId="0" borderId="0" xfId="0" applyFont="1"/>
    <xf numFmtId="0" fontId="17" fillId="45" borderId="0" xfId="0" applyFont="1" applyFill="1"/>
    <xf numFmtId="0" fontId="0" fillId="45" borderId="0" xfId="0" applyFill="1"/>
    <xf numFmtId="0" fontId="94" fillId="45" borderId="0" xfId="0" applyFont="1" applyFill="1"/>
    <xf numFmtId="0" fontId="17" fillId="8" borderId="24" xfId="0" applyFont="1" applyFill="1" applyBorder="1"/>
    <xf numFmtId="182" fontId="113" fillId="0" borderId="24" xfId="0" applyNumberFormat="1" applyFont="1" applyBorder="1" applyAlignment="1">
      <alignment horizontal="right" vertical="center"/>
    </xf>
    <xf numFmtId="182" fontId="113" fillId="42" borderId="24" xfId="0" applyNumberFormat="1" applyFont="1" applyFill="1" applyBorder="1" applyAlignment="1">
      <alignment horizontal="right" vertical="center"/>
    </xf>
    <xf numFmtId="0" fontId="0" fillId="0" borderId="24" xfId="0" applyBorder="1"/>
    <xf numFmtId="0" fontId="17" fillId="45" borderId="24" xfId="0" applyFont="1" applyFill="1" applyBorder="1"/>
    <xf numFmtId="183" fontId="113" fillId="0" borderId="24" xfId="0" applyNumberFormat="1" applyFont="1" applyBorder="1" applyAlignment="1">
      <alignment horizontal="right" vertical="center"/>
    </xf>
    <xf numFmtId="184" fontId="113" fillId="0" borderId="24" xfId="0" applyNumberFormat="1" applyFont="1" applyBorder="1" applyAlignment="1">
      <alignment horizontal="right" vertical="center"/>
    </xf>
    <xf numFmtId="185" fontId="113" fillId="0" borderId="24" xfId="0" applyNumberFormat="1" applyFont="1" applyBorder="1" applyAlignment="1">
      <alignment horizontal="right" vertical="center"/>
    </xf>
    <xf numFmtId="185" fontId="23" fillId="43" borderId="24" xfId="0" applyNumberFormat="1" applyFont="1" applyFill="1" applyBorder="1" applyAlignment="1">
      <alignment horizontal="right" vertical="center"/>
    </xf>
    <xf numFmtId="183" fontId="24" fillId="0" borderId="24" xfId="0" applyNumberFormat="1" applyFont="1" applyBorder="1" applyAlignment="1">
      <alignment horizontal="right" vertical="center"/>
    </xf>
    <xf numFmtId="186" fontId="24" fillId="42" borderId="24" xfId="0" applyNumberFormat="1" applyFont="1" applyFill="1" applyBorder="1" applyAlignment="1">
      <alignment horizontal="right" vertical="center"/>
    </xf>
    <xf numFmtId="186" fontId="24" fillId="0" borderId="24" xfId="0" applyNumberFormat="1" applyFont="1" applyBorder="1" applyAlignment="1">
      <alignment horizontal="right" vertical="center"/>
    </xf>
    <xf numFmtId="183" fontId="23" fillId="43" borderId="24" xfId="0" applyNumberFormat="1" applyFont="1" applyFill="1" applyBorder="1" applyAlignment="1">
      <alignment horizontal="right" vertical="center"/>
    </xf>
    <xf numFmtId="184" fontId="23" fillId="43" borderId="24" xfId="0" applyNumberFormat="1" applyFont="1" applyFill="1" applyBorder="1" applyAlignment="1">
      <alignment horizontal="right" vertical="center"/>
    </xf>
    <xf numFmtId="184" fontId="24" fillId="0" borderId="24" xfId="0" applyNumberFormat="1" applyFont="1" applyBorder="1" applyAlignment="1">
      <alignment horizontal="right" vertical="center"/>
    </xf>
    <xf numFmtId="181" fontId="24" fillId="0" borderId="24" xfId="0" applyNumberFormat="1" applyFont="1" applyBorder="1" applyAlignment="1">
      <alignment horizontal="right" vertical="center"/>
    </xf>
    <xf numFmtId="187" fontId="24" fillId="42" borderId="24" xfId="0" applyNumberFormat="1" applyFont="1" applyFill="1" applyBorder="1" applyAlignment="1">
      <alignment horizontal="right" vertical="center"/>
    </xf>
    <xf numFmtId="0" fontId="21" fillId="46" borderId="0" xfId="0" applyFont="1" applyFill="1" applyAlignment="1">
      <alignment horizontal="left"/>
    </xf>
    <xf numFmtId="0" fontId="122" fillId="0" borderId="0" xfId="0" applyFont="1"/>
    <xf numFmtId="0" fontId="122" fillId="0" borderId="2" xfId="0" applyFont="1" applyBorder="1"/>
    <xf numFmtId="0" fontId="125" fillId="0" borderId="0" xfId="0" applyFont="1"/>
    <xf numFmtId="14" fontId="122" fillId="0" borderId="0" xfId="0" applyNumberFormat="1" applyFont="1" applyAlignment="1">
      <alignment horizontal="left"/>
    </xf>
    <xf numFmtId="0" fontId="124" fillId="0" borderId="0" xfId="0" applyFont="1"/>
    <xf numFmtId="0" fontId="126" fillId="0" borderId="0" xfId="0" applyFont="1"/>
    <xf numFmtId="0" fontId="0" fillId="46" borderId="0" xfId="0" applyFill="1" applyAlignment="1">
      <alignment horizontal="left"/>
    </xf>
    <xf numFmtId="0" fontId="22" fillId="47" borderId="0" xfId="21" applyFont="1" applyFill="1"/>
    <xf numFmtId="1" fontId="0" fillId="21" borderId="5" xfId="21" applyNumberFormat="1" applyFont="1" applyFill="1" applyBorder="1"/>
    <xf numFmtId="1" fontId="17" fillId="22" borderId="5" xfId="21" applyNumberFormat="1" applyFont="1" applyFill="1" applyBorder="1"/>
    <xf numFmtId="44" fontId="0" fillId="0" borderId="9" xfId="17" applyFont="1" applyBorder="1"/>
    <xf numFmtId="0" fontId="32" fillId="14" borderId="9" xfId="0" applyFont="1" applyFill="1" applyBorder="1"/>
    <xf numFmtId="0" fontId="127" fillId="28" borderId="0" xfId="0" applyFont="1" applyFill="1"/>
    <xf numFmtId="0" fontId="0" fillId="14" borderId="0" xfId="0" applyFill="1"/>
    <xf numFmtId="0" fontId="94" fillId="48" borderId="0" xfId="0" applyFont="1" applyFill="1"/>
    <xf numFmtId="0" fontId="17" fillId="48" borderId="0" xfId="0" applyFont="1" applyFill="1"/>
    <xf numFmtId="0" fontId="0" fillId="48" borderId="0" xfId="0" applyFill="1"/>
    <xf numFmtId="0" fontId="17" fillId="48" borderId="24" xfId="0" applyFont="1" applyFill="1" applyBorder="1"/>
    <xf numFmtId="0" fontId="114" fillId="13" borderId="0" xfId="0" applyFont="1" applyFill="1" applyAlignment="1">
      <alignment horizontal="left" vertical="center"/>
    </xf>
    <xf numFmtId="0" fontId="74" fillId="13" borderId="0" xfId="0" applyFont="1" applyFill="1" applyAlignment="1">
      <alignment horizontal="center" vertical="center"/>
    </xf>
    <xf numFmtId="182" fontId="113" fillId="49" borderId="0" xfId="0" applyNumberFormat="1" applyFont="1" applyFill="1" applyAlignment="1">
      <alignment horizontal="right" vertical="center"/>
    </xf>
    <xf numFmtId="182" fontId="113" fillId="49" borderId="24" xfId="0" applyNumberFormat="1" applyFont="1" applyFill="1" applyBorder="1" applyAlignment="1">
      <alignment horizontal="right" vertical="center"/>
    </xf>
    <xf numFmtId="0" fontId="59" fillId="13" borderId="0" xfId="0" applyFont="1" applyFill="1" applyAlignment="1">
      <alignment horizontal="left" vertical="center"/>
    </xf>
    <xf numFmtId="185" fontId="24" fillId="13" borderId="0" xfId="0" applyNumberFormat="1" applyFont="1" applyFill="1" applyAlignment="1">
      <alignment horizontal="right" vertical="center"/>
    </xf>
    <xf numFmtId="185" fontId="24" fillId="13" borderId="24" xfId="0" applyNumberFormat="1" applyFont="1" applyFill="1" applyBorder="1" applyAlignment="1">
      <alignment horizontal="right" vertical="center"/>
    </xf>
    <xf numFmtId="0" fontId="115" fillId="13" borderId="0" xfId="0" applyFont="1" applyFill="1" applyAlignment="1">
      <alignment horizontal="left" vertical="center"/>
    </xf>
    <xf numFmtId="186" fontId="24" fillId="49" borderId="0" xfId="0" applyNumberFormat="1" applyFont="1" applyFill="1" applyAlignment="1">
      <alignment horizontal="right" vertical="center"/>
    </xf>
    <xf numFmtId="186" fontId="24" fillId="49" borderId="24" xfId="0" applyNumberFormat="1" applyFont="1" applyFill="1" applyBorder="1" applyAlignment="1">
      <alignment horizontal="right" vertical="center"/>
    </xf>
    <xf numFmtId="185" fontId="24" fillId="49" borderId="0" xfId="0" applyNumberFormat="1" applyFont="1" applyFill="1" applyAlignment="1">
      <alignment horizontal="right" vertical="center"/>
    </xf>
    <xf numFmtId="185" fontId="24" fillId="49" borderId="24" xfId="0" applyNumberFormat="1" applyFont="1" applyFill="1" applyBorder="1" applyAlignment="1">
      <alignment horizontal="right" vertical="center"/>
    </xf>
    <xf numFmtId="0" fontId="130" fillId="34" borderId="0" xfId="25" applyFont="1" applyFill="1"/>
    <xf numFmtId="0" fontId="130" fillId="34" borderId="0" xfId="0" applyFont="1" applyFill="1"/>
    <xf numFmtId="0" fontId="130" fillId="34" borderId="0" xfId="25" applyFont="1" applyFill="1" applyAlignment="1">
      <alignment horizontal="left" vertical="center"/>
    </xf>
    <xf numFmtId="0" fontId="130" fillId="14" borderId="0" xfId="25" applyFont="1" applyFill="1"/>
    <xf numFmtId="0" fontId="2" fillId="0" borderId="0" xfId="25" applyFont="1"/>
    <xf numFmtId="0" fontId="132" fillId="51" borderId="0" xfId="25" applyFont="1" applyFill="1" applyAlignment="1">
      <alignment horizontal="left" vertical="center"/>
    </xf>
    <xf numFmtId="0" fontId="133" fillId="51" borderId="0" xfId="25" applyFont="1" applyFill="1" applyAlignment="1">
      <alignment horizontal="right" vertical="center"/>
    </xf>
    <xf numFmtId="0" fontId="134" fillId="0" borderId="0" xfId="25" applyFont="1" applyAlignment="1">
      <alignment horizontal="left" vertical="center"/>
    </xf>
    <xf numFmtId="182" fontId="135" fillId="0" borderId="25" xfId="25" applyNumberFormat="1" applyFont="1" applyBorder="1" applyAlignment="1">
      <alignment horizontal="right" vertical="center"/>
    </xf>
    <xf numFmtId="188" fontId="136" fillId="0" borderId="0" xfId="25" applyNumberFormat="1" applyFont="1" applyAlignment="1">
      <alignment horizontal="right" vertical="center"/>
    </xf>
    <xf numFmtId="188" fontId="137" fillId="0" borderId="0" xfId="25" applyNumberFormat="1" applyFont="1" applyAlignment="1">
      <alignment horizontal="right" vertical="center"/>
    </xf>
    <xf numFmtId="0" fontId="138" fillId="0" borderId="0" xfId="25" applyFont="1" applyAlignment="1">
      <alignment horizontal="left" vertical="center"/>
    </xf>
    <xf numFmtId="182" fontId="136" fillId="0" borderId="0" xfId="25" applyNumberFormat="1" applyFont="1" applyAlignment="1">
      <alignment horizontal="right" vertical="center"/>
    </xf>
    <xf numFmtId="182" fontId="138" fillId="0" borderId="0" xfId="25" applyNumberFormat="1" applyFont="1" applyAlignment="1">
      <alignment horizontal="right" vertical="center"/>
    </xf>
    <xf numFmtId="182" fontId="139" fillId="0" borderId="25" xfId="25" applyNumberFormat="1" applyFont="1" applyBorder="1" applyAlignment="1">
      <alignment horizontal="right" vertical="center"/>
    </xf>
    <xf numFmtId="182" fontId="134" fillId="0" borderId="25" xfId="25" applyNumberFormat="1" applyFont="1" applyBorder="1" applyAlignment="1">
      <alignment horizontal="right" vertical="center"/>
    </xf>
    <xf numFmtId="185" fontId="138" fillId="0" borderId="0" xfId="25" applyNumberFormat="1" applyFont="1" applyAlignment="1">
      <alignment horizontal="right" vertical="center"/>
    </xf>
    <xf numFmtId="182" fontId="140" fillId="0" borderId="0" xfId="25" applyNumberFormat="1" applyFont="1" applyAlignment="1">
      <alignment horizontal="right" vertical="center"/>
    </xf>
    <xf numFmtId="0" fontId="83" fillId="51" borderId="0" xfId="25" applyFont="1" applyFill="1" applyAlignment="1">
      <alignment horizontal="right" vertical="center"/>
    </xf>
    <xf numFmtId="185" fontId="136" fillId="0" borderId="0" xfId="25" applyNumberFormat="1" applyFont="1" applyAlignment="1">
      <alignment horizontal="right" vertical="center"/>
    </xf>
    <xf numFmtId="189" fontId="136" fillId="0" borderId="0" xfId="25" applyNumberFormat="1" applyFont="1" applyAlignment="1">
      <alignment horizontal="right" vertical="center"/>
    </xf>
    <xf numFmtId="190" fontId="141" fillId="0" borderId="25" xfId="25" applyNumberFormat="1" applyFont="1" applyBorder="1" applyAlignment="1">
      <alignment horizontal="right" vertical="center"/>
    </xf>
    <xf numFmtId="0" fontId="142" fillId="0" borderId="0" xfId="25" applyFont="1"/>
    <xf numFmtId="190" fontId="136" fillId="0" borderId="0" xfId="25" applyNumberFormat="1" applyFont="1" applyAlignment="1">
      <alignment horizontal="right" vertical="center"/>
    </xf>
    <xf numFmtId="0" fontId="143" fillId="0" borderId="0" xfId="25" applyFont="1" applyAlignment="1">
      <alignment horizontal="left" vertical="center"/>
    </xf>
    <xf numFmtId="0" fontId="144" fillId="0" borderId="0" xfId="25" applyFont="1" applyAlignment="1">
      <alignment horizontal="left" vertical="center"/>
    </xf>
    <xf numFmtId="0" fontId="145" fillId="50" borderId="0" xfId="25" applyFont="1" applyFill="1" applyAlignment="1">
      <alignment horizontal="left" vertical="center"/>
    </xf>
    <xf numFmtId="0" fontId="145" fillId="50" borderId="0" xfId="25" applyFont="1" applyFill="1" applyAlignment="1">
      <alignment horizontal="center" vertical="center"/>
    </xf>
    <xf numFmtId="0" fontId="122" fillId="34" borderId="0" xfId="25" applyFont="1" applyFill="1"/>
    <xf numFmtId="0" fontId="1" fillId="0" borderId="0" xfId="25" applyFont="1"/>
    <xf numFmtId="0" fontId="145" fillId="50" borderId="5" xfId="25" applyFont="1" applyFill="1" applyBorder="1" applyAlignment="1">
      <alignment horizontal="center" vertical="center"/>
    </xf>
    <xf numFmtId="0" fontId="133" fillId="51" borderId="5" xfId="25" applyFont="1" applyFill="1" applyBorder="1" applyAlignment="1">
      <alignment horizontal="right" vertical="center"/>
    </xf>
    <xf numFmtId="182" fontId="135" fillId="0" borderId="26" xfId="25" applyNumberFormat="1" applyFont="1" applyBorder="1" applyAlignment="1">
      <alignment horizontal="right" vertical="center"/>
    </xf>
    <xf numFmtId="188" fontId="136" fillId="0" borderId="5" xfId="25" applyNumberFormat="1" applyFont="1" applyBorder="1" applyAlignment="1">
      <alignment horizontal="right" vertical="center"/>
    </xf>
    <xf numFmtId="182" fontId="136" fillId="0" borderId="5" xfId="25" applyNumberFormat="1" applyFont="1" applyBorder="1" applyAlignment="1">
      <alignment horizontal="right" vertical="center"/>
    </xf>
    <xf numFmtId="182" fontId="139" fillId="0" borderId="26" xfId="25" applyNumberFormat="1" applyFont="1" applyBorder="1" applyAlignment="1">
      <alignment horizontal="right" vertical="center"/>
    </xf>
    <xf numFmtId="185" fontId="138" fillId="0" borderId="5" xfId="25" applyNumberFormat="1" applyFont="1" applyBorder="1" applyAlignment="1">
      <alignment horizontal="right" vertical="center"/>
    </xf>
    <xf numFmtId="182" fontId="134" fillId="0" borderId="26" xfId="25" applyNumberFormat="1" applyFont="1" applyBorder="1" applyAlignment="1">
      <alignment horizontal="right" vertical="center"/>
    </xf>
    <xf numFmtId="0" fontId="83" fillId="51" borderId="5" xfId="25" applyFont="1" applyFill="1" applyBorder="1" applyAlignment="1">
      <alignment horizontal="right" vertical="center"/>
    </xf>
    <xf numFmtId="185" fontId="136" fillId="0" borderId="5" xfId="25" applyNumberFormat="1" applyFont="1" applyBorder="1" applyAlignment="1">
      <alignment horizontal="right" vertical="center"/>
    </xf>
    <xf numFmtId="189" fontId="136" fillId="0" borderId="5" xfId="25" applyNumberFormat="1" applyFont="1" applyBorder="1" applyAlignment="1">
      <alignment horizontal="right" vertical="center"/>
    </xf>
    <xf numFmtId="190" fontId="141" fillId="0" borderId="26" xfId="25" applyNumberFormat="1" applyFont="1" applyBorder="1" applyAlignment="1">
      <alignment horizontal="right" vertical="center"/>
    </xf>
    <xf numFmtId="190" fontId="136" fillId="0" borderId="5" xfId="25" applyNumberFormat="1" applyFont="1" applyBorder="1" applyAlignment="1">
      <alignment horizontal="right" vertical="center"/>
    </xf>
    <xf numFmtId="0" fontId="2" fillId="0" borderId="5" xfId="25" applyFont="1" applyBorder="1"/>
    <xf numFmtId="10" fontId="130" fillId="34" borderId="0" xfId="0" applyNumberFormat="1" applyFont="1" applyFill="1"/>
    <xf numFmtId="0" fontId="29" fillId="0" borderId="0" xfId="0" applyFont="1"/>
    <xf numFmtId="0" fontId="146" fillId="14" borderId="21" xfId="0" applyFont="1" applyFill="1" applyBorder="1"/>
    <xf numFmtId="0" fontId="147" fillId="14" borderId="21" xfId="0" applyFont="1" applyFill="1" applyBorder="1"/>
    <xf numFmtId="0" fontId="117" fillId="0" borderId="22" xfId="0" applyFont="1" applyBorder="1"/>
    <xf numFmtId="3" fontId="117" fillId="0" borderId="22" xfId="0" applyNumberFormat="1" applyFont="1" applyBorder="1"/>
    <xf numFmtId="10" fontId="116" fillId="0" borderId="22" xfId="0" applyNumberFormat="1" applyFont="1" applyBorder="1"/>
    <xf numFmtId="2" fontId="118" fillId="0" borderId="22" xfId="0" applyNumberFormat="1" applyFont="1" applyBorder="1"/>
    <xf numFmtId="0" fontId="2" fillId="0" borderId="0" xfId="20" applyNumberFormat="1" applyFont="1"/>
    <xf numFmtId="191" fontId="2" fillId="0" borderId="5" xfId="20" applyNumberFormat="1" applyFont="1" applyBorder="1"/>
    <xf numFmtId="191" fontId="2" fillId="0" borderId="0" xfId="20" applyNumberFormat="1" applyFont="1"/>
    <xf numFmtId="0" fontId="1" fillId="0" borderId="0" xfId="0" applyFont="1"/>
    <xf numFmtId="0" fontId="20" fillId="0" borderId="0" xfId="0" applyFont="1"/>
    <xf numFmtId="6" fontId="20" fillId="0" borderId="0" xfId="0" applyNumberFormat="1" applyFont="1"/>
    <xf numFmtId="2" fontId="118" fillId="0" borderId="22" xfId="17" applyNumberFormat="1" applyFont="1" applyBorder="1"/>
    <xf numFmtId="10" fontId="148" fillId="0" borderId="22" xfId="0" applyNumberFormat="1" applyFont="1" applyBorder="1"/>
    <xf numFmtId="0" fontId="123" fillId="46" borderId="0" xfId="0" applyFont="1" applyFill="1" applyAlignment="1">
      <alignment horizontal="left" vertical="center"/>
    </xf>
    <xf numFmtId="0" fontId="124" fillId="0" borderId="2" xfId="0" applyFont="1" applyBorder="1"/>
    <xf numFmtId="0" fontId="122" fillId="0" borderId="2" xfId="0" applyFont="1" applyBorder="1"/>
    <xf numFmtId="0" fontId="125" fillId="0" borderId="0" xfId="0" applyFont="1"/>
    <xf numFmtId="0" fontId="122" fillId="0" borderId="0" xfId="0" applyFont="1"/>
    <xf numFmtId="0" fontId="72" fillId="13" borderId="0" xfId="0" applyFont="1" applyFill="1" applyAlignment="1">
      <alignment horizontal="left" vertical="top"/>
    </xf>
    <xf numFmtId="0" fontId="121" fillId="46" borderId="0" xfId="0" applyFont="1" applyFill="1" applyAlignment="1">
      <alignment horizontal="left" vertical="center"/>
    </xf>
    <xf numFmtId="0" fontId="119" fillId="0" borderId="0" xfId="0" applyFont="1" applyAlignment="1">
      <alignment horizontal="center" vertical="center"/>
    </xf>
    <xf numFmtId="0" fontId="120" fillId="46" borderId="0" xfId="21" applyFont="1" applyFill="1" applyAlignment="1">
      <alignment horizontal="left" vertical="center"/>
    </xf>
    <xf numFmtId="0" fontId="69" fillId="0" borderId="0" xfId="21" applyFont="1" applyAlignment="1">
      <alignment horizontal="left"/>
    </xf>
    <xf numFmtId="0" fontId="21" fillId="0" borderId="0" xfId="21" applyFont="1"/>
    <xf numFmtId="0" fontId="78" fillId="28" borderId="2" xfId="0" applyFont="1" applyFill="1" applyBorder="1"/>
    <xf numFmtId="0" fontId="59" fillId="18" borderId="0" xfId="0" applyFont="1" applyFill="1"/>
    <xf numFmtId="0" fontId="90" fillId="28" borderId="2" xfId="0" applyFont="1" applyFill="1" applyBorder="1"/>
    <xf numFmtId="0" fontId="91" fillId="18" borderId="0" xfId="0" applyFont="1" applyFill="1"/>
    <xf numFmtId="0" fontId="32" fillId="15" borderId="0" xfId="0" applyFont="1" applyFill="1" applyAlignment="1">
      <alignment horizontal="center"/>
    </xf>
    <xf numFmtId="0" fontId="94" fillId="15" borderId="0" xfId="0" applyFont="1" applyFill="1" applyAlignment="1">
      <alignment horizontal="center"/>
    </xf>
    <xf numFmtId="0" fontId="79" fillId="30" borderId="0" xfId="0" applyFont="1" applyFill="1" applyAlignment="1">
      <alignment horizontal="left"/>
    </xf>
    <xf numFmtId="0" fontId="90" fillId="28" borderId="0" xfId="0" applyFont="1" applyFill="1" applyAlignment="1">
      <alignment horizontal="left"/>
    </xf>
    <xf numFmtId="0" fontId="128" fillId="0" borderId="0" xfId="0" applyFont="1" applyAlignment="1">
      <alignment horizontal="left" vertical="top" wrapText="1"/>
    </xf>
    <xf numFmtId="0" fontId="32" fillId="0" borderId="0" xfId="0" applyFont="1" applyAlignment="1">
      <alignment horizontal="center"/>
    </xf>
    <xf numFmtId="0" fontId="131" fillId="28" borderId="0" xfId="0" applyFont="1" applyFill="1" applyAlignment="1">
      <alignment horizontal="center"/>
    </xf>
    <xf numFmtId="0" fontId="97" fillId="44" borderId="2" xfId="0" applyFont="1" applyFill="1" applyBorder="1"/>
    <xf numFmtId="0" fontId="90" fillId="28" borderId="0" xfId="0" applyFont="1" applyFill="1" applyAlignment="1">
      <alignment horizontal="center"/>
    </xf>
    <xf numFmtId="0" fontId="61" fillId="23" borderId="7" xfId="0" applyFont="1" applyFill="1" applyBorder="1"/>
    <xf numFmtId="0" fontId="61" fillId="23" borderId="8" xfId="0" applyFont="1" applyFill="1" applyBorder="1"/>
    <xf numFmtId="0" fontId="61" fillId="23" borderId="0" xfId="0" applyFont="1" applyFill="1"/>
  </cellXfs>
  <cellStyles count="26">
    <cellStyle name="ChartingText" xfId="1" xr:uid="{00000000-0005-0000-0000-000006000000}"/>
    <cellStyle name="CHPAboveAverage" xfId="2" xr:uid="{00000000-0005-0000-0000-000007000000}"/>
    <cellStyle name="ColumnHeaderNormal" xfId="3" xr:uid="{00000000-0005-0000-0000-000008000000}"/>
    <cellStyle name="Comma" xfId="22" builtinId="3"/>
    <cellStyle name="Currency" xfId="17" builtinId="4"/>
    <cellStyle name="Hyperlink" xfId="23" builtinId="8"/>
    <cellStyle name="Invisible" xfId="4" xr:uid="{00000000-0005-0000-0000-000009000000}"/>
    <cellStyle name="Invisible 2" xfId="19" xr:uid="{B24C4B96-3E7D-8F4E-9C47-B557965E6065}"/>
    <cellStyle name="NewColumnHeaderNormal" xfId="5" xr:uid="{00000000-0005-0000-0000-00000A000000}"/>
    <cellStyle name="NewSectionHeaderNormal" xfId="6" xr:uid="{00000000-0005-0000-0000-00000B000000}"/>
    <cellStyle name="NewTitleNormal" xfId="7" xr:uid="{00000000-0005-0000-0000-00000C000000}"/>
    <cellStyle name="Normal" xfId="0" builtinId="0"/>
    <cellStyle name="Normal 2" xfId="8" xr:uid="{00000000-0005-0000-0000-00000D000000}"/>
    <cellStyle name="Normal 2 2" xfId="18" xr:uid="{59AC94AF-1F6B-7441-997C-3AC17EBBE730}"/>
    <cellStyle name="Normal 3" xfId="21" xr:uid="{E726C2E8-3B45-5D41-9E75-3572A79AF598}"/>
    <cellStyle name="Normal 3 2" xfId="24" xr:uid="{F65D1DCC-4341-4793-A637-BEA49718E627}"/>
    <cellStyle name="Normal 4" xfId="25" xr:uid="{F1EADFA7-376F-964F-BA63-7061568A73B8}"/>
    <cellStyle name="Percent" xfId="20" builtinId="5"/>
    <cellStyle name="SectionHeaderNormal" xfId="9" xr:uid="{00000000-0005-0000-0000-00000E000000}"/>
    <cellStyle name="SubScript" xfId="10" xr:uid="{00000000-0005-0000-0000-00000F000000}"/>
    <cellStyle name="SuperScript" xfId="11" xr:uid="{00000000-0005-0000-0000-000010000000}"/>
    <cellStyle name="TextBold" xfId="12" xr:uid="{00000000-0005-0000-0000-000011000000}"/>
    <cellStyle name="TextItalic" xfId="13" xr:uid="{00000000-0005-0000-0000-000012000000}"/>
    <cellStyle name="TextNormal" xfId="14" xr:uid="{00000000-0005-0000-0000-000013000000}"/>
    <cellStyle name="TitleNormal" xfId="15" xr:uid="{00000000-0005-0000-0000-000014000000}"/>
    <cellStyle name="Total 2" xfId="16" xr:uid="{00000000-0005-0000-0000-00001500000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595959"/>
      <rgbColor rgb="FFF0F0F0"/>
      <rgbColor rgb="FFDAE3F3"/>
      <rgbColor rgb="FF660066"/>
      <rgbColor rgb="FFFF8080"/>
      <rgbColor rgb="FF0066CC"/>
      <rgbColor rgb="FFB4C7E7"/>
      <rgbColor rgb="FF000080"/>
      <rgbColor rgb="FFFF00FF"/>
      <rgbColor rgb="FFFFFF00"/>
      <rgbColor rgb="FF00FFFF"/>
      <rgbColor rgb="FF800080"/>
      <rgbColor rgb="FF800000"/>
      <rgbColor rgb="FF008080"/>
      <rgbColor rgb="FF0000FF"/>
      <rgbColor rgb="FF00CCFF"/>
      <rgbColor rgb="FFCCFFFF"/>
      <rgbColor rgb="FFCCFFCC"/>
      <rgbColor rgb="FFFFFF99"/>
      <rgbColor rgb="FFC8C8C8"/>
      <rgbColor rgb="FFFF99CC"/>
      <rgbColor rgb="FFCC99FF"/>
      <rgbColor rgb="FFFFCC99"/>
      <rgbColor rgb="FF4472C4"/>
      <rgbColor rgb="FF33CCCC"/>
      <rgbColor rgb="FF99CC00"/>
      <rgbColor rgb="FFFFCC00"/>
      <rgbColor rgb="FFFF9900"/>
      <rgbColor rgb="FFFF6600"/>
      <rgbColor rgb="FF646464"/>
      <rgbColor rgb="FF969696"/>
      <rgbColor rgb="FF003366"/>
      <rgbColor rgb="FF00B050"/>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2.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sharedStrings" Target="sharedStrings.xml"/><Relationship Id="rId8" Type="http://schemas.openxmlformats.org/officeDocument/2006/relationships/worksheet" Target="worksheets/sheet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a:lstStyle/>
          <a:p>
            <a:pPr>
              <a:defRPr sz="1800" b="1" strike="noStrike" spc="-1">
                <a:solidFill>
                  <a:srgbClr val="000000"/>
                </a:solidFill>
                <a:latin typeface="Calibri"/>
              </a:defRPr>
            </a:pPr>
            <a:r>
              <a:rPr lang="en-IN" sz="1800" b="1" strike="noStrike" spc="-1">
                <a:solidFill>
                  <a:srgbClr val="000000"/>
                </a:solidFill>
                <a:latin typeface="Calibri"/>
              </a:rPr>
              <a:t>Best Buy Revenue by Segment ($M)</a:t>
            </a:r>
          </a:p>
        </c:rich>
      </c:tx>
      <c:overlay val="0"/>
      <c:spPr>
        <a:noFill/>
        <a:ln w="0">
          <a:noFill/>
        </a:ln>
      </c:spPr>
    </c:title>
    <c:autoTitleDeleted val="0"/>
    <c:plotArea>
      <c:layout/>
      <c:barChart>
        <c:barDir val="col"/>
        <c:grouping val="stacked"/>
        <c:varyColors val="0"/>
        <c:ser>
          <c:idx val="0"/>
          <c:order val="0"/>
          <c:tx>
            <c:v>Computing &amp; Mobile</c:v>
          </c:tx>
          <c:spPr>
            <a:solidFill>
              <a:srgbClr val="1F3864"/>
            </a:solidFill>
            <a:ln w="0">
              <a:solidFill>
                <a:srgbClr val="1F3864"/>
              </a:solidFill>
            </a:ln>
          </c:spPr>
          <c:invertIfNegative val="0"/>
          <c:dLbls>
            <c:spPr>
              <a:noFill/>
              <a:ln>
                <a:noFill/>
              </a:ln>
              <a:effectLst/>
            </c:spPr>
            <c:txPr>
              <a:bodyPr wrap="square"/>
              <a:lstStyle/>
              <a:p>
                <a:pPr>
                  <a:defRPr sz="1000" b="0" strike="noStrike" spc="-1">
                    <a:solidFill>
                      <a:srgbClr val="000000"/>
                    </a:solidFill>
                    <a:latin typeface="Arial"/>
                  </a:defRPr>
                </a:pPr>
                <a:endParaRPr lang="en-US"/>
              </a:p>
            </c:txPr>
            <c:dLblPos val="ct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val>
            <c:numRef>
              <c:f>'Chart Data'!$B$4:$K$4</c:f>
              <c:numCache>
                <c:formatCode>#,##0</c:formatCode>
                <c:ptCount val="10"/>
                <c:pt idx="0">
                  <c:v>22478</c:v>
                </c:pt>
                <c:pt idx="1">
                  <c:v>19766</c:v>
                </c:pt>
                <c:pt idx="2">
                  <c:v>18482</c:v>
                </c:pt>
                <c:pt idx="3">
                  <c:v>18681</c:v>
                </c:pt>
                <c:pt idx="4">
                  <c:v>19714</c:v>
                </c:pt>
                <c:pt idx="5">
                  <c:v>20108.28</c:v>
                </c:pt>
                <c:pt idx="6">
                  <c:v>20912.611199999999</c:v>
                </c:pt>
                <c:pt idx="7">
                  <c:v>21539.989536000001</c:v>
                </c:pt>
                <c:pt idx="8">
                  <c:v>21970.789326720002</c:v>
                </c:pt>
                <c:pt idx="9">
                  <c:v>22410.2051132544</c:v>
                </c:pt>
              </c:numCache>
            </c:numRef>
          </c:val>
          <c:extLst>
            <c:ext xmlns:c16="http://schemas.microsoft.com/office/drawing/2014/chart" uri="{C3380CC4-5D6E-409C-BE32-E72D297353CC}">
              <c16:uniqueId val="{00000000-A131-4D0D-AA2C-B4A826565DEB}"/>
            </c:ext>
          </c:extLst>
        </c:ser>
        <c:ser>
          <c:idx val="1"/>
          <c:order val="1"/>
          <c:tx>
            <c:v>Consumer Electronics</c:v>
          </c:tx>
          <c:spPr>
            <a:solidFill>
              <a:srgbClr val="2E75B6"/>
            </a:solidFill>
            <a:ln w="0">
              <a:solidFill>
                <a:srgbClr val="2E75B6"/>
              </a:solidFill>
            </a:ln>
          </c:spPr>
          <c:invertIfNegative val="0"/>
          <c:dLbls>
            <c:spPr>
              <a:noFill/>
              <a:ln>
                <a:noFill/>
              </a:ln>
              <a:effectLst/>
            </c:spPr>
            <c:txPr>
              <a:bodyPr wrap="square"/>
              <a:lstStyle/>
              <a:p>
                <a:pPr>
                  <a:defRPr sz="1000" b="0" strike="noStrike" spc="-1">
                    <a:solidFill>
                      <a:srgbClr val="000000"/>
                    </a:solidFill>
                    <a:latin typeface="Arial"/>
                  </a:defRPr>
                </a:pPr>
                <a:endParaRPr lang="en-US"/>
              </a:p>
            </c:txPr>
            <c:dLblPos val="ct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val>
            <c:numRef>
              <c:f>'Chart Data'!$B$5:$K$5</c:f>
              <c:numCache>
                <c:formatCode>#,##0</c:formatCode>
                <c:ptCount val="10"/>
                <c:pt idx="0">
                  <c:v>16203</c:v>
                </c:pt>
                <c:pt idx="1">
                  <c:v>14094</c:v>
                </c:pt>
                <c:pt idx="2">
                  <c:v>12969</c:v>
                </c:pt>
                <c:pt idx="3">
                  <c:v>12065</c:v>
                </c:pt>
                <c:pt idx="4">
                  <c:v>11460</c:v>
                </c:pt>
                <c:pt idx="5">
                  <c:v>11230.8</c:v>
                </c:pt>
                <c:pt idx="6">
                  <c:v>11399.261999999999</c:v>
                </c:pt>
                <c:pt idx="7">
                  <c:v>11627.247239999999</c:v>
                </c:pt>
                <c:pt idx="8">
                  <c:v>11859.792184799999</c:v>
                </c:pt>
                <c:pt idx="9">
                  <c:v>12096.988028495998</c:v>
                </c:pt>
              </c:numCache>
            </c:numRef>
          </c:val>
          <c:extLst>
            <c:ext xmlns:c16="http://schemas.microsoft.com/office/drawing/2014/chart" uri="{C3380CC4-5D6E-409C-BE32-E72D297353CC}">
              <c16:uniqueId val="{00000001-A131-4D0D-AA2C-B4A826565DEB}"/>
            </c:ext>
          </c:extLst>
        </c:ser>
        <c:ser>
          <c:idx val="2"/>
          <c:order val="2"/>
          <c:tx>
            <c:v>Appliances</c:v>
          </c:tx>
          <c:spPr>
            <a:solidFill>
              <a:srgbClr val="17A589"/>
            </a:solidFill>
            <a:ln w="0">
              <a:solidFill>
                <a:srgbClr val="17A589"/>
              </a:solidFill>
            </a:ln>
          </c:spPr>
          <c:invertIfNegative val="0"/>
          <c:dLbls>
            <c:spPr>
              <a:noFill/>
              <a:ln>
                <a:noFill/>
              </a:ln>
              <a:effectLst/>
            </c:spPr>
            <c:txPr>
              <a:bodyPr wrap="square"/>
              <a:lstStyle/>
              <a:p>
                <a:pPr>
                  <a:defRPr sz="1000" b="0" strike="noStrike" spc="-1">
                    <a:solidFill>
                      <a:srgbClr val="000000"/>
                    </a:solidFill>
                    <a:latin typeface="Arial"/>
                  </a:defRPr>
                </a:pPr>
                <a:endParaRPr lang="en-US"/>
              </a:p>
            </c:txPr>
            <c:dLblPos val="ct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val>
            <c:numRef>
              <c:f>'Chart Data'!$B$6:$K$6</c:f>
              <c:numCache>
                <c:formatCode>#,##0</c:formatCode>
                <c:ptCount val="10"/>
                <c:pt idx="0">
                  <c:v>7167</c:v>
                </c:pt>
                <c:pt idx="1">
                  <c:v>6736</c:v>
                </c:pt>
                <c:pt idx="2">
                  <c:v>5804</c:v>
                </c:pt>
                <c:pt idx="3">
                  <c:v>4910</c:v>
                </c:pt>
                <c:pt idx="4">
                  <c:v>4469</c:v>
                </c:pt>
                <c:pt idx="5">
                  <c:v>4245.55</c:v>
                </c:pt>
                <c:pt idx="6">
                  <c:v>4245.55</c:v>
                </c:pt>
                <c:pt idx="7">
                  <c:v>4351.6887500000003</c:v>
                </c:pt>
                <c:pt idx="8">
                  <c:v>4482.2394125000001</c:v>
                </c:pt>
                <c:pt idx="9">
                  <c:v>4616.7065948750005</c:v>
                </c:pt>
              </c:numCache>
            </c:numRef>
          </c:val>
          <c:extLst>
            <c:ext xmlns:c16="http://schemas.microsoft.com/office/drawing/2014/chart" uri="{C3380CC4-5D6E-409C-BE32-E72D297353CC}">
              <c16:uniqueId val="{00000002-A131-4D0D-AA2C-B4A826565DEB}"/>
            </c:ext>
          </c:extLst>
        </c:ser>
        <c:ser>
          <c:idx val="3"/>
          <c:order val="3"/>
          <c:tx>
            <c:v>Entertainment</c:v>
          </c:tx>
          <c:spPr>
            <a:solidFill>
              <a:srgbClr val="E26B0A"/>
            </a:solidFill>
            <a:ln w="0">
              <a:solidFill>
                <a:srgbClr val="E26B0A"/>
              </a:solidFill>
            </a:ln>
          </c:spPr>
          <c:invertIfNegative val="0"/>
          <c:dLbls>
            <c:spPr>
              <a:noFill/>
              <a:ln>
                <a:noFill/>
              </a:ln>
              <a:effectLst/>
            </c:spPr>
            <c:txPr>
              <a:bodyPr wrap="square"/>
              <a:lstStyle/>
              <a:p>
                <a:pPr>
                  <a:defRPr sz="1000" b="0" strike="noStrike" spc="-1">
                    <a:solidFill>
                      <a:srgbClr val="000000"/>
                    </a:solidFill>
                    <a:latin typeface="Arial"/>
                  </a:defRPr>
                </a:pPr>
                <a:endParaRPr lang="en-US"/>
              </a:p>
            </c:txPr>
            <c:dLblPos val="ct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val>
            <c:numRef>
              <c:f>'Chart Data'!$B$7:$K$7</c:f>
              <c:numCache>
                <c:formatCode>#,##0</c:formatCode>
                <c:ptCount val="10"/>
                <c:pt idx="0">
                  <c:v>3275</c:v>
                </c:pt>
                <c:pt idx="1">
                  <c:v>3053</c:v>
                </c:pt>
                <c:pt idx="2">
                  <c:v>3363</c:v>
                </c:pt>
                <c:pt idx="3">
                  <c:v>2908</c:v>
                </c:pt>
                <c:pt idx="4">
                  <c:v>3092</c:v>
                </c:pt>
                <c:pt idx="5">
                  <c:v>3184.76</c:v>
                </c:pt>
                <c:pt idx="6">
                  <c:v>3264.3789999999999</c:v>
                </c:pt>
                <c:pt idx="7">
                  <c:v>3329.6665800000001</c:v>
                </c:pt>
                <c:pt idx="8">
                  <c:v>3396.2599116000001</c:v>
                </c:pt>
                <c:pt idx="9">
                  <c:v>3464.1851098320003</c:v>
                </c:pt>
              </c:numCache>
            </c:numRef>
          </c:val>
          <c:extLst>
            <c:ext xmlns:c16="http://schemas.microsoft.com/office/drawing/2014/chart" uri="{C3380CC4-5D6E-409C-BE32-E72D297353CC}">
              <c16:uniqueId val="{00000003-A131-4D0D-AA2C-B4A826565DEB}"/>
            </c:ext>
          </c:extLst>
        </c:ser>
        <c:ser>
          <c:idx val="4"/>
          <c:order val="4"/>
          <c:tx>
            <c:v>Services</c:v>
          </c:tx>
          <c:spPr>
            <a:solidFill>
              <a:srgbClr val="70AD47"/>
            </a:solidFill>
            <a:ln w="0">
              <a:solidFill>
                <a:srgbClr val="70AD47"/>
              </a:solidFill>
            </a:ln>
          </c:spPr>
          <c:invertIfNegative val="0"/>
          <c:dLbls>
            <c:spPr>
              <a:noFill/>
              <a:ln>
                <a:noFill/>
              </a:ln>
              <a:effectLst/>
            </c:spPr>
            <c:txPr>
              <a:bodyPr wrap="square"/>
              <a:lstStyle/>
              <a:p>
                <a:pPr>
                  <a:defRPr sz="1000" b="0" strike="noStrike" spc="-1">
                    <a:solidFill>
                      <a:srgbClr val="000000"/>
                    </a:solidFill>
                    <a:latin typeface="Arial"/>
                  </a:defRPr>
                </a:pPr>
                <a:endParaRPr lang="en-US"/>
              </a:p>
            </c:txPr>
            <c:dLblPos val="ct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val>
            <c:numRef>
              <c:f>'Chart Data'!$B$8:$K$8</c:f>
              <c:numCache>
                <c:formatCode>#,##0</c:formatCode>
                <c:ptCount val="10"/>
                <c:pt idx="0">
                  <c:v>2380</c:v>
                </c:pt>
                <c:pt idx="1">
                  <c:v>2332</c:v>
                </c:pt>
                <c:pt idx="2">
                  <c:v>2530</c:v>
                </c:pt>
                <c:pt idx="3">
                  <c:v>2631</c:v>
                </c:pt>
                <c:pt idx="4">
                  <c:v>2656</c:v>
                </c:pt>
                <c:pt idx="5">
                  <c:v>2762.2400000000002</c:v>
                </c:pt>
                <c:pt idx="6">
                  <c:v>2900.3520000000003</c:v>
                </c:pt>
                <c:pt idx="7">
                  <c:v>3045.3696000000004</c:v>
                </c:pt>
                <c:pt idx="8">
                  <c:v>3167.1843840000006</c:v>
                </c:pt>
                <c:pt idx="9">
                  <c:v>3293.8717593600009</c:v>
                </c:pt>
              </c:numCache>
            </c:numRef>
          </c:val>
          <c:extLst>
            <c:ext xmlns:c16="http://schemas.microsoft.com/office/drawing/2014/chart" uri="{C3380CC4-5D6E-409C-BE32-E72D297353CC}">
              <c16:uniqueId val="{00000004-A131-4D0D-AA2C-B4A826565DEB}"/>
            </c:ext>
          </c:extLst>
        </c:ser>
        <c:ser>
          <c:idx val="5"/>
          <c:order val="5"/>
          <c:tx>
            <c:v>Others</c:v>
          </c:tx>
          <c:spPr>
            <a:solidFill>
              <a:srgbClr val="595959"/>
            </a:solidFill>
            <a:ln w="0">
              <a:solidFill>
                <a:srgbClr val="595959"/>
              </a:solidFill>
            </a:ln>
          </c:spPr>
          <c:invertIfNegative val="0"/>
          <c:dLbls>
            <c:spPr>
              <a:noFill/>
              <a:ln>
                <a:noFill/>
              </a:ln>
              <a:effectLst/>
            </c:spPr>
            <c:txPr>
              <a:bodyPr wrap="square"/>
              <a:lstStyle/>
              <a:p>
                <a:pPr>
                  <a:defRPr sz="1000" b="0" strike="noStrike" spc="-1">
                    <a:solidFill>
                      <a:srgbClr val="000000"/>
                    </a:solidFill>
                    <a:latin typeface="Arial"/>
                  </a:defRPr>
                </a:pPr>
                <a:endParaRPr lang="en-US"/>
              </a:p>
            </c:txPr>
            <c:dLblPos val="ct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val>
            <c:numRef>
              <c:f>'Chart Data'!$B$9:$K$9</c:f>
              <c:numCache>
                <c:formatCode>#,##0</c:formatCode>
                <c:ptCount val="10"/>
                <c:pt idx="0">
                  <c:v>258</c:v>
                </c:pt>
                <c:pt idx="1">
                  <c:v>317</c:v>
                </c:pt>
                <c:pt idx="2">
                  <c:v>304</c:v>
                </c:pt>
                <c:pt idx="3">
                  <c:v>333</c:v>
                </c:pt>
                <c:pt idx="4">
                  <c:v>300</c:v>
                </c:pt>
                <c:pt idx="5">
                  <c:v>324</c:v>
                </c:pt>
                <c:pt idx="6">
                  <c:v>356.40000000000003</c:v>
                </c:pt>
                <c:pt idx="7">
                  <c:v>384.91200000000003</c:v>
                </c:pt>
                <c:pt idx="8">
                  <c:v>408.00672000000003</c:v>
                </c:pt>
                <c:pt idx="9">
                  <c:v>428.40705600000007</c:v>
                </c:pt>
              </c:numCache>
            </c:numRef>
          </c:val>
          <c:extLst>
            <c:ext xmlns:c16="http://schemas.microsoft.com/office/drawing/2014/chart" uri="{C3380CC4-5D6E-409C-BE32-E72D297353CC}">
              <c16:uniqueId val="{00000005-A131-4D0D-AA2C-B4A826565DEB}"/>
            </c:ext>
          </c:extLst>
        </c:ser>
        <c:dLbls>
          <c:showLegendKey val="0"/>
          <c:showVal val="0"/>
          <c:showCatName val="0"/>
          <c:showSerName val="0"/>
          <c:showPercent val="0"/>
          <c:showBubbleSize val="0"/>
        </c:dLbls>
        <c:gapWidth val="150"/>
        <c:overlap val="100"/>
        <c:axId val="37328848"/>
        <c:axId val="26981168"/>
      </c:barChart>
      <c:catAx>
        <c:axId val="37328848"/>
        <c:scaling>
          <c:orientation val="minMax"/>
        </c:scaling>
        <c:delete val="0"/>
        <c:axPos val="b"/>
        <c:title>
          <c:tx>
            <c:rich>
              <a:bodyPr rot="0"/>
              <a:lstStyle/>
              <a:p>
                <a:pPr>
                  <a:defRPr sz="1000" b="1" strike="noStrike" spc="-1">
                    <a:solidFill>
                      <a:srgbClr val="000000"/>
                    </a:solidFill>
                    <a:latin typeface="Calibri"/>
                  </a:defRPr>
                </a:pPr>
                <a:r>
                  <a:rPr lang="en-IN" sz="1000" b="1" strike="noStrike" spc="-1">
                    <a:solidFill>
                      <a:srgbClr val="000000"/>
                    </a:solidFill>
                    <a:latin typeface="Calibri"/>
                  </a:rPr>
                  <a:t>Fiscal Year</a:t>
                </a:r>
              </a:p>
            </c:rich>
          </c:tx>
          <c:overlay val="0"/>
          <c:spPr>
            <a:noFill/>
            <a:ln w="0">
              <a:noFill/>
            </a:ln>
          </c:spPr>
        </c:title>
        <c:numFmt formatCode="General" sourceLinked="0"/>
        <c:majorTickMark val="none"/>
        <c:minorTickMark val="none"/>
        <c:tickLblPos val="nextTo"/>
        <c:spPr>
          <a:ln w="0">
            <a:solidFill>
              <a:srgbClr val="B3B3B3"/>
            </a:solidFill>
          </a:ln>
        </c:spPr>
        <c:txPr>
          <a:bodyPr/>
          <a:lstStyle/>
          <a:p>
            <a:pPr>
              <a:defRPr sz="1000" b="0" strike="noStrike" spc="-1">
                <a:solidFill>
                  <a:srgbClr val="000000"/>
                </a:solidFill>
                <a:latin typeface="Calibri"/>
              </a:defRPr>
            </a:pPr>
            <a:endParaRPr lang="en-US"/>
          </a:p>
        </c:txPr>
        <c:crossAx val="26981168"/>
        <c:crosses val="autoZero"/>
        <c:auto val="1"/>
        <c:lblAlgn val="ctr"/>
        <c:lblOffset val="100"/>
        <c:noMultiLvlLbl val="0"/>
      </c:catAx>
      <c:valAx>
        <c:axId val="26981168"/>
        <c:scaling>
          <c:orientation val="minMax"/>
        </c:scaling>
        <c:delete val="0"/>
        <c:axPos val="l"/>
        <c:majorGridlines>
          <c:spPr>
            <a:ln w="0">
              <a:solidFill>
                <a:srgbClr val="B3B3B3"/>
              </a:solidFill>
            </a:ln>
          </c:spPr>
        </c:majorGridlines>
        <c:title>
          <c:tx>
            <c:rich>
              <a:bodyPr rot="-5400000"/>
              <a:lstStyle/>
              <a:p>
                <a:pPr>
                  <a:defRPr sz="1000" b="1" strike="noStrike" spc="-1">
                    <a:solidFill>
                      <a:srgbClr val="000000"/>
                    </a:solidFill>
                    <a:latin typeface="Calibri"/>
                  </a:defRPr>
                </a:pPr>
                <a:r>
                  <a:rPr lang="en-IN" sz="1000" b="1" strike="noStrike" spc="-1">
                    <a:solidFill>
                      <a:srgbClr val="000000"/>
                    </a:solidFill>
                    <a:latin typeface="Calibri"/>
                  </a:rPr>
                  <a:t>Revenue ($M)</a:t>
                </a:r>
              </a:p>
            </c:rich>
          </c:tx>
          <c:overlay val="0"/>
          <c:spPr>
            <a:noFill/>
            <a:ln w="0">
              <a:noFill/>
            </a:ln>
          </c:spPr>
        </c:title>
        <c:numFmt formatCode="#,##0" sourceLinked="0"/>
        <c:majorTickMark val="none"/>
        <c:minorTickMark val="none"/>
        <c:tickLblPos val="nextTo"/>
        <c:spPr>
          <a:ln w="0">
            <a:solidFill>
              <a:srgbClr val="B3B3B3"/>
            </a:solidFill>
          </a:ln>
        </c:spPr>
        <c:txPr>
          <a:bodyPr/>
          <a:lstStyle/>
          <a:p>
            <a:pPr>
              <a:defRPr sz="1000" b="0" strike="noStrike" spc="-1">
                <a:solidFill>
                  <a:srgbClr val="000000"/>
                </a:solidFill>
                <a:latin typeface="Calibri"/>
              </a:defRPr>
            </a:pPr>
            <a:endParaRPr lang="en-US"/>
          </a:p>
        </c:txPr>
        <c:crossAx val="37328848"/>
        <c:crosses val="autoZero"/>
        <c:crossBetween val="between"/>
      </c:valAx>
      <c:spPr>
        <a:noFill/>
        <a:ln w="0">
          <a:noFill/>
        </a:ln>
      </c:spPr>
    </c:plotArea>
    <c:legend>
      <c:legendPos val="r"/>
      <c:overlay val="0"/>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a:lstStyle/>
          <a:p>
            <a:pPr>
              <a:defRPr sz="1800" b="1" strike="noStrike" spc="-1">
                <a:solidFill>
                  <a:srgbClr val="000000"/>
                </a:solidFill>
                <a:latin typeface="Calibri"/>
              </a:defRPr>
            </a:pPr>
            <a:r>
              <a:rPr lang="en-IN" sz="1800" b="1" strike="noStrike" spc="-1">
                <a:solidFill>
                  <a:srgbClr val="000000"/>
                </a:solidFill>
                <a:latin typeface="Calibri"/>
              </a:rPr>
              <a:t>Operating Margin Journey</a:t>
            </a:r>
          </a:p>
        </c:rich>
      </c:tx>
      <c:overlay val="0"/>
      <c:spPr>
        <a:noFill/>
        <a:ln w="0">
          <a:noFill/>
        </a:ln>
      </c:spPr>
    </c:title>
    <c:autoTitleDeleted val="0"/>
    <c:plotArea>
      <c:layout/>
      <c:lineChart>
        <c:grouping val="standard"/>
        <c:varyColors val="0"/>
        <c:ser>
          <c:idx val="0"/>
          <c:order val="0"/>
          <c:tx>
            <c:v>Base Case</c:v>
          </c:tx>
          <c:spPr>
            <a:ln w="24840">
              <a:solidFill>
                <a:srgbClr val="1F3864"/>
              </a:solidFill>
              <a:round/>
            </a:ln>
          </c:spPr>
          <c:marker>
            <c:symbol val="none"/>
          </c:marker>
          <c:dLbls>
            <c:spPr>
              <a:noFill/>
              <a:ln>
                <a:noFill/>
              </a:ln>
              <a:effectLst/>
            </c:spPr>
            <c:txPr>
              <a:bodyPr wrap="square"/>
              <a:lstStyle/>
              <a:p>
                <a:pPr>
                  <a:defRPr sz="1000" b="0" strike="noStrike" spc="-1">
                    <a:solidFill>
                      <a:srgbClr val="000000"/>
                    </a:solidFill>
                    <a:latin typeface="Arial"/>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val>
            <c:numRef>
              <c:f>'Chart Data'!$B$14:$L$14</c:f>
              <c:numCache>
                <c:formatCode>0.0%</c:formatCode>
                <c:ptCount val="11"/>
                <c:pt idx="0">
                  <c:v>5.645127163471711E-2</c:v>
                </c:pt>
                <c:pt idx="1">
                  <c:v>5.8151890419427754E-2</c:v>
                </c:pt>
                <c:pt idx="2">
                  <c:v>4.1945656399844489E-2</c:v>
                </c:pt>
                <c:pt idx="3">
                  <c:v>3.979103378440578E-2</c:v>
                </c:pt>
                <c:pt idx="4">
                  <c:v>4.1803120785975728E-2</c:v>
                </c:pt>
                <c:pt idx="5">
                  <c:v>4.2479192151783356E-2</c:v>
                </c:pt>
                <c:pt idx="6">
                  <c:v>4.2999999999999997E-2</c:v>
                </c:pt>
                <c:pt idx="7">
                  <c:v>4.5999999999999999E-2</c:v>
                </c:pt>
                <c:pt idx="8">
                  <c:v>4.9000000000000002E-2</c:v>
                </c:pt>
                <c:pt idx="9">
                  <c:v>5.0999999999999997E-2</c:v>
                </c:pt>
                <c:pt idx="10">
                  <c:v>5.2999999999999999E-2</c:v>
                </c:pt>
              </c:numCache>
            </c:numRef>
          </c:val>
          <c:smooth val="1"/>
          <c:extLst>
            <c:ext xmlns:c16="http://schemas.microsoft.com/office/drawing/2014/chart" uri="{C3380CC4-5D6E-409C-BE32-E72D297353CC}">
              <c16:uniqueId val="{00000000-8096-4E94-B520-2F80409F2A78}"/>
            </c:ext>
          </c:extLst>
        </c:ser>
        <c:ser>
          <c:idx val="1"/>
          <c:order val="1"/>
          <c:tx>
            <c:v>Bear Case</c:v>
          </c:tx>
          <c:spPr>
            <a:ln w="20160">
              <a:solidFill>
                <a:srgbClr val="C00000"/>
              </a:solidFill>
              <a:prstDash val="dash"/>
              <a:round/>
            </a:ln>
          </c:spPr>
          <c:marker>
            <c:symbol val="none"/>
          </c:marker>
          <c:dLbls>
            <c:spPr>
              <a:noFill/>
              <a:ln>
                <a:noFill/>
              </a:ln>
              <a:effectLst/>
            </c:spPr>
            <c:txPr>
              <a:bodyPr wrap="square"/>
              <a:lstStyle/>
              <a:p>
                <a:pPr>
                  <a:defRPr sz="1000" b="0" strike="noStrike" spc="-1">
                    <a:solidFill>
                      <a:srgbClr val="000000"/>
                    </a:solidFill>
                    <a:latin typeface="Arial"/>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val>
            <c:numRef>
              <c:f>'Chart Data'!$B$15:$L$15</c:f>
              <c:numCache>
                <c:formatCode>0.0%</c:formatCode>
                <c:ptCount val="11"/>
                <c:pt idx="0">
                  <c:v>5.645127163471711E-2</c:v>
                </c:pt>
                <c:pt idx="1">
                  <c:v>5.8151890419427754E-2</c:v>
                </c:pt>
                <c:pt idx="2">
                  <c:v>4.1945656399844489E-2</c:v>
                </c:pt>
                <c:pt idx="3">
                  <c:v>3.979103378440578E-2</c:v>
                </c:pt>
                <c:pt idx="4">
                  <c:v>4.1803120785975728E-2</c:v>
                </c:pt>
                <c:pt idx="5">
                  <c:v>4.2479192151783356E-2</c:v>
                </c:pt>
                <c:pt idx="6">
                  <c:v>2.2999999999999996E-2</c:v>
                </c:pt>
                <c:pt idx="7">
                  <c:v>2.5999999999999999E-2</c:v>
                </c:pt>
                <c:pt idx="8">
                  <c:v>2.9000000000000001E-2</c:v>
                </c:pt>
                <c:pt idx="9">
                  <c:v>3.0999999999999996E-2</c:v>
                </c:pt>
                <c:pt idx="10">
                  <c:v>3.3000000000000002E-2</c:v>
                </c:pt>
              </c:numCache>
            </c:numRef>
          </c:val>
          <c:smooth val="1"/>
          <c:extLst>
            <c:ext xmlns:c16="http://schemas.microsoft.com/office/drawing/2014/chart" uri="{C3380CC4-5D6E-409C-BE32-E72D297353CC}">
              <c16:uniqueId val="{00000001-8096-4E94-B520-2F80409F2A78}"/>
            </c:ext>
          </c:extLst>
        </c:ser>
        <c:dLbls>
          <c:showLegendKey val="0"/>
          <c:showVal val="0"/>
          <c:showCatName val="0"/>
          <c:showSerName val="0"/>
          <c:showPercent val="0"/>
          <c:showBubbleSize val="0"/>
        </c:dLbls>
        <c:hiLowLines>
          <c:spPr>
            <a:ln w="0">
              <a:noFill/>
            </a:ln>
          </c:spPr>
        </c:hiLowLines>
        <c:smooth val="0"/>
        <c:axId val="23685901"/>
        <c:axId val="14425310"/>
      </c:lineChart>
      <c:catAx>
        <c:axId val="23685901"/>
        <c:scaling>
          <c:orientation val="minMax"/>
        </c:scaling>
        <c:delete val="0"/>
        <c:axPos val="b"/>
        <c:title>
          <c:tx>
            <c:rich>
              <a:bodyPr rot="0"/>
              <a:lstStyle/>
              <a:p>
                <a:pPr>
                  <a:defRPr sz="1000" b="1" strike="noStrike" spc="-1">
                    <a:solidFill>
                      <a:srgbClr val="000000"/>
                    </a:solidFill>
                    <a:latin typeface="Calibri"/>
                  </a:defRPr>
                </a:pPr>
                <a:r>
                  <a:rPr lang="en-IN" sz="1000" b="1" strike="noStrike" spc="-1">
                    <a:solidFill>
                      <a:srgbClr val="000000"/>
                    </a:solidFill>
                    <a:latin typeface="Calibri"/>
                  </a:rPr>
                  <a:t>Fiscal Year</a:t>
                </a:r>
              </a:p>
            </c:rich>
          </c:tx>
          <c:overlay val="0"/>
          <c:spPr>
            <a:noFill/>
            <a:ln w="0">
              <a:noFill/>
            </a:ln>
          </c:spPr>
        </c:title>
        <c:numFmt formatCode="General" sourceLinked="0"/>
        <c:majorTickMark val="none"/>
        <c:minorTickMark val="none"/>
        <c:tickLblPos val="nextTo"/>
        <c:spPr>
          <a:ln w="0">
            <a:solidFill>
              <a:srgbClr val="B3B3B3"/>
            </a:solidFill>
          </a:ln>
        </c:spPr>
        <c:txPr>
          <a:bodyPr/>
          <a:lstStyle/>
          <a:p>
            <a:pPr>
              <a:defRPr sz="1000" b="0" strike="noStrike" spc="-1">
                <a:solidFill>
                  <a:srgbClr val="000000"/>
                </a:solidFill>
                <a:latin typeface="Calibri"/>
              </a:defRPr>
            </a:pPr>
            <a:endParaRPr lang="en-US"/>
          </a:p>
        </c:txPr>
        <c:crossAx val="14425310"/>
        <c:crosses val="autoZero"/>
        <c:auto val="1"/>
        <c:lblAlgn val="ctr"/>
        <c:lblOffset val="100"/>
        <c:noMultiLvlLbl val="0"/>
      </c:catAx>
      <c:valAx>
        <c:axId val="14425310"/>
        <c:scaling>
          <c:orientation val="minMax"/>
        </c:scaling>
        <c:delete val="0"/>
        <c:axPos val="l"/>
        <c:majorGridlines>
          <c:spPr>
            <a:ln w="0">
              <a:solidFill>
                <a:srgbClr val="B3B3B3"/>
              </a:solidFill>
            </a:ln>
          </c:spPr>
        </c:majorGridlines>
        <c:title>
          <c:tx>
            <c:rich>
              <a:bodyPr rot="-5400000"/>
              <a:lstStyle/>
              <a:p>
                <a:pPr>
                  <a:defRPr sz="1000" b="1" strike="noStrike" spc="-1">
                    <a:solidFill>
                      <a:srgbClr val="000000"/>
                    </a:solidFill>
                    <a:latin typeface="Calibri"/>
                  </a:defRPr>
                </a:pPr>
                <a:r>
                  <a:rPr lang="en-IN" sz="1000" b="1" strike="noStrike" spc="-1">
                    <a:solidFill>
                      <a:srgbClr val="000000"/>
                    </a:solidFill>
                    <a:latin typeface="Calibri"/>
                  </a:rPr>
                  <a:t>Operating Margin %</a:t>
                </a:r>
              </a:p>
            </c:rich>
          </c:tx>
          <c:overlay val="0"/>
          <c:spPr>
            <a:noFill/>
            <a:ln w="0">
              <a:noFill/>
            </a:ln>
          </c:spPr>
        </c:title>
        <c:numFmt formatCode="0.0%" sourceLinked="0"/>
        <c:majorTickMark val="none"/>
        <c:minorTickMark val="none"/>
        <c:tickLblPos val="nextTo"/>
        <c:spPr>
          <a:ln w="0">
            <a:solidFill>
              <a:srgbClr val="B3B3B3"/>
            </a:solidFill>
          </a:ln>
        </c:spPr>
        <c:txPr>
          <a:bodyPr/>
          <a:lstStyle/>
          <a:p>
            <a:pPr>
              <a:defRPr sz="1000" b="0" strike="noStrike" spc="-1">
                <a:solidFill>
                  <a:srgbClr val="000000"/>
                </a:solidFill>
                <a:latin typeface="Calibri"/>
              </a:defRPr>
            </a:pPr>
            <a:endParaRPr lang="en-US"/>
          </a:p>
        </c:txPr>
        <c:crossAx val="23685901"/>
        <c:crosses val="autoZero"/>
        <c:crossBetween val="between"/>
      </c:valAx>
      <c:spPr>
        <a:noFill/>
        <a:ln w="0">
          <a:noFill/>
        </a:ln>
      </c:spPr>
    </c:plotArea>
    <c:legend>
      <c:legendPos val="r"/>
      <c:overlay val="0"/>
      <c:spPr>
        <a:noFill/>
        <a:ln w="0">
          <a:noFill/>
        </a:ln>
      </c:spPr>
      <c:txPr>
        <a:bodyPr/>
        <a:lstStyle/>
        <a:p>
          <a:pPr>
            <a:defRPr sz="1000" b="0" strike="noStrike" spc="-1">
              <a:solidFill>
                <a:srgbClr val="000000"/>
              </a:solidFill>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a:lstStyle/>
          <a:p>
            <a:pPr>
              <a:defRPr sz="1800" b="1" strike="noStrike" spc="-1">
                <a:solidFill>
                  <a:srgbClr val="000000"/>
                </a:solidFill>
                <a:latin typeface="Calibri"/>
              </a:defRPr>
            </a:pPr>
            <a:r>
              <a:rPr lang="en-IN" sz="1800" b="1" strike="noStrike" spc="-1">
                <a:solidFill>
                  <a:srgbClr val="000000"/>
                </a:solidFill>
                <a:latin typeface="Calibri"/>
              </a:rPr>
              <a:t>Segment Mix Evolution (% of Revenue)</a:t>
            </a:r>
          </a:p>
        </c:rich>
      </c:tx>
      <c:overlay val="0"/>
      <c:spPr>
        <a:noFill/>
        <a:ln w="0">
          <a:noFill/>
        </a:ln>
      </c:spPr>
    </c:title>
    <c:autoTitleDeleted val="0"/>
    <c:plotArea>
      <c:layout/>
      <c:barChart>
        <c:barDir val="col"/>
        <c:grouping val="percentStacked"/>
        <c:varyColors val="0"/>
        <c:ser>
          <c:idx val="0"/>
          <c:order val="0"/>
          <c:spPr>
            <a:solidFill>
              <a:srgbClr val="1F3864"/>
            </a:solidFill>
            <a:ln w="0">
              <a:solidFill>
                <a:srgbClr val="1F3864"/>
              </a:solidFill>
            </a:ln>
          </c:spPr>
          <c:invertIfNegative val="0"/>
          <c:dLbls>
            <c:spPr>
              <a:noFill/>
              <a:ln>
                <a:noFill/>
              </a:ln>
              <a:effectLst/>
            </c:spPr>
            <c:txPr>
              <a:bodyPr wrap="square"/>
              <a:lstStyle/>
              <a:p>
                <a:pPr>
                  <a:defRPr sz="1000" b="0" strike="noStrike" spc="-1">
                    <a:solidFill>
                      <a:srgbClr val="000000"/>
                    </a:solidFill>
                    <a:latin typeface="Arial"/>
                  </a:defRPr>
                </a:pPr>
                <a:endParaRPr lang="en-US"/>
              </a:p>
            </c:txPr>
            <c:dLblPos val="ct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val>
            <c:numRef>
              <c:f>'Chart Data'!$B$20:$D$20</c:f>
              <c:numCache>
                <c:formatCode>0.0%</c:formatCode>
                <c:ptCount val="3"/>
                <c:pt idx="0">
                  <c:v>0.43426518034813855</c:v>
                </c:pt>
                <c:pt idx="1">
                  <c:v>0.47285984984768897</c:v>
                </c:pt>
                <c:pt idx="2">
                  <c:v>0.48391339089680852</c:v>
                </c:pt>
              </c:numCache>
            </c:numRef>
          </c:val>
          <c:extLst>
            <c:ext xmlns:c16="http://schemas.microsoft.com/office/drawing/2014/chart" uri="{C3380CC4-5D6E-409C-BE32-E72D297353CC}">
              <c16:uniqueId val="{00000000-79F5-412A-99B4-B70C3B7FC872}"/>
            </c:ext>
          </c:extLst>
        </c:ser>
        <c:ser>
          <c:idx val="1"/>
          <c:order val="1"/>
          <c:spPr>
            <a:solidFill>
              <a:srgbClr val="2E75B6"/>
            </a:solidFill>
            <a:ln w="0">
              <a:solidFill>
                <a:srgbClr val="2E75B6"/>
              </a:solidFill>
            </a:ln>
          </c:spPr>
          <c:invertIfNegative val="0"/>
          <c:dLbls>
            <c:spPr>
              <a:noFill/>
              <a:ln>
                <a:noFill/>
              </a:ln>
              <a:effectLst/>
            </c:spPr>
            <c:txPr>
              <a:bodyPr wrap="square"/>
              <a:lstStyle/>
              <a:p>
                <a:pPr>
                  <a:defRPr sz="1000" b="0" strike="noStrike" spc="-1">
                    <a:solidFill>
                      <a:srgbClr val="000000"/>
                    </a:solidFill>
                    <a:latin typeface="Arial"/>
                  </a:defRPr>
                </a:pPr>
                <a:endParaRPr lang="en-US"/>
              </a:p>
            </c:txPr>
            <c:dLblPos val="ct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val>
            <c:numRef>
              <c:f>'Chart Data'!$B$21:$D$21</c:f>
              <c:numCache>
                <c:formatCode>0.0%</c:formatCode>
                <c:ptCount val="3"/>
                <c:pt idx="0">
                  <c:v>0.31303491045381659</c:v>
                </c:pt>
                <c:pt idx="1">
                  <c:v>0.27487947038929267</c:v>
                </c:pt>
                <c:pt idx="2">
                  <c:v>0.26121556973368981</c:v>
                </c:pt>
              </c:numCache>
            </c:numRef>
          </c:val>
          <c:extLst>
            <c:ext xmlns:c16="http://schemas.microsoft.com/office/drawing/2014/chart" uri="{C3380CC4-5D6E-409C-BE32-E72D297353CC}">
              <c16:uniqueId val="{00000001-79F5-412A-99B4-B70C3B7FC872}"/>
            </c:ext>
          </c:extLst>
        </c:ser>
        <c:ser>
          <c:idx val="2"/>
          <c:order val="2"/>
          <c:spPr>
            <a:solidFill>
              <a:srgbClr val="17A589"/>
            </a:solidFill>
            <a:ln w="0">
              <a:solidFill>
                <a:srgbClr val="17A589"/>
              </a:solidFill>
            </a:ln>
          </c:spPr>
          <c:invertIfNegative val="0"/>
          <c:dLbls>
            <c:spPr>
              <a:noFill/>
              <a:ln>
                <a:noFill/>
              </a:ln>
              <a:effectLst/>
            </c:spPr>
            <c:txPr>
              <a:bodyPr wrap="square"/>
              <a:lstStyle/>
              <a:p>
                <a:pPr>
                  <a:defRPr sz="1000" b="0" strike="noStrike" spc="-1">
                    <a:solidFill>
                      <a:srgbClr val="000000"/>
                    </a:solidFill>
                    <a:latin typeface="Arial"/>
                  </a:defRPr>
                </a:pPr>
                <a:endParaRPr lang="en-US"/>
              </a:p>
            </c:txPr>
            <c:dLblPos val="ct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val>
            <c:numRef>
              <c:f>'Chart Data'!$B$22:$D$22</c:f>
              <c:numCache>
                <c:formatCode>0.0%</c:formatCode>
                <c:ptCount val="3"/>
                <c:pt idx="0">
                  <c:v>0.13846332180599294</c:v>
                </c:pt>
                <c:pt idx="1">
                  <c:v>0.10719339905495191</c:v>
                </c:pt>
                <c:pt idx="2">
                  <c:v>9.9690570961364439E-2</c:v>
                </c:pt>
              </c:numCache>
            </c:numRef>
          </c:val>
          <c:extLst>
            <c:ext xmlns:c16="http://schemas.microsoft.com/office/drawing/2014/chart" uri="{C3380CC4-5D6E-409C-BE32-E72D297353CC}">
              <c16:uniqueId val="{00000002-79F5-412A-99B4-B70C3B7FC872}"/>
            </c:ext>
          </c:extLst>
        </c:ser>
        <c:ser>
          <c:idx val="3"/>
          <c:order val="3"/>
          <c:spPr>
            <a:solidFill>
              <a:srgbClr val="E26B0A"/>
            </a:solidFill>
            <a:ln w="0">
              <a:solidFill>
                <a:srgbClr val="E26B0A"/>
              </a:solidFill>
            </a:ln>
          </c:spPr>
          <c:invertIfNegative val="0"/>
          <c:dLbls>
            <c:spPr>
              <a:noFill/>
              <a:ln>
                <a:noFill/>
              </a:ln>
              <a:effectLst/>
            </c:spPr>
            <c:txPr>
              <a:bodyPr wrap="square"/>
              <a:lstStyle/>
              <a:p>
                <a:pPr>
                  <a:defRPr sz="1000" b="0" strike="noStrike" spc="-1">
                    <a:solidFill>
                      <a:srgbClr val="000000"/>
                    </a:solidFill>
                    <a:latin typeface="Arial"/>
                  </a:defRPr>
                </a:pPr>
                <a:endParaRPr lang="en-US"/>
              </a:p>
            </c:txPr>
            <c:dLblPos val="ct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val>
            <c:numRef>
              <c:f>'Chart Data'!$B$23:$D$23</c:f>
              <c:numCache>
                <c:formatCode>0.0%</c:formatCode>
                <c:ptCount val="3"/>
                <c:pt idx="0">
                  <c:v>6.3271575124128204E-2</c:v>
                </c:pt>
                <c:pt idx="1">
                  <c:v>7.4164687822311767E-2</c:v>
                </c:pt>
                <c:pt idx="2">
                  <c:v>7.4803668896433195E-2</c:v>
                </c:pt>
              </c:numCache>
            </c:numRef>
          </c:val>
          <c:extLst>
            <c:ext xmlns:c16="http://schemas.microsoft.com/office/drawing/2014/chart" uri="{C3380CC4-5D6E-409C-BE32-E72D297353CC}">
              <c16:uniqueId val="{00000003-79F5-412A-99B4-B70C3B7FC872}"/>
            </c:ext>
          </c:extLst>
        </c:ser>
        <c:ser>
          <c:idx val="4"/>
          <c:order val="4"/>
          <c:spPr>
            <a:solidFill>
              <a:srgbClr val="70AD47"/>
            </a:solidFill>
            <a:ln w="0">
              <a:solidFill>
                <a:srgbClr val="70AD47"/>
              </a:solidFill>
            </a:ln>
          </c:spPr>
          <c:invertIfNegative val="0"/>
          <c:dLbls>
            <c:spPr>
              <a:noFill/>
              <a:ln>
                <a:noFill/>
              </a:ln>
              <a:effectLst/>
            </c:spPr>
            <c:txPr>
              <a:bodyPr wrap="square"/>
              <a:lstStyle/>
              <a:p>
                <a:pPr>
                  <a:defRPr sz="1000" b="0" strike="noStrike" spc="-1">
                    <a:solidFill>
                      <a:srgbClr val="000000"/>
                    </a:solidFill>
                    <a:latin typeface="Arial"/>
                  </a:defRPr>
                </a:pPr>
                <a:endParaRPr lang="en-US"/>
              </a:p>
            </c:txPr>
            <c:dLblPos val="ct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val>
            <c:numRef>
              <c:f>'Chart Data'!$B$24:$D$24</c:f>
              <c:numCache>
                <c:formatCode>0.0%</c:formatCode>
                <c:ptCount val="3"/>
                <c:pt idx="0">
                  <c:v>4.5980564517687061E-2</c:v>
                </c:pt>
                <c:pt idx="1">
                  <c:v>6.3706795231584748E-2</c:v>
                </c:pt>
                <c:pt idx="2">
                  <c:v>7.1126017999201707E-2</c:v>
                </c:pt>
              </c:numCache>
            </c:numRef>
          </c:val>
          <c:extLst>
            <c:ext xmlns:c16="http://schemas.microsoft.com/office/drawing/2014/chart" uri="{C3380CC4-5D6E-409C-BE32-E72D297353CC}">
              <c16:uniqueId val="{00000004-79F5-412A-99B4-B70C3B7FC872}"/>
            </c:ext>
          </c:extLst>
        </c:ser>
        <c:ser>
          <c:idx val="5"/>
          <c:order val="5"/>
          <c:spPr>
            <a:solidFill>
              <a:srgbClr val="595959"/>
            </a:solidFill>
            <a:ln w="0">
              <a:solidFill>
                <a:srgbClr val="595959"/>
              </a:solidFill>
            </a:ln>
          </c:spPr>
          <c:invertIfNegative val="0"/>
          <c:dLbls>
            <c:spPr>
              <a:noFill/>
              <a:ln>
                <a:noFill/>
              </a:ln>
              <a:effectLst/>
            </c:spPr>
            <c:txPr>
              <a:bodyPr wrap="square"/>
              <a:lstStyle/>
              <a:p>
                <a:pPr>
                  <a:defRPr sz="1000" b="0" strike="noStrike" spc="-1">
                    <a:solidFill>
                      <a:srgbClr val="000000"/>
                    </a:solidFill>
                    <a:latin typeface="Arial"/>
                  </a:defRPr>
                </a:pPr>
                <a:endParaRPr lang="en-US"/>
              </a:p>
            </c:txPr>
            <c:dLblPos val="ct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val>
            <c:numRef>
              <c:f>'Chart Data'!$B$25:$D$25</c:f>
              <c:numCache>
                <c:formatCode>0.0%</c:formatCode>
                <c:ptCount val="3"/>
                <c:pt idx="0">
                  <c:v>4.9844477502366648E-3</c:v>
                </c:pt>
                <c:pt idx="1">
                  <c:v>7.195797654169965E-3</c:v>
                </c:pt>
                <c:pt idx="2">
                  <c:v>9.2507815125023301E-3</c:v>
                </c:pt>
              </c:numCache>
            </c:numRef>
          </c:val>
          <c:extLst>
            <c:ext xmlns:c16="http://schemas.microsoft.com/office/drawing/2014/chart" uri="{C3380CC4-5D6E-409C-BE32-E72D297353CC}">
              <c16:uniqueId val="{00000005-79F5-412A-99B4-B70C3B7FC872}"/>
            </c:ext>
          </c:extLst>
        </c:ser>
        <c:dLbls>
          <c:showLegendKey val="0"/>
          <c:showVal val="0"/>
          <c:showCatName val="0"/>
          <c:showSerName val="0"/>
          <c:showPercent val="0"/>
          <c:showBubbleSize val="0"/>
        </c:dLbls>
        <c:gapWidth val="150"/>
        <c:overlap val="100"/>
        <c:axId val="33236172"/>
        <c:axId val="53531109"/>
      </c:barChart>
      <c:catAx>
        <c:axId val="33236172"/>
        <c:scaling>
          <c:orientation val="minMax"/>
        </c:scaling>
        <c:delete val="0"/>
        <c:axPos val="b"/>
        <c:title>
          <c:tx>
            <c:rich>
              <a:bodyPr rot="0"/>
              <a:lstStyle/>
              <a:p>
                <a:pPr>
                  <a:defRPr sz="1000" b="1" strike="noStrike" spc="-1">
                    <a:solidFill>
                      <a:srgbClr val="000000"/>
                    </a:solidFill>
                    <a:latin typeface="Calibri"/>
                  </a:defRPr>
                </a:pPr>
                <a:r>
                  <a:rPr lang="en-IN" sz="1000" b="1" strike="noStrike" spc="-1">
                    <a:solidFill>
                      <a:srgbClr val="000000"/>
                    </a:solidFill>
                    <a:latin typeface="Calibri"/>
                  </a:rPr>
                  <a:t>Fiscal Year</a:t>
                </a:r>
              </a:p>
            </c:rich>
          </c:tx>
          <c:overlay val="0"/>
          <c:spPr>
            <a:noFill/>
            <a:ln w="0">
              <a:noFill/>
            </a:ln>
          </c:spPr>
        </c:title>
        <c:numFmt formatCode="General" sourceLinked="0"/>
        <c:majorTickMark val="none"/>
        <c:minorTickMark val="none"/>
        <c:tickLblPos val="nextTo"/>
        <c:spPr>
          <a:ln w="0">
            <a:solidFill>
              <a:srgbClr val="B3B3B3"/>
            </a:solidFill>
          </a:ln>
        </c:spPr>
        <c:txPr>
          <a:bodyPr/>
          <a:lstStyle/>
          <a:p>
            <a:pPr>
              <a:defRPr sz="1000" b="0" strike="noStrike" spc="-1">
                <a:solidFill>
                  <a:srgbClr val="000000"/>
                </a:solidFill>
                <a:latin typeface="Calibri"/>
              </a:defRPr>
            </a:pPr>
            <a:endParaRPr lang="en-US"/>
          </a:p>
        </c:txPr>
        <c:crossAx val="53531109"/>
        <c:crosses val="autoZero"/>
        <c:auto val="1"/>
        <c:lblAlgn val="ctr"/>
        <c:lblOffset val="100"/>
        <c:noMultiLvlLbl val="0"/>
      </c:catAx>
      <c:valAx>
        <c:axId val="53531109"/>
        <c:scaling>
          <c:orientation val="minMax"/>
        </c:scaling>
        <c:delete val="0"/>
        <c:axPos val="l"/>
        <c:majorGridlines>
          <c:spPr>
            <a:ln w="0">
              <a:solidFill>
                <a:srgbClr val="B3B3B3"/>
              </a:solidFill>
            </a:ln>
          </c:spPr>
        </c:majorGridlines>
        <c:title>
          <c:tx>
            <c:rich>
              <a:bodyPr rot="-5400000"/>
              <a:lstStyle/>
              <a:p>
                <a:pPr>
                  <a:defRPr sz="1000" b="1" strike="noStrike" spc="-1">
                    <a:solidFill>
                      <a:srgbClr val="000000"/>
                    </a:solidFill>
                    <a:latin typeface="Calibri"/>
                  </a:defRPr>
                </a:pPr>
                <a:r>
                  <a:rPr lang="en-IN" sz="1000" b="1" strike="noStrike" spc="-1">
                    <a:solidFill>
                      <a:srgbClr val="000000"/>
                    </a:solidFill>
                    <a:latin typeface="Calibri"/>
                  </a:rPr>
                  <a:t>% of Revenue</a:t>
                </a:r>
              </a:p>
            </c:rich>
          </c:tx>
          <c:overlay val="0"/>
          <c:spPr>
            <a:noFill/>
            <a:ln w="0">
              <a:noFill/>
            </a:ln>
          </c:spPr>
        </c:title>
        <c:numFmt formatCode="[$-409]0%" sourceLinked="0"/>
        <c:majorTickMark val="none"/>
        <c:minorTickMark val="none"/>
        <c:tickLblPos val="nextTo"/>
        <c:spPr>
          <a:ln w="0">
            <a:solidFill>
              <a:srgbClr val="B3B3B3"/>
            </a:solidFill>
          </a:ln>
        </c:spPr>
        <c:txPr>
          <a:bodyPr/>
          <a:lstStyle/>
          <a:p>
            <a:pPr>
              <a:defRPr sz="1000" b="0" strike="noStrike" spc="-1">
                <a:solidFill>
                  <a:srgbClr val="000000"/>
                </a:solidFill>
                <a:latin typeface="Calibri"/>
              </a:defRPr>
            </a:pPr>
            <a:endParaRPr lang="en-US"/>
          </a:p>
        </c:txPr>
        <c:crossAx val="33236172"/>
        <c:crosses val="autoZero"/>
        <c:crossBetween val="between"/>
      </c:valAx>
      <c:spPr>
        <a:noFill/>
        <a:ln w="0">
          <a:noFill/>
        </a:ln>
      </c:spPr>
    </c:plotArea>
    <c:legend>
      <c:legendPos val="r"/>
      <c:overlay val="0"/>
      <c:spPr>
        <a:noFill/>
        <a:ln w="0">
          <a:noFill/>
        </a:ln>
      </c:spPr>
      <c:txPr>
        <a:bodyPr/>
        <a:lstStyle/>
        <a:p>
          <a:pPr>
            <a:defRPr sz="1000" b="0" strike="noStrike" spc="-1">
              <a:solidFill>
                <a:srgbClr val="000000"/>
              </a:solidFill>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a:lstStyle/>
          <a:p>
            <a:pPr>
              <a:defRPr sz="1800" b="1" strike="noStrike" spc="-1">
                <a:solidFill>
                  <a:srgbClr val="000000"/>
                </a:solidFill>
                <a:latin typeface="Calibri"/>
              </a:defRPr>
            </a:pPr>
            <a:r>
              <a:rPr lang="en-IN" sz="1800" b="1" strike="noStrike" spc="-1">
                <a:solidFill>
                  <a:srgbClr val="000000"/>
                </a:solidFill>
                <a:latin typeface="Calibri"/>
              </a:rPr>
              <a:t>Sum-of-the-Parts Value Bridge ($)</a:t>
            </a:r>
          </a:p>
        </c:rich>
      </c:tx>
      <c:overlay val="0"/>
      <c:spPr>
        <a:noFill/>
        <a:ln w="0">
          <a:noFill/>
        </a:ln>
      </c:spPr>
    </c:title>
    <c:autoTitleDeleted val="0"/>
    <c:plotArea>
      <c:layout/>
      <c:barChart>
        <c:barDir val="col"/>
        <c:grouping val="stacked"/>
        <c:varyColors val="0"/>
        <c:ser>
          <c:idx val="0"/>
          <c:order val="0"/>
          <c:spPr>
            <a:solidFill>
              <a:srgbClr val="FFFFFF"/>
            </a:solidFill>
            <a:ln w="0">
              <a:solidFill>
                <a:srgbClr val="FFFFFF"/>
              </a:solidFill>
            </a:ln>
          </c:spPr>
          <c:invertIfNegative val="0"/>
          <c:dLbls>
            <c:spPr>
              <a:noFill/>
              <a:ln>
                <a:noFill/>
              </a:ln>
              <a:effectLst/>
            </c:spPr>
            <c:txPr>
              <a:bodyPr wrap="square"/>
              <a:lstStyle/>
              <a:p>
                <a:pPr>
                  <a:defRPr sz="1000" b="0" strike="noStrike" spc="-1">
                    <a:solidFill>
                      <a:srgbClr val="000000"/>
                    </a:solidFill>
                    <a:latin typeface="Arial"/>
                  </a:defRPr>
                </a:pPr>
                <a:endParaRPr lang="en-US"/>
              </a:p>
            </c:txPr>
            <c:dLblPos val="ct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'Chart Data'!$A$30:$A$34</c:f>
              <c:strCache>
                <c:ptCount val="5"/>
                <c:pt idx="0">
                  <c:v>Current Market Price</c:v>
                </c:pt>
                <c:pt idx="1">
                  <c:v>BBY Ads Platform (+$11.9)</c:v>
                </c:pt>
                <c:pt idx="2">
                  <c:v>Services / Totaltech (+$6.5)</c:v>
                </c:pt>
                <c:pt idx="3">
                  <c:v>Op. Leverage &amp; Margin Exp.</c:v>
                </c:pt>
                <c:pt idx="4">
                  <c:v>DCF Base Target</c:v>
                </c:pt>
              </c:strCache>
            </c:strRef>
          </c:cat>
          <c:val>
            <c:numRef>
              <c:f>'Chart Data'!$B$30:$B$34</c:f>
              <c:numCache>
                <c:formatCode>\$#,##0.00</c:formatCode>
                <c:ptCount val="5"/>
                <c:pt idx="0">
                  <c:v>0</c:v>
                </c:pt>
                <c:pt idx="1">
                  <c:v>63.39</c:v>
                </c:pt>
                <c:pt idx="2">
                  <c:v>75.290000000000006</c:v>
                </c:pt>
                <c:pt idx="3">
                  <c:v>81.790000000000006</c:v>
                </c:pt>
                <c:pt idx="4">
                  <c:v>0</c:v>
                </c:pt>
              </c:numCache>
            </c:numRef>
          </c:val>
          <c:extLst>
            <c:ext xmlns:c16="http://schemas.microsoft.com/office/drawing/2014/chart" uri="{C3380CC4-5D6E-409C-BE32-E72D297353CC}">
              <c16:uniqueId val="{00000000-30F5-4A0A-B069-F617E32BDF96}"/>
            </c:ext>
          </c:extLst>
        </c:ser>
        <c:ser>
          <c:idx val="1"/>
          <c:order val="1"/>
          <c:spPr>
            <a:solidFill>
              <a:srgbClr val="1F3864"/>
            </a:solidFill>
            <a:ln w="0">
              <a:solidFill>
                <a:srgbClr val="1F3864"/>
              </a:solidFill>
            </a:ln>
          </c:spPr>
          <c:invertIfNegative val="0"/>
          <c:dLbls>
            <c:spPr>
              <a:noFill/>
              <a:ln>
                <a:noFill/>
              </a:ln>
              <a:effectLst/>
            </c:spPr>
            <c:txPr>
              <a:bodyPr wrap="square"/>
              <a:lstStyle/>
              <a:p>
                <a:pPr>
                  <a:defRPr sz="1000" b="0" strike="noStrike" spc="-1">
                    <a:solidFill>
                      <a:srgbClr val="000000"/>
                    </a:solidFill>
                    <a:latin typeface="Arial"/>
                  </a:defRPr>
                </a:pPr>
                <a:endParaRPr lang="en-US"/>
              </a:p>
            </c:txPr>
            <c:dLblPos val="ct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'Chart Data'!$A$30:$A$34</c:f>
              <c:strCache>
                <c:ptCount val="5"/>
                <c:pt idx="0">
                  <c:v>Current Market Price</c:v>
                </c:pt>
                <c:pt idx="1">
                  <c:v>BBY Ads Platform (+$11.9)</c:v>
                </c:pt>
                <c:pt idx="2">
                  <c:v>Services / Totaltech (+$6.5)</c:v>
                </c:pt>
                <c:pt idx="3">
                  <c:v>Op. Leverage &amp; Margin Exp.</c:v>
                </c:pt>
                <c:pt idx="4">
                  <c:v>DCF Base Target</c:v>
                </c:pt>
              </c:strCache>
            </c:strRef>
          </c:cat>
          <c:val>
            <c:numRef>
              <c:f>'Chart Data'!$C$30:$C$34</c:f>
              <c:numCache>
                <c:formatCode>\$#,##0.00</c:formatCode>
                <c:ptCount val="5"/>
                <c:pt idx="0">
                  <c:v>63.39</c:v>
                </c:pt>
                <c:pt idx="1">
                  <c:v>0</c:v>
                </c:pt>
                <c:pt idx="2">
                  <c:v>0</c:v>
                </c:pt>
                <c:pt idx="3">
                  <c:v>0</c:v>
                </c:pt>
                <c:pt idx="4">
                  <c:v>97.299865668957864</c:v>
                </c:pt>
              </c:numCache>
            </c:numRef>
          </c:val>
          <c:extLst>
            <c:ext xmlns:c16="http://schemas.microsoft.com/office/drawing/2014/chart" uri="{C3380CC4-5D6E-409C-BE32-E72D297353CC}">
              <c16:uniqueId val="{00000001-30F5-4A0A-B069-F617E32BDF96}"/>
            </c:ext>
          </c:extLst>
        </c:ser>
        <c:ser>
          <c:idx val="2"/>
          <c:order val="2"/>
          <c:spPr>
            <a:solidFill>
              <a:srgbClr val="70AD47"/>
            </a:solidFill>
            <a:ln w="0">
              <a:solidFill>
                <a:srgbClr val="70AD47"/>
              </a:solidFill>
            </a:ln>
          </c:spPr>
          <c:invertIfNegative val="0"/>
          <c:dLbls>
            <c:spPr>
              <a:noFill/>
              <a:ln>
                <a:noFill/>
              </a:ln>
              <a:effectLst/>
            </c:spPr>
            <c:txPr>
              <a:bodyPr wrap="square"/>
              <a:lstStyle/>
              <a:p>
                <a:pPr>
                  <a:defRPr sz="1000" b="0" strike="noStrike" spc="-1">
                    <a:solidFill>
                      <a:srgbClr val="000000"/>
                    </a:solidFill>
                    <a:latin typeface="Arial"/>
                  </a:defRPr>
                </a:pPr>
                <a:endParaRPr lang="en-US"/>
              </a:p>
            </c:txPr>
            <c:dLblPos val="ct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'Chart Data'!$A$30:$A$34</c:f>
              <c:strCache>
                <c:ptCount val="5"/>
                <c:pt idx="0">
                  <c:v>Current Market Price</c:v>
                </c:pt>
                <c:pt idx="1">
                  <c:v>BBY Ads Platform (+$11.9)</c:v>
                </c:pt>
                <c:pt idx="2">
                  <c:v>Services / Totaltech (+$6.5)</c:v>
                </c:pt>
                <c:pt idx="3">
                  <c:v>Op. Leverage &amp; Margin Exp.</c:v>
                </c:pt>
                <c:pt idx="4">
                  <c:v>DCF Base Target</c:v>
                </c:pt>
              </c:strCache>
            </c:strRef>
          </c:cat>
          <c:val>
            <c:numRef>
              <c:f>'Chart Data'!$D$30:$D$34</c:f>
              <c:numCache>
                <c:formatCode>\$#,##0.00</c:formatCode>
                <c:ptCount val="5"/>
                <c:pt idx="0">
                  <c:v>0</c:v>
                </c:pt>
                <c:pt idx="1">
                  <c:v>11.9</c:v>
                </c:pt>
                <c:pt idx="2">
                  <c:v>6.5</c:v>
                </c:pt>
                <c:pt idx="3">
                  <c:v>15.509865668957858</c:v>
                </c:pt>
                <c:pt idx="4">
                  <c:v>0</c:v>
                </c:pt>
              </c:numCache>
            </c:numRef>
          </c:val>
          <c:extLst>
            <c:ext xmlns:c16="http://schemas.microsoft.com/office/drawing/2014/chart" uri="{C3380CC4-5D6E-409C-BE32-E72D297353CC}">
              <c16:uniqueId val="{00000002-30F5-4A0A-B069-F617E32BDF96}"/>
            </c:ext>
          </c:extLst>
        </c:ser>
        <c:dLbls>
          <c:showLegendKey val="0"/>
          <c:showVal val="0"/>
          <c:showCatName val="0"/>
          <c:showSerName val="0"/>
          <c:showPercent val="0"/>
          <c:showBubbleSize val="0"/>
        </c:dLbls>
        <c:gapWidth val="150"/>
        <c:overlap val="100"/>
        <c:axId val="56282242"/>
        <c:axId val="52188126"/>
      </c:barChart>
      <c:catAx>
        <c:axId val="56282242"/>
        <c:scaling>
          <c:orientation val="minMax"/>
        </c:scaling>
        <c:delete val="0"/>
        <c:axPos val="b"/>
        <c:numFmt formatCode="General" sourceLinked="0"/>
        <c:majorTickMark val="none"/>
        <c:minorTickMark val="none"/>
        <c:tickLblPos val="nextTo"/>
        <c:spPr>
          <a:ln w="0">
            <a:solidFill>
              <a:srgbClr val="B3B3B3"/>
            </a:solidFill>
          </a:ln>
        </c:spPr>
        <c:txPr>
          <a:bodyPr/>
          <a:lstStyle/>
          <a:p>
            <a:pPr>
              <a:defRPr sz="1000" b="0" strike="noStrike" spc="-1">
                <a:solidFill>
                  <a:srgbClr val="000000"/>
                </a:solidFill>
                <a:latin typeface="Calibri"/>
              </a:defRPr>
            </a:pPr>
            <a:endParaRPr lang="en-US"/>
          </a:p>
        </c:txPr>
        <c:crossAx val="52188126"/>
        <c:crosses val="autoZero"/>
        <c:auto val="1"/>
        <c:lblAlgn val="ctr"/>
        <c:lblOffset val="100"/>
        <c:noMultiLvlLbl val="0"/>
      </c:catAx>
      <c:valAx>
        <c:axId val="52188126"/>
        <c:scaling>
          <c:orientation val="minMax"/>
        </c:scaling>
        <c:delete val="0"/>
        <c:axPos val="l"/>
        <c:majorGridlines>
          <c:spPr>
            <a:ln w="0">
              <a:solidFill>
                <a:srgbClr val="B3B3B3"/>
              </a:solidFill>
            </a:ln>
          </c:spPr>
        </c:majorGridlines>
        <c:title>
          <c:tx>
            <c:rich>
              <a:bodyPr rot="-5400000"/>
              <a:lstStyle/>
              <a:p>
                <a:pPr>
                  <a:defRPr sz="1000" b="1" strike="noStrike" spc="-1">
                    <a:solidFill>
                      <a:srgbClr val="000000"/>
                    </a:solidFill>
                    <a:latin typeface="Calibri"/>
                  </a:defRPr>
                </a:pPr>
                <a:r>
                  <a:rPr lang="en-IN" sz="1000" b="1" strike="noStrike" spc="-1">
                    <a:solidFill>
                      <a:srgbClr val="000000"/>
                    </a:solidFill>
                    <a:latin typeface="Calibri"/>
                  </a:rPr>
                  <a:t>Share Price ($)</a:t>
                </a:r>
              </a:p>
            </c:rich>
          </c:tx>
          <c:overlay val="0"/>
          <c:spPr>
            <a:noFill/>
            <a:ln w="0">
              <a:noFill/>
            </a:ln>
          </c:spPr>
        </c:title>
        <c:numFmt formatCode="\$#,##0.00" sourceLinked="0"/>
        <c:majorTickMark val="none"/>
        <c:minorTickMark val="none"/>
        <c:tickLblPos val="nextTo"/>
        <c:spPr>
          <a:ln w="0">
            <a:solidFill>
              <a:srgbClr val="B3B3B3"/>
            </a:solidFill>
          </a:ln>
        </c:spPr>
        <c:txPr>
          <a:bodyPr/>
          <a:lstStyle/>
          <a:p>
            <a:pPr>
              <a:defRPr sz="1000" b="0" strike="noStrike" spc="-1">
                <a:solidFill>
                  <a:srgbClr val="000000"/>
                </a:solidFill>
                <a:latin typeface="Calibri"/>
              </a:defRPr>
            </a:pPr>
            <a:endParaRPr lang="en-US"/>
          </a:p>
        </c:txPr>
        <c:crossAx val="56282242"/>
        <c:crosses val="autoZero"/>
        <c:crossBetween val="between"/>
      </c:valAx>
      <c:spPr>
        <a:noFill/>
        <a:ln w="0">
          <a:noFill/>
        </a:ln>
      </c:spPr>
    </c:plotArea>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a:lstStyle/>
          <a:p>
            <a:pPr>
              <a:defRPr sz="1800" b="1" strike="noStrike" spc="-1">
                <a:solidFill>
                  <a:srgbClr val="000000"/>
                </a:solidFill>
                <a:latin typeface="Calibri"/>
              </a:defRPr>
            </a:pPr>
            <a:r>
              <a:rPr lang="en-IN" sz="1800" b="1" strike="noStrike" spc="-1">
                <a:solidFill>
                  <a:srgbClr val="000000"/>
                </a:solidFill>
                <a:latin typeface="Calibri"/>
              </a:rPr>
              <a:t>EPS Trajectory: Base vs. Bear Case</a:t>
            </a:r>
          </a:p>
        </c:rich>
      </c:tx>
      <c:overlay val="0"/>
      <c:spPr>
        <a:noFill/>
        <a:ln w="0">
          <a:noFill/>
        </a:ln>
      </c:spPr>
    </c:title>
    <c:autoTitleDeleted val="0"/>
    <c:plotArea>
      <c:layout/>
      <c:lineChart>
        <c:grouping val="standard"/>
        <c:varyColors val="0"/>
        <c:ser>
          <c:idx val="0"/>
          <c:order val="0"/>
          <c:tx>
            <c:v>Base Case EPS</c:v>
          </c:tx>
          <c:spPr>
            <a:ln w="24840">
              <a:solidFill>
                <a:srgbClr val="1F3864"/>
              </a:solidFill>
              <a:round/>
            </a:ln>
          </c:spPr>
          <c:marker>
            <c:symbol val="none"/>
          </c:marker>
          <c:dLbls>
            <c:spPr>
              <a:noFill/>
              <a:ln>
                <a:noFill/>
              </a:ln>
              <a:effectLst/>
            </c:spPr>
            <c:txPr>
              <a:bodyPr wrap="square"/>
              <a:lstStyle/>
              <a:p>
                <a:pPr>
                  <a:defRPr sz="1000" b="0" strike="noStrike" spc="-1">
                    <a:solidFill>
                      <a:srgbClr val="000000"/>
                    </a:solidFill>
                    <a:latin typeface="Arial"/>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val>
            <c:numRef>
              <c:f>'Chart Data'!$B$48:$L$48</c:f>
              <c:numCache>
                <c:formatCode>\$#,##0.00</c:formatCode>
                <c:ptCount val="11"/>
                <c:pt idx="0">
                  <c:v>6.3070339999999998</c:v>
                </c:pt>
                <c:pt idx="1">
                  <c:v>7.5185510000000004</c:v>
                </c:pt>
                <c:pt idx="2">
                  <c:v>5.3610980000000001</c:v>
                </c:pt>
                <c:pt idx="3">
                  <c:v>5.0228830000000002</c:v>
                </c:pt>
                <c:pt idx="4">
                  <c:v>5.1159970000000001</c:v>
                </c:pt>
                <c:pt idx="5">
                  <c:v>5.2864209999999998</c:v>
                </c:pt>
                <c:pt idx="6">
                  <c:v>6.5135332780952373</c:v>
                </c:pt>
                <c:pt idx="7">
                  <c:v>7.1715535944380946</c:v>
                </c:pt>
                <c:pt idx="8">
                  <c:v>7.8521202705306656</c:v>
                </c:pt>
                <c:pt idx="9">
                  <c:v>8.3581827637127191</c:v>
                </c:pt>
                <c:pt idx="10">
                  <c:v>8.8827688014190702</c:v>
                </c:pt>
              </c:numCache>
            </c:numRef>
          </c:val>
          <c:smooth val="1"/>
          <c:extLst>
            <c:ext xmlns:c16="http://schemas.microsoft.com/office/drawing/2014/chart" uri="{C3380CC4-5D6E-409C-BE32-E72D297353CC}">
              <c16:uniqueId val="{00000000-FCF4-49C8-85CD-CE11543EF59B}"/>
            </c:ext>
          </c:extLst>
        </c:ser>
        <c:ser>
          <c:idx val="1"/>
          <c:order val="1"/>
          <c:tx>
            <c:v>Bear Case EPS</c:v>
          </c:tx>
          <c:spPr>
            <a:ln w="20160">
              <a:solidFill>
                <a:srgbClr val="C00000"/>
              </a:solidFill>
              <a:prstDash val="dash"/>
              <a:round/>
            </a:ln>
          </c:spPr>
          <c:marker>
            <c:symbol val="none"/>
          </c:marker>
          <c:dLbls>
            <c:spPr>
              <a:noFill/>
              <a:ln>
                <a:noFill/>
              </a:ln>
              <a:effectLst/>
            </c:spPr>
            <c:txPr>
              <a:bodyPr wrap="square"/>
              <a:lstStyle/>
              <a:p>
                <a:pPr>
                  <a:defRPr sz="1000" b="0" strike="noStrike" spc="-1">
                    <a:solidFill>
                      <a:srgbClr val="000000"/>
                    </a:solidFill>
                    <a:latin typeface="Arial"/>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val>
            <c:numRef>
              <c:f>'Chart Data'!$B$49:$L$49</c:f>
              <c:numCache>
                <c:formatCode>\$#,##0.00</c:formatCode>
                <c:ptCount val="11"/>
                <c:pt idx="0">
                  <c:v>6.3070339999999998</c:v>
                </c:pt>
                <c:pt idx="1">
                  <c:v>7.5185510000000004</c:v>
                </c:pt>
                <c:pt idx="2">
                  <c:v>5.3610980000000001</c:v>
                </c:pt>
                <c:pt idx="3">
                  <c:v>5.0228830000000002</c:v>
                </c:pt>
                <c:pt idx="4">
                  <c:v>5.1159970000000001</c:v>
                </c:pt>
                <c:pt idx="5">
                  <c:v>5.2864209999999998</c:v>
                </c:pt>
                <c:pt idx="6">
                  <c:v>3.376018954929064</c:v>
                </c:pt>
                <c:pt idx="7">
                  <c:v>3.8660573252593884</c:v>
                </c:pt>
                <c:pt idx="8">
                  <c:v>4.3878383950333992</c:v>
                </c:pt>
                <c:pt idx="9">
                  <c:v>4.7964203781049575</c:v>
                </c:pt>
                <c:pt idx="10">
                  <c:v>5.2213536989727931</c:v>
                </c:pt>
              </c:numCache>
            </c:numRef>
          </c:val>
          <c:smooth val="1"/>
          <c:extLst>
            <c:ext xmlns:c16="http://schemas.microsoft.com/office/drawing/2014/chart" uri="{C3380CC4-5D6E-409C-BE32-E72D297353CC}">
              <c16:uniqueId val="{00000001-FCF4-49C8-85CD-CE11543EF59B}"/>
            </c:ext>
          </c:extLst>
        </c:ser>
        <c:dLbls>
          <c:showLegendKey val="0"/>
          <c:showVal val="0"/>
          <c:showCatName val="0"/>
          <c:showSerName val="0"/>
          <c:showPercent val="0"/>
          <c:showBubbleSize val="0"/>
        </c:dLbls>
        <c:hiLowLines>
          <c:spPr>
            <a:ln w="0">
              <a:noFill/>
            </a:ln>
          </c:spPr>
        </c:hiLowLines>
        <c:smooth val="0"/>
        <c:axId val="84526369"/>
        <c:axId val="64768295"/>
      </c:lineChart>
      <c:catAx>
        <c:axId val="84526369"/>
        <c:scaling>
          <c:orientation val="minMax"/>
        </c:scaling>
        <c:delete val="0"/>
        <c:axPos val="b"/>
        <c:title>
          <c:tx>
            <c:rich>
              <a:bodyPr rot="0"/>
              <a:lstStyle/>
              <a:p>
                <a:pPr>
                  <a:defRPr sz="1000" b="1" strike="noStrike" spc="-1">
                    <a:solidFill>
                      <a:srgbClr val="000000"/>
                    </a:solidFill>
                    <a:latin typeface="Calibri"/>
                  </a:defRPr>
                </a:pPr>
                <a:r>
                  <a:rPr lang="en-IN" sz="1000" b="1" strike="noStrike" spc="-1">
                    <a:solidFill>
                      <a:srgbClr val="000000"/>
                    </a:solidFill>
                    <a:latin typeface="Calibri"/>
                  </a:rPr>
                  <a:t>Fiscal Year</a:t>
                </a:r>
              </a:p>
            </c:rich>
          </c:tx>
          <c:overlay val="0"/>
          <c:spPr>
            <a:noFill/>
            <a:ln w="0">
              <a:noFill/>
            </a:ln>
          </c:spPr>
        </c:title>
        <c:numFmt formatCode="General" sourceLinked="0"/>
        <c:majorTickMark val="none"/>
        <c:minorTickMark val="none"/>
        <c:tickLblPos val="nextTo"/>
        <c:spPr>
          <a:ln w="0">
            <a:solidFill>
              <a:srgbClr val="B3B3B3"/>
            </a:solidFill>
          </a:ln>
        </c:spPr>
        <c:txPr>
          <a:bodyPr/>
          <a:lstStyle/>
          <a:p>
            <a:pPr>
              <a:defRPr sz="1000" b="0" strike="noStrike" spc="-1">
                <a:solidFill>
                  <a:srgbClr val="000000"/>
                </a:solidFill>
                <a:latin typeface="Calibri"/>
              </a:defRPr>
            </a:pPr>
            <a:endParaRPr lang="en-US"/>
          </a:p>
        </c:txPr>
        <c:crossAx val="64768295"/>
        <c:crosses val="autoZero"/>
        <c:auto val="1"/>
        <c:lblAlgn val="ctr"/>
        <c:lblOffset val="100"/>
        <c:noMultiLvlLbl val="0"/>
      </c:catAx>
      <c:valAx>
        <c:axId val="64768295"/>
        <c:scaling>
          <c:orientation val="minMax"/>
        </c:scaling>
        <c:delete val="0"/>
        <c:axPos val="l"/>
        <c:majorGridlines>
          <c:spPr>
            <a:ln w="0">
              <a:solidFill>
                <a:srgbClr val="B3B3B3"/>
              </a:solidFill>
            </a:ln>
          </c:spPr>
        </c:majorGridlines>
        <c:title>
          <c:tx>
            <c:rich>
              <a:bodyPr rot="-5400000"/>
              <a:lstStyle/>
              <a:p>
                <a:pPr>
                  <a:defRPr sz="1000" b="1" strike="noStrike" spc="-1">
                    <a:solidFill>
                      <a:srgbClr val="000000"/>
                    </a:solidFill>
                    <a:latin typeface="Calibri"/>
                  </a:defRPr>
                </a:pPr>
                <a:r>
                  <a:rPr lang="en-IN" sz="1000" b="1" strike="noStrike" spc="-1">
                    <a:solidFill>
                      <a:srgbClr val="000000"/>
                    </a:solidFill>
                    <a:latin typeface="Calibri"/>
                  </a:rPr>
                  <a:t>EPS ($)</a:t>
                </a:r>
              </a:p>
            </c:rich>
          </c:tx>
          <c:overlay val="0"/>
          <c:spPr>
            <a:noFill/>
            <a:ln w="0">
              <a:noFill/>
            </a:ln>
          </c:spPr>
        </c:title>
        <c:numFmt formatCode="\$#,##0.00" sourceLinked="0"/>
        <c:majorTickMark val="none"/>
        <c:minorTickMark val="none"/>
        <c:tickLblPos val="nextTo"/>
        <c:spPr>
          <a:ln w="0">
            <a:solidFill>
              <a:srgbClr val="B3B3B3"/>
            </a:solidFill>
          </a:ln>
        </c:spPr>
        <c:txPr>
          <a:bodyPr/>
          <a:lstStyle/>
          <a:p>
            <a:pPr>
              <a:defRPr sz="1000" b="0" strike="noStrike" spc="-1">
                <a:solidFill>
                  <a:srgbClr val="000000"/>
                </a:solidFill>
                <a:latin typeface="Calibri"/>
              </a:defRPr>
            </a:pPr>
            <a:endParaRPr lang="en-US"/>
          </a:p>
        </c:txPr>
        <c:crossAx val="84526369"/>
        <c:crosses val="autoZero"/>
        <c:crossBetween val="between"/>
      </c:valAx>
      <c:spPr>
        <a:noFill/>
        <a:ln w="0">
          <a:noFill/>
        </a:ln>
      </c:spPr>
    </c:plotArea>
    <c:legend>
      <c:legendPos val="r"/>
      <c:overlay val="0"/>
      <c:spPr>
        <a:noFill/>
        <a:ln w="0">
          <a:noFill/>
        </a:ln>
      </c:spPr>
      <c:txPr>
        <a:bodyPr/>
        <a:lstStyle/>
        <a:p>
          <a:pPr>
            <a:defRPr sz="1000" b="0" strike="noStrike" spc="-1">
              <a:solidFill>
                <a:srgbClr val="000000"/>
              </a:solidFill>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a:lstStyle/>
          <a:p>
            <a:pPr>
              <a:defRPr sz="1800" b="1" strike="noStrike" spc="-1">
                <a:solidFill>
                  <a:srgbClr val="000000"/>
                </a:solidFill>
                <a:latin typeface="Calibri"/>
              </a:defRPr>
            </a:pPr>
            <a:r>
              <a:rPr lang="en-IN" sz="1800" b="1" strike="noStrike" spc="-1">
                <a:solidFill>
                  <a:srgbClr val="000000"/>
                </a:solidFill>
                <a:latin typeface="Calibri"/>
              </a:rPr>
              <a:t>Domestic SSS Growth % &amp; Revenue per Store ($M)</a:t>
            </a:r>
          </a:p>
        </c:rich>
      </c:tx>
      <c:overlay val="0"/>
      <c:spPr>
        <a:noFill/>
        <a:ln w="0">
          <a:noFill/>
        </a:ln>
      </c:spPr>
    </c:title>
    <c:autoTitleDeleted val="0"/>
    <c:plotArea>
      <c:layout/>
      <c:barChart>
        <c:barDir val="col"/>
        <c:grouping val="clustered"/>
        <c:varyColors val="0"/>
        <c:ser>
          <c:idx val="0"/>
          <c:order val="0"/>
          <c:tx>
            <c:v>Domestic SSS%</c:v>
          </c:tx>
          <c:spPr>
            <a:solidFill>
              <a:srgbClr val="2E75B6"/>
            </a:solidFill>
            <a:ln w="0">
              <a:solidFill>
                <a:srgbClr val="2E75B6"/>
              </a:solidFill>
            </a:ln>
          </c:spPr>
          <c:invertIfNegative val="0"/>
          <c:dLbls>
            <c:spPr>
              <a:noFill/>
              <a:ln>
                <a:noFill/>
              </a:ln>
              <a:effectLst/>
            </c:spPr>
            <c:txPr>
              <a:bodyPr wrap="square"/>
              <a:lstStyle/>
              <a:p>
                <a:pPr>
                  <a:defRPr sz="1000" b="0" strike="noStrike" spc="-1">
                    <a:solidFill>
                      <a:srgbClr val="000000"/>
                    </a:solidFill>
                    <a:latin typeface="Arial"/>
                  </a:defRPr>
                </a:pPr>
                <a:endParaRPr lang="en-US"/>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val>
            <c:numRef>
              <c:f>'Chart Data'!$B$53:$L$53</c:f>
              <c:numCache>
                <c:formatCode>0.0%</c:formatCode>
                <c:ptCount val="11"/>
                <c:pt idx="0">
                  <c:v>9.1999999999999998E-2</c:v>
                </c:pt>
                <c:pt idx="1">
                  <c:v>0.11</c:v>
                </c:pt>
                <c:pt idx="2">
                  <c:v>-0.10299999999999999</c:v>
                </c:pt>
                <c:pt idx="3">
                  <c:v>-7.0999999999999994E-2</c:v>
                </c:pt>
                <c:pt idx="4">
                  <c:v>-2.5000000000000001E-2</c:v>
                </c:pt>
                <c:pt idx="5">
                  <c:v>4.0000000000000001E-3</c:v>
                </c:pt>
                <c:pt idx="6">
                  <c:v>0.01</c:v>
                </c:pt>
                <c:pt idx="7">
                  <c:v>1.4999999999999999E-2</c:v>
                </c:pt>
                <c:pt idx="8">
                  <c:v>0.02</c:v>
                </c:pt>
                <c:pt idx="9">
                  <c:v>0.02</c:v>
                </c:pt>
                <c:pt idx="10">
                  <c:v>0.02</c:v>
                </c:pt>
              </c:numCache>
            </c:numRef>
          </c:val>
          <c:extLst>
            <c:ext xmlns:c16="http://schemas.microsoft.com/office/drawing/2014/chart" uri="{C3380CC4-5D6E-409C-BE32-E72D297353CC}">
              <c16:uniqueId val="{00000000-8A2E-4418-9C18-9A408F8A285B}"/>
            </c:ext>
          </c:extLst>
        </c:ser>
        <c:dLbls>
          <c:showLegendKey val="0"/>
          <c:showVal val="0"/>
          <c:showCatName val="0"/>
          <c:showSerName val="0"/>
          <c:showPercent val="0"/>
          <c:showBubbleSize val="0"/>
        </c:dLbls>
        <c:gapWidth val="150"/>
        <c:axId val="58459795"/>
        <c:axId val="21993810"/>
      </c:barChart>
      <c:lineChart>
        <c:grouping val="standard"/>
        <c:varyColors val="0"/>
        <c:ser>
          <c:idx val="1"/>
          <c:order val="1"/>
          <c:tx>
            <c:v>Revenue per Store</c:v>
          </c:tx>
          <c:spPr>
            <a:ln w="21960">
              <a:solidFill>
                <a:srgbClr val="E26B0A"/>
              </a:solidFill>
              <a:round/>
            </a:ln>
          </c:spPr>
          <c:marker>
            <c:symbol val="none"/>
          </c:marker>
          <c:dLbls>
            <c:spPr>
              <a:noFill/>
              <a:ln>
                <a:noFill/>
              </a:ln>
              <a:effectLst/>
            </c:spPr>
            <c:txPr>
              <a:bodyPr wrap="square"/>
              <a:lstStyle/>
              <a:p>
                <a:pPr>
                  <a:defRPr sz="1000" b="0" strike="noStrike" spc="-1">
                    <a:solidFill>
                      <a:srgbClr val="000000"/>
                    </a:solidFill>
                    <a:latin typeface="Arial"/>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val>
            <c:numRef>
              <c:f>'Chart Data'!$B$54:$L$54</c:f>
              <c:numCache>
                <c:formatCode>#,##0.0</c:formatCode>
                <c:ptCount val="11"/>
                <c:pt idx="0">
                  <c:v>43.292999999999999</c:v>
                </c:pt>
                <c:pt idx="1">
                  <c:v>48.435443037974686</c:v>
                </c:pt>
                <c:pt idx="2">
                  <c:v>43.622833843017332</c:v>
                </c:pt>
                <c:pt idx="3">
                  <c:v>41.273288728769941</c:v>
                </c:pt>
                <c:pt idx="4">
                  <c:v>39.789802289282001</c:v>
                </c:pt>
                <c:pt idx="5">
                  <c:v>40.656399362719064</c:v>
                </c:pt>
                <c:pt idx="6">
                  <c:v>42.087866402679367</c:v>
                </c:pt>
                <c:pt idx="7">
                  <c:v>43.280970933278056</c:v>
                </c:pt>
                <c:pt idx="8">
                  <c:v>44.708500467103946</c:v>
                </c:pt>
                <c:pt idx="9">
                  <c:v>46.163150225318553</c:v>
                </c:pt>
                <c:pt idx="10">
                  <c:v>47.643805945623299</c:v>
                </c:pt>
              </c:numCache>
            </c:numRef>
          </c:val>
          <c:smooth val="1"/>
          <c:extLst>
            <c:ext xmlns:c16="http://schemas.microsoft.com/office/drawing/2014/chart" uri="{C3380CC4-5D6E-409C-BE32-E72D297353CC}">
              <c16:uniqueId val="{00000001-8A2E-4418-9C18-9A408F8A285B}"/>
            </c:ext>
          </c:extLst>
        </c:ser>
        <c:dLbls>
          <c:showLegendKey val="0"/>
          <c:showVal val="0"/>
          <c:showCatName val="0"/>
          <c:showSerName val="0"/>
          <c:showPercent val="0"/>
          <c:showBubbleSize val="0"/>
        </c:dLbls>
        <c:hiLowLines>
          <c:spPr>
            <a:ln w="0">
              <a:noFill/>
            </a:ln>
          </c:spPr>
        </c:hiLowLines>
        <c:marker val="1"/>
        <c:smooth val="0"/>
        <c:axId val="95834669"/>
        <c:axId val="1063413"/>
      </c:lineChart>
      <c:catAx>
        <c:axId val="58459795"/>
        <c:scaling>
          <c:orientation val="minMax"/>
        </c:scaling>
        <c:delete val="0"/>
        <c:axPos val="b"/>
        <c:title>
          <c:tx>
            <c:rich>
              <a:bodyPr rot="0"/>
              <a:lstStyle/>
              <a:p>
                <a:pPr>
                  <a:defRPr sz="1000" b="1" strike="noStrike" spc="-1">
                    <a:solidFill>
                      <a:srgbClr val="000000"/>
                    </a:solidFill>
                    <a:latin typeface="Calibri"/>
                  </a:defRPr>
                </a:pPr>
                <a:r>
                  <a:rPr lang="en-IN" sz="1000" b="1" strike="noStrike" spc="-1">
                    <a:solidFill>
                      <a:srgbClr val="000000"/>
                    </a:solidFill>
                    <a:latin typeface="Calibri"/>
                  </a:rPr>
                  <a:t>Fiscal Year</a:t>
                </a:r>
              </a:p>
            </c:rich>
          </c:tx>
          <c:overlay val="0"/>
          <c:spPr>
            <a:noFill/>
            <a:ln w="0">
              <a:noFill/>
            </a:ln>
          </c:spPr>
        </c:title>
        <c:numFmt formatCode="General" sourceLinked="0"/>
        <c:majorTickMark val="none"/>
        <c:minorTickMark val="none"/>
        <c:tickLblPos val="nextTo"/>
        <c:spPr>
          <a:ln w="0">
            <a:solidFill>
              <a:srgbClr val="B3B3B3"/>
            </a:solidFill>
          </a:ln>
        </c:spPr>
        <c:txPr>
          <a:bodyPr/>
          <a:lstStyle/>
          <a:p>
            <a:pPr>
              <a:defRPr sz="1000" b="0" strike="noStrike" spc="-1">
                <a:solidFill>
                  <a:srgbClr val="000000"/>
                </a:solidFill>
                <a:latin typeface="Calibri"/>
              </a:defRPr>
            </a:pPr>
            <a:endParaRPr lang="en-US"/>
          </a:p>
        </c:txPr>
        <c:crossAx val="21993810"/>
        <c:crosses val="autoZero"/>
        <c:auto val="1"/>
        <c:lblAlgn val="ctr"/>
        <c:lblOffset val="100"/>
        <c:noMultiLvlLbl val="0"/>
      </c:catAx>
      <c:valAx>
        <c:axId val="21993810"/>
        <c:scaling>
          <c:orientation val="minMax"/>
        </c:scaling>
        <c:delete val="0"/>
        <c:axPos val="l"/>
        <c:majorGridlines>
          <c:spPr>
            <a:ln w="0">
              <a:solidFill>
                <a:srgbClr val="B3B3B3"/>
              </a:solidFill>
            </a:ln>
          </c:spPr>
        </c:majorGridlines>
        <c:title>
          <c:tx>
            <c:rich>
              <a:bodyPr rot="-5400000"/>
              <a:lstStyle/>
              <a:p>
                <a:pPr>
                  <a:defRPr sz="1000" b="1" strike="noStrike" spc="-1">
                    <a:solidFill>
                      <a:srgbClr val="000000"/>
                    </a:solidFill>
                    <a:latin typeface="Calibri"/>
                  </a:defRPr>
                </a:pPr>
                <a:r>
                  <a:rPr lang="en-IN" sz="1000" b="1" strike="noStrike" spc="-1">
                    <a:solidFill>
                      <a:srgbClr val="000000"/>
                    </a:solidFill>
                    <a:latin typeface="Calibri"/>
                  </a:rPr>
                  <a:t>SSS Growth %</a:t>
                </a:r>
              </a:p>
            </c:rich>
          </c:tx>
          <c:overlay val="0"/>
          <c:spPr>
            <a:noFill/>
            <a:ln w="0">
              <a:noFill/>
            </a:ln>
          </c:spPr>
        </c:title>
        <c:numFmt formatCode="0.0%" sourceLinked="0"/>
        <c:majorTickMark val="none"/>
        <c:minorTickMark val="none"/>
        <c:tickLblPos val="nextTo"/>
        <c:spPr>
          <a:ln w="0">
            <a:solidFill>
              <a:srgbClr val="B3B3B3"/>
            </a:solidFill>
          </a:ln>
        </c:spPr>
        <c:txPr>
          <a:bodyPr/>
          <a:lstStyle/>
          <a:p>
            <a:pPr>
              <a:defRPr sz="1000" b="0" strike="noStrike" spc="-1">
                <a:solidFill>
                  <a:srgbClr val="000000"/>
                </a:solidFill>
                <a:latin typeface="Calibri"/>
              </a:defRPr>
            </a:pPr>
            <a:endParaRPr lang="en-US"/>
          </a:p>
        </c:txPr>
        <c:crossAx val="58459795"/>
        <c:crosses val="autoZero"/>
        <c:crossBetween val="between"/>
      </c:valAx>
      <c:catAx>
        <c:axId val="95834669"/>
        <c:scaling>
          <c:orientation val="minMax"/>
        </c:scaling>
        <c:delete val="0"/>
        <c:axPos val="b"/>
        <c:numFmt formatCode="General" sourceLinked="0"/>
        <c:majorTickMark val="none"/>
        <c:minorTickMark val="none"/>
        <c:tickLblPos val="nextTo"/>
        <c:spPr>
          <a:ln w="0">
            <a:solidFill>
              <a:srgbClr val="B3B3B3"/>
            </a:solidFill>
          </a:ln>
        </c:spPr>
        <c:txPr>
          <a:bodyPr/>
          <a:lstStyle/>
          <a:p>
            <a:pPr>
              <a:defRPr sz="1000" b="0" strike="noStrike" spc="-1">
                <a:solidFill>
                  <a:srgbClr val="000000"/>
                </a:solidFill>
                <a:latin typeface="Calibri"/>
              </a:defRPr>
            </a:pPr>
            <a:endParaRPr lang="en-US"/>
          </a:p>
        </c:txPr>
        <c:crossAx val="1063413"/>
        <c:crosses val="autoZero"/>
        <c:auto val="1"/>
        <c:lblAlgn val="ctr"/>
        <c:lblOffset val="100"/>
        <c:noMultiLvlLbl val="0"/>
      </c:catAx>
      <c:valAx>
        <c:axId val="1063413"/>
        <c:scaling>
          <c:orientation val="minMax"/>
        </c:scaling>
        <c:delete val="0"/>
        <c:axPos val="r"/>
        <c:title>
          <c:tx>
            <c:rich>
              <a:bodyPr rot="-5400000"/>
              <a:lstStyle/>
              <a:p>
                <a:pPr>
                  <a:defRPr sz="1000" b="1" strike="noStrike" spc="-1">
                    <a:solidFill>
                      <a:srgbClr val="000000"/>
                    </a:solidFill>
                    <a:latin typeface="Calibri"/>
                  </a:defRPr>
                </a:pPr>
                <a:r>
                  <a:rPr lang="en-IN" sz="1000" b="1" strike="noStrike" spc="-1">
                    <a:solidFill>
                      <a:srgbClr val="000000"/>
                    </a:solidFill>
                    <a:latin typeface="Calibri"/>
                  </a:rPr>
                  <a:t>Rev/Store ($M)</a:t>
                </a:r>
              </a:p>
            </c:rich>
          </c:tx>
          <c:overlay val="0"/>
          <c:spPr>
            <a:noFill/>
            <a:ln w="0">
              <a:noFill/>
            </a:ln>
          </c:spPr>
        </c:title>
        <c:numFmt formatCode="#,##0.0" sourceLinked="0"/>
        <c:majorTickMark val="none"/>
        <c:minorTickMark val="none"/>
        <c:tickLblPos val="nextTo"/>
        <c:spPr>
          <a:ln w="0">
            <a:solidFill>
              <a:srgbClr val="B3B3B3"/>
            </a:solidFill>
          </a:ln>
        </c:spPr>
        <c:txPr>
          <a:bodyPr/>
          <a:lstStyle/>
          <a:p>
            <a:pPr>
              <a:defRPr sz="1000" b="0" strike="noStrike" spc="-1">
                <a:solidFill>
                  <a:srgbClr val="000000"/>
                </a:solidFill>
                <a:latin typeface="Calibri"/>
              </a:defRPr>
            </a:pPr>
            <a:endParaRPr lang="en-US"/>
          </a:p>
        </c:txPr>
        <c:crossAx val="95834669"/>
        <c:crosses val="max"/>
        <c:crossBetween val="between"/>
      </c:valAx>
      <c:spPr>
        <a:noFill/>
        <a:ln w="0">
          <a:noFill/>
        </a:ln>
      </c:spPr>
    </c:plotArea>
    <c:legend>
      <c:legendPos val="r"/>
      <c:overlay val="0"/>
      <c:spPr>
        <a:noFill/>
        <a:ln w="0">
          <a:noFill/>
        </a:ln>
      </c:spPr>
      <c:txPr>
        <a:bodyPr/>
        <a:lstStyle/>
        <a:p>
          <a:pPr>
            <a:defRPr sz="1000" b="0" strike="noStrike" spc="-1">
              <a:solidFill>
                <a:srgbClr val="000000"/>
              </a:solidFill>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a:lstStyle/>
          <a:p>
            <a:pPr>
              <a:defRPr sz="1800" b="1" strike="noStrike" spc="-1">
                <a:solidFill>
                  <a:srgbClr val="000000"/>
                </a:solidFill>
                <a:latin typeface="Calibri"/>
              </a:defRPr>
            </a:pPr>
            <a:r>
              <a:rPr lang="en-IN" sz="1800" b="1" strike="noStrike" spc="-1">
                <a:solidFill>
                  <a:srgbClr val="000000"/>
                </a:solidFill>
                <a:latin typeface="Calibri"/>
              </a:rPr>
              <a:t>Football Field Valuation | Current Price: $63.39</a:t>
            </a:r>
          </a:p>
        </c:rich>
      </c:tx>
      <c:overlay val="0"/>
      <c:spPr>
        <a:noFill/>
        <a:ln w="0">
          <a:noFill/>
        </a:ln>
      </c:spPr>
    </c:title>
    <c:autoTitleDeleted val="0"/>
    <c:plotArea>
      <c:layout/>
      <c:barChart>
        <c:barDir val="bar"/>
        <c:grouping val="stacked"/>
        <c:varyColors val="0"/>
        <c:ser>
          <c:idx val="0"/>
          <c:order val="0"/>
          <c:tx>
            <c:v>_invisible</c:v>
          </c:tx>
          <c:spPr>
            <a:solidFill>
              <a:srgbClr val="FFFFFF"/>
            </a:solidFill>
            <a:ln w="0">
              <a:solidFill>
                <a:srgbClr val="FFFFFF"/>
              </a:solidFill>
            </a:ln>
          </c:spPr>
          <c:invertIfNegative val="0"/>
          <c:dLbls>
            <c:spPr>
              <a:noFill/>
              <a:ln>
                <a:noFill/>
              </a:ln>
              <a:effectLst/>
            </c:spPr>
            <c:txPr>
              <a:bodyPr wrap="square"/>
              <a:lstStyle/>
              <a:p>
                <a:pPr>
                  <a:defRPr sz="1000" b="0" strike="noStrike" spc="-1">
                    <a:solidFill>
                      <a:srgbClr val="000000"/>
                    </a:solidFill>
                    <a:latin typeface="Arial"/>
                  </a:defRPr>
                </a:pPr>
                <a:endParaRPr lang="en-US"/>
              </a:p>
            </c:txPr>
            <c:dLblPos val="ct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val>
            <c:numRef>
              <c:f>'[2]Chart Data'!$B$59:$B$63</c:f>
              <c:numCache>
                <c:formatCode>General</c:formatCode>
                <c:ptCount val="5"/>
                <c:pt idx="0">
                  <c:v>62</c:v>
                </c:pt>
                <c:pt idx="1">
                  <c:v>50</c:v>
                </c:pt>
                <c:pt idx="2">
                  <c:v>81</c:v>
                </c:pt>
                <c:pt idx="3">
                  <c:v>62.37</c:v>
                </c:pt>
                <c:pt idx="4">
                  <c:v>62.87</c:v>
                </c:pt>
              </c:numCache>
            </c:numRef>
          </c:val>
          <c:extLst>
            <c:ext xmlns:c16="http://schemas.microsoft.com/office/drawing/2014/chart" uri="{C3380CC4-5D6E-409C-BE32-E72D297353CC}">
              <c16:uniqueId val="{00000000-F307-4697-BB2B-A61E7E3495F2}"/>
            </c:ext>
          </c:extLst>
        </c:ser>
        <c:ser>
          <c:idx val="1"/>
          <c:order val="1"/>
          <c:tx>
            <c:v>Valuation Range</c:v>
          </c:tx>
          <c:spPr>
            <a:solidFill>
              <a:srgbClr val="1F3864"/>
            </a:solidFill>
            <a:ln w="0">
              <a:solidFill>
                <a:srgbClr val="1F3864"/>
              </a:solidFill>
            </a:ln>
          </c:spPr>
          <c:invertIfNegative val="0"/>
          <c:dLbls>
            <c:spPr>
              <a:noFill/>
              <a:ln>
                <a:noFill/>
              </a:ln>
              <a:effectLst/>
            </c:spPr>
            <c:txPr>
              <a:bodyPr wrap="square"/>
              <a:lstStyle/>
              <a:p>
                <a:pPr>
                  <a:defRPr sz="1000" b="0" strike="noStrike" spc="-1">
                    <a:solidFill>
                      <a:srgbClr val="000000"/>
                    </a:solidFill>
                    <a:latin typeface="Arial"/>
                  </a:defRPr>
                </a:pPr>
                <a:endParaRPr lang="en-US"/>
              </a:p>
            </c:txPr>
            <c:dLblPos val="ct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val>
            <c:numRef>
              <c:f>'Chart Data'!$C$59:$C$63</c:f>
              <c:numCache>
                <c:formatCode>\$#,##0.00</c:formatCode>
                <c:ptCount val="5"/>
                <c:pt idx="0">
                  <c:v>34</c:v>
                </c:pt>
                <c:pt idx="1">
                  <c:v>26</c:v>
                </c:pt>
                <c:pt idx="2">
                  <c:v>42</c:v>
                </c:pt>
                <c:pt idx="3">
                  <c:v>27.630000000000003</c:v>
                </c:pt>
                <c:pt idx="4">
                  <c:v>25.300000000000004</c:v>
                </c:pt>
              </c:numCache>
            </c:numRef>
          </c:val>
          <c:extLst>
            <c:ext xmlns:c16="http://schemas.microsoft.com/office/drawing/2014/chart" uri="{C3380CC4-5D6E-409C-BE32-E72D297353CC}">
              <c16:uniqueId val="{00000001-F307-4697-BB2B-A61E7E3495F2}"/>
            </c:ext>
          </c:extLst>
        </c:ser>
        <c:dLbls>
          <c:showLegendKey val="0"/>
          <c:showVal val="0"/>
          <c:showCatName val="0"/>
          <c:showSerName val="0"/>
          <c:showPercent val="0"/>
          <c:showBubbleSize val="0"/>
        </c:dLbls>
        <c:gapWidth val="150"/>
        <c:overlap val="100"/>
        <c:axId val="97999137"/>
        <c:axId val="96685426"/>
      </c:barChart>
      <c:catAx>
        <c:axId val="97999137"/>
        <c:scaling>
          <c:orientation val="minMax"/>
        </c:scaling>
        <c:delete val="0"/>
        <c:axPos val="l"/>
        <c:title>
          <c:tx>
            <c:rich>
              <a:bodyPr rot="-5400000"/>
              <a:lstStyle/>
              <a:p>
                <a:pPr>
                  <a:defRPr sz="1000" b="1" strike="noStrike" spc="-1">
                    <a:solidFill>
                      <a:srgbClr val="000000"/>
                    </a:solidFill>
                    <a:latin typeface="Calibri"/>
                  </a:defRPr>
                </a:pPr>
                <a:r>
                  <a:rPr lang="en-IN" sz="1000" b="1" strike="noStrike" spc="-1">
                    <a:solidFill>
                      <a:srgbClr val="000000"/>
                    </a:solidFill>
                    <a:latin typeface="Calibri"/>
                  </a:rPr>
                  <a:t>Implied Share Price ($)</a:t>
                </a:r>
              </a:p>
            </c:rich>
          </c:tx>
          <c:overlay val="0"/>
          <c:spPr>
            <a:noFill/>
            <a:ln w="0">
              <a:noFill/>
            </a:ln>
          </c:spPr>
        </c:title>
        <c:numFmt formatCode="General" sourceLinked="0"/>
        <c:majorTickMark val="none"/>
        <c:minorTickMark val="none"/>
        <c:tickLblPos val="nextTo"/>
        <c:spPr>
          <a:ln w="0">
            <a:solidFill>
              <a:srgbClr val="B3B3B3"/>
            </a:solidFill>
          </a:ln>
        </c:spPr>
        <c:txPr>
          <a:bodyPr/>
          <a:lstStyle/>
          <a:p>
            <a:pPr>
              <a:defRPr sz="1000" b="0" strike="noStrike" spc="-1">
                <a:solidFill>
                  <a:srgbClr val="000000"/>
                </a:solidFill>
                <a:latin typeface="Calibri"/>
              </a:defRPr>
            </a:pPr>
            <a:endParaRPr lang="en-US"/>
          </a:p>
        </c:txPr>
        <c:crossAx val="96685426"/>
        <c:crosses val="autoZero"/>
        <c:auto val="1"/>
        <c:lblAlgn val="ctr"/>
        <c:lblOffset val="100"/>
        <c:noMultiLvlLbl val="0"/>
      </c:catAx>
      <c:valAx>
        <c:axId val="96685426"/>
        <c:scaling>
          <c:orientation val="minMax"/>
        </c:scaling>
        <c:delete val="0"/>
        <c:axPos val="b"/>
        <c:majorGridlines>
          <c:spPr>
            <a:ln w="0">
              <a:solidFill>
                <a:srgbClr val="B3B3B3"/>
              </a:solidFill>
            </a:ln>
          </c:spPr>
        </c:majorGridlines>
        <c:numFmt formatCode="\$#,##0.00" sourceLinked="0"/>
        <c:majorTickMark val="none"/>
        <c:minorTickMark val="none"/>
        <c:tickLblPos val="nextTo"/>
        <c:spPr>
          <a:ln w="0">
            <a:solidFill>
              <a:srgbClr val="B3B3B3"/>
            </a:solidFill>
          </a:ln>
        </c:spPr>
        <c:txPr>
          <a:bodyPr/>
          <a:lstStyle/>
          <a:p>
            <a:pPr>
              <a:defRPr sz="1000" b="0" strike="noStrike" spc="-1">
                <a:solidFill>
                  <a:srgbClr val="000000"/>
                </a:solidFill>
                <a:latin typeface="Calibri"/>
              </a:defRPr>
            </a:pPr>
            <a:endParaRPr lang="en-US"/>
          </a:p>
        </c:txPr>
        <c:crossAx val="97999137"/>
        <c:crosses val="autoZero"/>
        <c:crossBetween val="between"/>
      </c:valAx>
      <c:spPr>
        <a:noFill/>
        <a:ln w="0">
          <a:noFill/>
        </a:ln>
      </c:spPr>
    </c:plotArea>
    <c:legend>
      <c:legendPos val="r"/>
      <c:legendEntry>
        <c:idx val="0"/>
        <c:delete val="1"/>
      </c:legendEntry>
      <c:overlay val="0"/>
      <c:spPr>
        <a:noFill/>
        <a:ln w="0">
          <a:noFill/>
        </a:ln>
      </c:spPr>
      <c:txPr>
        <a:bodyPr/>
        <a:lstStyle/>
        <a:p>
          <a:pPr>
            <a:defRPr sz="1000" b="0" strike="noStrike" spc="-1">
              <a:solidFill>
                <a:srgbClr val="000000"/>
              </a:solidFill>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2" Type="http://schemas.openxmlformats.org/officeDocument/2006/relationships/image" Target="../media/image4.svg"/><Relationship Id="rId1" Type="http://schemas.openxmlformats.org/officeDocument/2006/relationships/image" Target="../media/image3.png"/></Relationships>
</file>

<file path=xl/drawings/_rels/drawing5.xml.rels><?xml version="1.0" encoding="UTF-8" standalone="yes"?>
<Relationships xmlns="http://schemas.openxmlformats.org/package/2006/relationships"><Relationship Id="rId1" Type="http://schemas.openxmlformats.org/officeDocument/2006/relationships/image" Target="../media/image5.png"/></Relationships>
</file>

<file path=xl/drawings/_rels/drawing6.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xdr:col>
      <xdr:colOff>0</xdr:colOff>
      <xdr:row>34</xdr:row>
      <xdr:rowOff>0</xdr:rowOff>
    </xdr:from>
    <xdr:to>
      <xdr:col>1</xdr:col>
      <xdr:colOff>876300</xdr:colOff>
      <xdr:row>36</xdr:row>
      <xdr:rowOff>101600</xdr:rowOff>
    </xdr:to>
    <xdr:pic>
      <xdr:nvPicPr>
        <xdr:cNvPr id="2" name="Picture 3">
          <a:extLst>
            <a:ext uri="{FF2B5EF4-FFF2-40B4-BE49-F238E27FC236}">
              <a16:creationId xmlns:a16="http://schemas.microsoft.com/office/drawing/2014/main" id="{1EE5647A-5806-BC45-BF0F-5B50DD7AB14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492500" y="11582400"/>
          <a:ext cx="876300" cy="622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0</xdr:colOff>
      <xdr:row>86</xdr:row>
      <xdr:rowOff>0</xdr:rowOff>
    </xdr:from>
    <xdr:to>
      <xdr:col>1</xdr:col>
      <xdr:colOff>876300</xdr:colOff>
      <xdr:row>88</xdr:row>
      <xdr:rowOff>101600</xdr:rowOff>
    </xdr:to>
    <xdr:pic>
      <xdr:nvPicPr>
        <xdr:cNvPr id="2" name="Picture 3">
          <a:extLst>
            <a:ext uri="{FF2B5EF4-FFF2-40B4-BE49-F238E27FC236}">
              <a16:creationId xmlns:a16="http://schemas.microsoft.com/office/drawing/2014/main" id="{3AC45859-2152-B747-9053-722B9715E45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492500" y="17513300"/>
          <a:ext cx="876300" cy="622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251945</xdr:colOff>
      <xdr:row>7</xdr:row>
      <xdr:rowOff>118222</xdr:rowOff>
    </xdr:from>
    <xdr:to>
      <xdr:col>8</xdr:col>
      <xdr:colOff>96522</xdr:colOff>
      <xdr:row>39</xdr:row>
      <xdr:rowOff>61857</xdr:rowOff>
    </xdr:to>
    <xdr:pic>
      <xdr:nvPicPr>
        <xdr:cNvPr id="3" name="Picture 2">
          <a:extLst>
            <a:ext uri="{FF2B5EF4-FFF2-40B4-BE49-F238E27FC236}">
              <a16:creationId xmlns:a16="http://schemas.microsoft.com/office/drawing/2014/main" id="{D9EF6111-28F3-B857-4C76-A4FB9DBD9E47}"/>
            </a:ext>
          </a:extLst>
        </xdr:cNvPr>
        <xdr:cNvPicPr>
          <a:picLocks noChangeAspect="1"/>
        </xdr:cNvPicPr>
      </xdr:nvPicPr>
      <xdr:blipFill>
        <a:blip xmlns:r="http://schemas.openxmlformats.org/officeDocument/2006/relationships" r:embed="rId1"/>
        <a:stretch>
          <a:fillRect/>
        </a:stretch>
      </xdr:blipFill>
      <xdr:spPr>
        <a:xfrm>
          <a:off x="251945" y="1273922"/>
          <a:ext cx="6791477" cy="522683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151006</xdr:colOff>
      <xdr:row>10</xdr:row>
      <xdr:rowOff>11616</xdr:rowOff>
    </xdr:from>
    <xdr:to>
      <xdr:col>12</xdr:col>
      <xdr:colOff>327707</xdr:colOff>
      <xdr:row>47</xdr:row>
      <xdr:rowOff>114486</xdr:rowOff>
    </xdr:to>
    <xdr:pic>
      <xdr:nvPicPr>
        <xdr:cNvPr id="4" name="Graphic 1">
          <a:extLst>
            <a:ext uri="{FF2B5EF4-FFF2-40B4-BE49-F238E27FC236}">
              <a16:creationId xmlns:a16="http://schemas.microsoft.com/office/drawing/2014/main" id="{B373EFE8-D487-36C3-A2B2-AFB3B6EA512D}"/>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51006" y="1312592"/>
          <a:ext cx="8677275" cy="630555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246304</xdr:colOff>
      <xdr:row>25</xdr:row>
      <xdr:rowOff>130848</xdr:rowOff>
    </xdr:from>
    <xdr:to>
      <xdr:col>6</xdr:col>
      <xdr:colOff>57423</xdr:colOff>
      <xdr:row>41</xdr:row>
      <xdr:rowOff>122771</xdr:rowOff>
    </xdr:to>
    <xdr:pic>
      <xdr:nvPicPr>
        <xdr:cNvPr id="2" name="Picture 1">
          <a:extLst>
            <a:ext uri="{FF2B5EF4-FFF2-40B4-BE49-F238E27FC236}">
              <a16:creationId xmlns:a16="http://schemas.microsoft.com/office/drawing/2014/main" id="{5D27237C-6E16-2323-503F-AE5DE0D6E80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92668" y="1647151"/>
          <a:ext cx="4781437" cy="257810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276225</xdr:colOff>
      <xdr:row>13</xdr:row>
      <xdr:rowOff>55245</xdr:rowOff>
    </xdr:from>
    <xdr:to>
      <xdr:col>9</xdr:col>
      <xdr:colOff>325905</xdr:colOff>
      <xdr:row>32</xdr:row>
      <xdr:rowOff>57525</xdr:rowOff>
    </xdr:to>
    <xdr:graphicFrame macro="">
      <xdr:nvGraphicFramePr>
        <xdr:cNvPr id="9" name="Chart 1">
          <a:extLst>
            <a:ext uri="{FF2B5EF4-FFF2-40B4-BE49-F238E27FC236}">
              <a16:creationId xmlns:a16="http://schemas.microsoft.com/office/drawing/2014/main" id="{1F27B236-DF97-4C97-B830-0AE6EB6B531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9</xdr:col>
      <xdr:colOff>762000</xdr:colOff>
      <xdr:row>0</xdr:row>
      <xdr:rowOff>91440</xdr:rowOff>
    </xdr:from>
    <xdr:to>
      <xdr:col>19</xdr:col>
      <xdr:colOff>2055</xdr:colOff>
      <xdr:row>19</xdr:row>
      <xdr:rowOff>93720</xdr:rowOff>
    </xdr:to>
    <xdr:graphicFrame macro="">
      <xdr:nvGraphicFramePr>
        <xdr:cNvPr id="3" name="Chart 2">
          <a:extLst>
            <a:ext uri="{FF2B5EF4-FFF2-40B4-BE49-F238E27FC236}">
              <a16:creationId xmlns:a16="http://schemas.microsoft.com/office/drawing/2014/main" id="{F19CB09E-1854-425E-9312-BCF230ED8C72}"/>
            </a:ext>
            <a:ext uri="{147F2762-F138-4A5C-976F-8EAC2B608ADB}">
              <a16:predDERef xmlns:a16="http://schemas.microsoft.com/office/drawing/2014/main" pred="{1F27B236-DF97-4C97-B830-0AE6EB6B531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784860</xdr:colOff>
      <xdr:row>39</xdr:row>
      <xdr:rowOff>38100</xdr:rowOff>
    </xdr:from>
    <xdr:to>
      <xdr:col>10</xdr:col>
      <xdr:colOff>11580</xdr:colOff>
      <xdr:row>57</xdr:row>
      <xdr:rowOff>139440</xdr:rowOff>
    </xdr:to>
    <xdr:graphicFrame macro="">
      <xdr:nvGraphicFramePr>
        <xdr:cNvPr id="4" name="Chart 3">
          <a:extLst>
            <a:ext uri="{FF2B5EF4-FFF2-40B4-BE49-F238E27FC236}">
              <a16:creationId xmlns:a16="http://schemas.microsoft.com/office/drawing/2014/main" id="{2D76B193-1E80-4C93-98E5-6791FFCD5688}"/>
            </a:ext>
            <a:ext uri="{147F2762-F138-4A5C-976F-8EAC2B608ADB}">
              <a16:predDERef xmlns:a16="http://schemas.microsoft.com/office/drawing/2014/main" pred="{F19CB09E-1854-425E-9312-BCF230ED8C7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10</xdr:col>
      <xdr:colOff>472440</xdr:colOff>
      <xdr:row>20</xdr:row>
      <xdr:rowOff>160020</xdr:rowOff>
    </xdr:from>
    <xdr:to>
      <xdr:col>19</xdr:col>
      <xdr:colOff>522120</xdr:colOff>
      <xdr:row>40</xdr:row>
      <xdr:rowOff>375</xdr:rowOff>
    </xdr:to>
    <xdr:graphicFrame macro="">
      <xdr:nvGraphicFramePr>
        <xdr:cNvPr id="5" name="Chart 4">
          <a:extLst>
            <a:ext uri="{FF2B5EF4-FFF2-40B4-BE49-F238E27FC236}">
              <a16:creationId xmlns:a16="http://schemas.microsoft.com/office/drawing/2014/main" id="{15B49C13-87D7-45E1-B668-BEDB007FF64E}"/>
            </a:ext>
            <a:ext uri="{147F2762-F138-4A5C-976F-8EAC2B608ADB}">
              <a16:predDERef xmlns:a16="http://schemas.microsoft.com/office/drawing/2014/main" pred="{2D76B193-1E80-4C93-98E5-6791FFCD568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10</xdr:col>
      <xdr:colOff>594360</xdr:colOff>
      <xdr:row>41</xdr:row>
      <xdr:rowOff>91440</xdr:rowOff>
    </xdr:from>
    <xdr:to>
      <xdr:col>19</xdr:col>
      <xdr:colOff>644040</xdr:colOff>
      <xdr:row>60</xdr:row>
      <xdr:rowOff>177540</xdr:rowOff>
    </xdr:to>
    <xdr:graphicFrame macro="">
      <xdr:nvGraphicFramePr>
        <xdr:cNvPr id="6" name="Chart 5">
          <a:extLst>
            <a:ext uri="{FF2B5EF4-FFF2-40B4-BE49-F238E27FC236}">
              <a16:creationId xmlns:a16="http://schemas.microsoft.com/office/drawing/2014/main" id="{9E225C80-C00D-4A3C-A533-74CDE67129CB}"/>
            </a:ext>
            <a:ext uri="{147F2762-F138-4A5C-976F-8EAC2B608ADB}">
              <a16:predDERef xmlns:a16="http://schemas.microsoft.com/office/drawing/2014/main" pred="{15B49C13-87D7-45E1-B668-BEDB007FF64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11</xdr:col>
      <xdr:colOff>372931</xdr:colOff>
      <xdr:row>62</xdr:row>
      <xdr:rowOff>89647</xdr:rowOff>
    </xdr:from>
    <xdr:to>
      <xdr:col>20</xdr:col>
      <xdr:colOff>422612</xdr:colOff>
      <xdr:row>82</xdr:row>
      <xdr:rowOff>96858</xdr:rowOff>
    </xdr:to>
    <xdr:graphicFrame macro="">
      <xdr:nvGraphicFramePr>
        <xdr:cNvPr id="7" name="Chart 6">
          <a:extLst>
            <a:ext uri="{FF2B5EF4-FFF2-40B4-BE49-F238E27FC236}">
              <a16:creationId xmlns:a16="http://schemas.microsoft.com/office/drawing/2014/main" id="{EA757E22-8EDD-46AD-A4D4-5050D0DFBBA2}"/>
            </a:ext>
            <a:ext uri="{147F2762-F138-4A5C-976F-8EAC2B608ADB}">
              <a16:predDERef xmlns:a16="http://schemas.microsoft.com/office/drawing/2014/main" pred="{9E225C80-C00D-4A3C-A533-74CDE67129C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xdr:col>
      <xdr:colOff>0</xdr:colOff>
      <xdr:row>63</xdr:row>
      <xdr:rowOff>15240</xdr:rowOff>
    </xdr:from>
    <xdr:to>
      <xdr:col>10</xdr:col>
      <xdr:colOff>49680</xdr:colOff>
      <xdr:row>82</xdr:row>
      <xdr:rowOff>2280</xdr:rowOff>
    </xdr:to>
    <xdr:graphicFrame macro="">
      <xdr:nvGraphicFramePr>
        <xdr:cNvPr id="8" name="Chart 7">
          <a:extLst>
            <a:ext uri="{FF2B5EF4-FFF2-40B4-BE49-F238E27FC236}">
              <a16:creationId xmlns:a16="http://schemas.microsoft.com/office/drawing/2014/main" id="{1B851891-22E2-49F9-9A4E-3460AFA4F215}"/>
            </a:ext>
            <a:ext uri="{147F2762-F138-4A5C-976F-8EAC2B608ADB}">
              <a16:predDERef xmlns:a16="http://schemas.microsoft.com/office/drawing/2014/main" pred="{EA757E22-8EDD-46AD-A4D4-5050D0DFBBA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HP/Downloads/BBY_Charts_v1%20(2).xlsx" TargetMode="External"/><Relationship Id="rId1" Type="http://schemas.openxmlformats.org/officeDocument/2006/relationships/externalLinkPath" Target="file:///C:/Users/HP/Downloads/BBY_Charts_v1%20(2).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file:///C:/Users/HP/Downloads/BBY_Charts_v1%20(1).xlsx" TargetMode="External"/><Relationship Id="rId1" Type="http://schemas.openxmlformats.org/officeDocument/2006/relationships/externalLinkPath" Target="file:///C:/Users/HP/Downloads/BBY_Charts_v1%20(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harts"/>
      <sheetName val="Assumptions"/>
      <sheetName val="Geographic Revenue"/>
      <sheetName val="Business Segment Revenue"/>
      <sheetName val="Industry Metrics"/>
      <sheetName val="Revenue Build - Draft"/>
      <sheetName val="Revenue Build - Final"/>
      <sheetName val="Revenue Build - Bottom Up"/>
      <sheetName val="DCF - Base Model"/>
      <sheetName val="DCF - Bear Model"/>
      <sheetName val="FCFE Valuation"/>
      <sheetName val="Comp Analysis"/>
      <sheetName val="Football Field"/>
      <sheetName val="Football Field v0.2"/>
      <sheetName val="Blended Implied Pricing Summary"/>
      <sheetName val="WACC"/>
      <sheetName val="Historical Data ==&gt;"/>
      <sheetName val="Historical Income Statement"/>
      <sheetName val="Historical Balance Sheet"/>
      <sheetName val="Historical Cash Flow"/>
      <sheetName val="Multiples"/>
      <sheetName val="Historical Capitalization"/>
      <sheetName val="Chart Data"/>
      <sheetName val="LBO - Base Model"/>
      <sheetName val="Per-Store Unit Economics"/>
    </sheetNames>
    <sheetDataSet>
      <sheetData sheetId="0"/>
      <sheetData sheetId="1">
        <row r="36">
          <cell r="B36">
            <v>4.2999999999999997E-2</v>
          </cell>
          <cell r="C36">
            <v>4.5999999999999999E-2</v>
          </cell>
          <cell r="D36">
            <v>4.9000000000000002E-2</v>
          </cell>
          <cell r="E36">
            <v>5.0999999999999997E-2</v>
          </cell>
          <cell r="F36">
            <v>5.2999999999999999E-2</v>
          </cell>
        </row>
      </sheetData>
      <sheetData sheetId="2"/>
      <sheetData sheetId="3"/>
      <sheetData sheetId="4"/>
      <sheetData sheetId="5"/>
      <sheetData sheetId="6"/>
      <sheetData sheetId="7"/>
      <sheetData sheetId="8">
        <row r="12">
          <cell r="D12">
            <v>800</v>
          </cell>
          <cell r="E12">
            <v>793</v>
          </cell>
          <cell r="F12">
            <v>782</v>
          </cell>
          <cell r="G12">
            <v>772</v>
          </cell>
          <cell r="H12">
            <v>762</v>
          </cell>
        </row>
        <row r="13">
          <cell r="D13">
            <v>750</v>
          </cell>
          <cell r="E13">
            <v>710</v>
          </cell>
          <cell r="F13">
            <v>700</v>
          </cell>
          <cell r="G13">
            <v>690</v>
          </cell>
          <cell r="H13">
            <v>680</v>
          </cell>
        </row>
      </sheetData>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harts"/>
      <sheetName val="Assumptions"/>
      <sheetName val="Geographic Revenue"/>
      <sheetName val="Business Segment Revenue"/>
      <sheetName val="Industry Metrics"/>
      <sheetName val="Revenue Build - Draft"/>
      <sheetName val="Revenue Build - Final"/>
      <sheetName val="Revenue Build - Bottom Up"/>
      <sheetName val="DCF - Base Model"/>
      <sheetName val="DCF - Bear Model"/>
      <sheetName val="FCFE Valuation"/>
      <sheetName val="Comp Analysis"/>
      <sheetName val="Football Field"/>
      <sheetName val="Football Field v0.2"/>
      <sheetName val="Blended Implied Pricing Summary"/>
      <sheetName val="WACC"/>
      <sheetName val="Historical Data ==&gt;"/>
      <sheetName val="Historical Income Statement"/>
      <sheetName val="Historical Balance Sheet"/>
      <sheetName val="Historical Cash Flow"/>
      <sheetName val="Multiples"/>
      <sheetName val="Historical Capitalization"/>
      <sheetName val="Chart Data"/>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row r="4">
          <cell r="B4">
            <v>22478</v>
          </cell>
        </row>
        <row r="59">
          <cell r="B59">
            <v>62</v>
          </cell>
        </row>
        <row r="60">
          <cell r="B60">
            <v>50</v>
          </cell>
        </row>
        <row r="61">
          <cell r="B61">
            <v>81</v>
          </cell>
        </row>
        <row r="62">
          <cell r="B62">
            <v>62.37</v>
          </cell>
        </row>
        <row r="63">
          <cell r="B63">
            <v>62.87</v>
          </cell>
        </row>
      </sheetData>
    </sheetDataSet>
  </externalBook>
</externalLink>
</file>

<file path=xl/theme/theme1.xml><?xml version="1.0" encoding="utf-8"?>
<a:theme xmlns:a="http://schemas.openxmlformats.org/drawingml/2006/main" name="Office Theme">
  <a:themeElements>
    <a:clrScheme name="Office">
      <a:dk1>
        <a:srgbClr val="000000"/>
      </a:dk1>
      <a:lt1>
        <a:srgbClr val="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majorFont>
      <a:minorFont>
        <a:latin typeface="Calibri" panose="020F0502020204030204"/>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_rels/sheet3.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6.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6.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17.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19.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DDBE76-C984-403D-B3F1-F83BE31EED79}">
  <sheetPr>
    <tabColor theme="4"/>
  </sheetPr>
  <dimension ref="A1:T25"/>
  <sheetViews>
    <sheetView showGridLines="0" workbookViewId="0"/>
  </sheetViews>
  <sheetFormatPr baseColWidth="10" defaultColWidth="8.83203125" defaultRowHeight="13"/>
  <cols>
    <col min="1" max="1" width="3.6640625" customWidth="1"/>
    <col min="2" max="2" width="33.5" bestFit="1" customWidth="1"/>
    <col min="3" max="3" width="55.5" bestFit="1" customWidth="1"/>
  </cols>
  <sheetData>
    <row r="1" spans="1:20" ht="16">
      <c r="A1" s="545"/>
      <c r="B1" s="545"/>
      <c r="C1" s="545"/>
      <c r="D1" s="545"/>
      <c r="E1" s="545"/>
      <c r="F1" s="545"/>
      <c r="G1" s="545"/>
      <c r="H1" s="545"/>
      <c r="I1" s="545"/>
      <c r="J1" s="545"/>
      <c r="K1" s="545"/>
      <c r="L1" s="545"/>
      <c r="M1" s="545"/>
      <c r="N1" s="545"/>
      <c r="O1" s="545"/>
      <c r="P1" s="545"/>
      <c r="Q1" s="545"/>
      <c r="R1" s="545"/>
      <c r="S1" s="545"/>
      <c r="T1" s="545"/>
    </row>
    <row r="2" spans="1:20" ht="21">
      <c r="A2" s="545"/>
      <c r="B2" s="635" t="s">
        <v>0</v>
      </c>
      <c r="C2" s="635"/>
      <c r="D2" s="635"/>
      <c r="E2" s="635"/>
      <c r="F2" s="635"/>
      <c r="G2" s="635"/>
      <c r="H2" s="635"/>
      <c r="I2" s="635"/>
      <c r="J2" s="635"/>
      <c r="K2" s="635"/>
      <c r="L2" s="635"/>
      <c r="M2" s="635"/>
      <c r="N2" s="635"/>
      <c r="O2" s="635"/>
      <c r="P2" s="635"/>
      <c r="Q2" s="635"/>
      <c r="R2" s="635"/>
      <c r="S2" s="635"/>
      <c r="T2" s="545"/>
    </row>
    <row r="3" spans="1:20" ht="16">
      <c r="A3" s="545"/>
      <c r="B3" s="545"/>
      <c r="C3" s="545"/>
      <c r="D3" s="545"/>
      <c r="E3" s="545"/>
      <c r="F3" s="545"/>
      <c r="G3" s="545"/>
      <c r="H3" s="545"/>
      <c r="I3" s="545"/>
      <c r="J3" s="545"/>
      <c r="K3" s="545"/>
      <c r="L3" s="545"/>
      <c r="M3" s="545"/>
      <c r="N3" s="545"/>
      <c r="O3" s="545"/>
      <c r="P3" s="545"/>
      <c r="Q3" s="545"/>
      <c r="R3" s="545"/>
      <c r="S3" s="545"/>
      <c r="T3" s="545"/>
    </row>
    <row r="4" spans="1:20" ht="16">
      <c r="A4" s="545"/>
      <c r="B4" s="636" t="s">
        <v>1</v>
      </c>
      <c r="C4" s="637"/>
      <c r="D4" s="546"/>
      <c r="E4" s="546"/>
      <c r="F4" s="546"/>
      <c r="G4" s="546"/>
      <c r="H4" s="546"/>
      <c r="I4" s="546"/>
      <c r="J4" s="546"/>
      <c r="K4" s="546"/>
      <c r="L4" s="546"/>
      <c r="M4" s="546"/>
      <c r="N4" s="546"/>
      <c r="O4" s="546"/>
      <c r="P4" s="546"/>
      <c r="Q4" s="546"/>
      <c r="R4" s="546"/>
      <c r="S4" s="546"/>
      <c r="T4" s="545"/>
    </row>
    <row r="5" spans="1:20" ht="16">
      <c r="A5" s="545"/>
      <c r="B5" s="547" t="s">
        <v>2</v>
      </c>
      <c r="C5" s="545" t="s">
        <v>3</v>
      </c>
      <c r="D5" s="545"/>
      <c r="E5" s="545"/>
      <c r="F5" s="545"/>
      <c r="G5" s="545"/>
      <c r="H5" s="545"/>
      <c r="I5" s="545"/>
      <c r="J5" s="545"/>
      <c r="K5" s="545"/>
      <c r="L5" s="545"/>
      <c r="M5" s="545"/>
      <c r="N5" s="545"/>
      <c r="O5" s="545"/>
      <c r="P5" s="545"/>
      <c r="Q5" s="545"/>
      <c r="R5" s="545"/>
      <c r="S5" s="545"/>
      <c r="T5" s="545"/>
    </row>
    <row r="6" spans="1:20" ht="16">
      <c r="A6" s="545"/>
      <c r="B6" s="547" t="s">
        <v>4</v>
      </c>
      <c r="C6" s="545" t="s">
        <v>5</v>
      </c>
      <c r="D6" s="545"/>
      <c r="E6" s="545"/>
      <c r="F6" s="545"/>
      <c r="G6" s="545"/>
      <c r="H6" s="545"/>
      <c r="I6" s="545"/>
      <c r="J6" s="545"/>
      <c r="K6" s="545"/>
      <c r="L6" s="545"/>
      <c r="M6" s="545"/>
      <c r="N6" s="545"/>
      <c r="O6" s="545"/>
      <c r="P6" s="545"/>
      <c r="Q6" s="545"/>
      <c r="R6" s="545"/>
      <c r="S6" s="545"/>
      <c r="T6" s="545"/>
    </row>
    <row r="7" spans="1:20" ht="16">
      <c r="A7" s="545"/>
      <c r="B7" s="547" t="s">
        <v>6</v>
      </c>
      <c r="C7" s="548">
        <f ca="1">TODAY()</f>
        <v>46172</v>
      </c>
      <c r="D7" s="545"/>
      <c r="E7" s="545"/>
      <c r="F7" s="545"/>
      <c r="G7" s="545"/>
      <c r="H7" s="545"/>
      <c r="I7" s="545"/>
      <c r="J7" s="545"/>
      <c r="K7" s="545"/>
      <c r="L7" s="545"/>
      <c r="M7" s="545"/>
      <c r="N7" s="545"/>
      <c r="O7" s="545"/>
      <c r="P7" s="545"/>
      <c r="Q7" s="545"/>
      <c r="R7" s="545"/>
      <c r="S7" s="545"/>
      <c r="T7" s="545"/>
    </row>
    <row r="8" spans="1:20" ht="16">
      <c r="A8" s="545"/>
      <c r="B8" s="547" t="s">
        <v>7</v>
      </c>
      <c r="C8" s="545" t="s">
        <v>8</v>
      </c>
      <c r="D8" s="545"/>
      <c r="E8" s="545"/>
      <c r="F8" s="545"/>
      <c r="G8" s="545"/>
      <c r="H8" s="545"/>
      <c r="I8" s="545"/>
      <c r="J8" s="545"/>
      <c r="K8" s="545"/>
      <c r="L8" s="545"/>
      <c r="M8" s="545"/>
      <c r="N8" s="545"/>
      <c r="O8" s="545"/>
      <c r="P8" s="545"/>
      <c r="Q8" s="545"/>
      <c r="R8" s="545"/>
      <c r="S8" s="545"/>
      <c r="T8" s="545"/>
    </row>
    <row r="9" spans="1:20" ht="16">
      <c r="A9" s="545"/>
      <c r="B9" s="547" t="s">
        <v>9</v>
      </c>
      <c r="C9" s="545" t="s">
        <v>10</v>
      </c>
      <c r="D9" s="545"/>
      <c r="E9" s="545"/>
      <c r="F9" s="545"/>
      <c r="G9" s="545"/>
      <c r="H9" s="545"/>
      <c r="I9" s="545"/>
      <c r="J9" s="545"/>
      <c r="K9" s="545"/>
      <c r="L9" s="545"/>
      <c r="M9" s="545"/>
      <c r="N9" s="545"/>
      <c r="O9" s="545"/>
      <c r="P9" s="545"/>
      <c r="Q9" s="545"/>
      <c r="R9" s="545"/>
      <c r="S9" s="545"/>
      <c r="T9" s="545"/>
    </row>
    <row r="10" spans="1:20" ht="16">
      <c r="A10" s="545"/>
      <c r="B10" s="547" t="s">
        <v>11</v>
      </c>
      <c r="C10" s="545" t="s">
        <v>12</v>
      </c>
      <c r="D10" s="545"/>
      <c r="E10" s="545"/>
      <c r="F10" s="545"/>
      <c r="G10" s="545"/>
      <c r="H10" s="545"/>
      <c r="I10" s="545"/>
      <c r="J10" s="545"/>
      <c r="K10" s="545"/>
      <c r="L10" s="545"/>
      <c r="M10" s="545"/>
      <c r="N10" s="545"/>
      <c r="O10" s="545"/>
      <c r="P10" s="545"/>
      <c r="Q10" s="545"/>
      <c r="R10" s="545"/>
      <c r="S10" s="545"/>
      <c r="T10" s="545"/>
    </row>
    <row r="11" spans="1:20" ht="16">
      <c r="A11" s="545"/>
      <c r="B11" s="545"/>
      <c r="C11" s="545"/>
      <c r="D11" s="545"/>
      <c r="E11" s="545"/>
      <c r="F11" s="545"/>
      <c r="G11" s="545"/>
      <c r="H11" s="545"/>
      <c r="I11" s="545"/>
      <c r="J11" s="545"/>
      <c r="K11" s="545"/>
      <c r="L11" s="545"/>
      <c r="M11" s="545"/>
      <c r="N11" s="545"/>
      <c r="O11" s="545"/>
      <c r="P11" s="545"/>
      <c r="Q11" s="545"/>
      <c r="R11" s="545"/>
      <c r="S11" s="545"/>
      <c r="T11" s="545"/>
    </row>
    <row r="12" spans="1:20" ht="16">
      <c r="A12" s="545"/>
      <c r="B12" s="638" t="s">
        <v>13</v>
      </c>
      <c r="C12" s="639"/>
      <c r="D12" s="545"/>
      <c r="E12" s="545"/>
      <c r="F12" s="545"/>
      <c r="G12" s="545"/>
      <c r="H12" s="545"/>
      <c r="I12" s="545"/>
      <c r="J12" s="545"/>
      <c r="K12" s="545"/>
      <c r="L12" s="545"/>
      <c r="M12" s="545"/>
      <c r="N12" s="545"/>
      <c r="O12" s="545"/>
      <c r="P12" s="545"/>
      <c r="Q12" s="545"/>
      <c r="R12" s="545"/>
      <c r="S12" s="545"/>
      <c r="T12" s="545"/>
    </row>
    <row r="13" spans="1:20" ht="16">
      <c r="A13" s="545"/>
      <c r="B13" s="547" t="s">
        <v>14</v>
      </c>
      <c r="C13" s="549"/>
      <c r="D13" s="545"/>
      <c r="E13" s="545"/>
      <c r="F13" s="545"/>
      <c r="G13" s="545"/>
      <c r="H13" s="545"/>
      <c r="I13" s="545"/>
      <c r="J13" s="545"/>
      <c r="K13" s="545"/>
      <c r="L13" s="545"/>
      <c r="M13" s="545"/>
      <c r="N13" s="545"/>
      <c r="O13" s="545"/>
      <c r="P13" s="545"/>
      <c r="Q13" s="545"/>
      <c r="R13" s="545"/>
      <c r="S13" s="545"/>
      <c r="T13" s="545"/>
    </row>
    <row r="14" spans="1:20" ht="16">
      <c r="A14" s="545"/>
      <c r="B14" s="547" t="s">
        <v>15</v>
      </c>
      <c r="C14" s="549" t="s">
        <v>16</v>
      </c>
      <c r="D14" s="545"/>
      <c r="E14" s="545"/>
      <c r="F14" s="545"/>
      <c r="G14" s="545"/>
      <c r="H14" s="545"/>
      <c r="I14" s="545"/>
      <c r="J14" s="545"/>
      <c r="K14" s="545"/>
      <c r="L14" s="545"/>
      <c r="M14" s="545"/>
      <c r="N14" s="545"/>
      <c r="O14" s="545"/>
      <c r="P14" s="545"/>
      <c r="Q14" s="545"/>
      <c r="R14" s="545"/>
      <c r="S14" s="545"/>
      <c r="T14" s="545"/>
    </row>
    <row r="15" spans="1:20" ht="16">
      <c r="A15" s="545"/>
      <c r="B15" s="547" t="s">
        <v>17</v>
      </c>
      <c r="C15" s="549" t="s">
        <v>18</v>
      </c>
      <c r="D15" s="545"/>
      <c r="E15" s="545"/>
      <c r="F15" s="545"/>
      <c r="G15" s="545"/>
      <c r="H15" s="545"/>
      <c r="I15" s="545"/>
      <c r="J15" s="545"/>
      <c r="K15" s="545"/>
      <c r="L15" s="545"/>
      <c r="M15" s="545"/>
      <c r="N15" s="545"/>
      <c r="O15" s="545"/>
      <c r="P15" s="545"/>
      <c r="Q15" s="545"/>
      <c r="R15" s="545"/>
      <c r="S15" s="545"/>
      <c r="T15" s="545"/>
    </row>
    <row r="16" spans="1:20" ht="16">
      <c r="A16" s="545"/>
      <c r="B16" s="547" t="s">
        <v>19</v>
      </c>
      <c r="C16" s="549" t="s">
        <v>20</v>
      </c>
      <c r="D16" s="545"/>
      <c r="E16" s="545"/>
      <c r="F16" s="545"/>
      <c r="G16" s="545"/>
      <c r="H16" s="545"/>
      <c r="I16" s="545"/>
      <c r="J16" s="545"/>
      <c r="K16" s="545"/>
      <c r="L16" s="545"/>
      <c r="M16" s="545"/>
      <c r="N16" s="545"/>
      <c r="O16" s="545"/>
      <c r="P16" s="545"/>
      <c r="Q16" s="545"/>
      <c r="R16" s="545"/>
      <c r="S16" s="545"/>
      <c r="T16" s="545"/>
    </row>
    <row r="17" spans="1:20" ht="16">
      <c r="A17" s="545"/>
      <c r="B17" s="547" t="s">
        <v>21</v>
      </c>
      <c r="C17" s="549"/>
      <c r="D17" s="545"/>
      <c r="E17" s="545"/>
      <c r="F17" s="545"/>
      <c r="G17" s="545"/>
      <c r="H17" s="545"/>
      <c r="I17" s="545"/>
      <c r="J17" s="545"/>
      <c r="K17" s="545"/>
      <c r="L17" s="545"/>
      <c r="M17" s="545"/>
      <c r="N17" s="545"/>
      <c r="O17" s="545"/>
      <c r="P17" s="545"/>
      <c r="Q17" s="545"/>
      <c r="R17" s="545"/>
      <c r="S17" s="545"/>
      <c r="T17" s="545"/>
    </row>
    <row r="18" spans="1:20" ht="16">
      <c r="A18" s="545"/>
      <c r="B18" s="547" t="s">
        <v>22</v>
      </c>
      <c r="C18" s="545" t="s">
        <v>23</v>
      </c>
      <c r="D18" s="545"/>
      <c r="E18" s="545"/>
      <c r="F18" s="545"/>
      <c r="G18" s="545"/>
      <c r="H18" s="545"/>
      <c r="I18" s="545"/>
      <c r="J18" s="545"/>
      <c r="K18" s="545"/>
      <c r="L18" s="545"/>
      <c r="M18" s="545"/>
      <c r="N18" s="545"/>
      <c r="O18" s="545"/>
      <c r="P18" s="545"/>
      <c r="Q18" s="545"/>
      <c r="R18" s="545"/>
      <c r="S18" s="545"/>
      <c r="T18" s="545"/>
    </row>
    <row r="19" spans="1:20" ht="16">
      <c r="A19" s="545"/>
      <c r="B19" s="547" t="s">
        <v>24</v>
      </c>
      <c r="C19" s="545"/>
      <c r="D19" s="545"/>
      <c r="E19" s="545"/>
      <c r="F19" s="545"/>
      <c r="G19" s="545"/>
      <c r="H19" s="545"/>
      <c r="I19" s="545"/>
      <c r="J19" s="545"/>
      <c r="K19" s="545"/>
      <c r="L19" s="545"/>
      <c r="M19" s="545"/>
      <c r="N19" s="545"/>
      <c r="O19" s="545"/>
      <c r="P19" s="545"/>
      <c r="Q19" s="545"/>
      <c r="R19" s="545"/>
      <c r="S19" s="545"/>
      <c r="T19" s="545"/>
    </row>
    <row r="20" spans="1:20" ht="16">
      <c r="A20" s="545"/>
      <c r="B20" s="547" t="s">
        <v>25</v>
      </c>
      <c r="C20" s="545" t="s">
        <v>26</v>
      </c>
      <c r="D20" s="545"/>
      <c r="E20" s="545"/>
      <c r="F20" s="545"/>
      <c r="G20" s="545"/>
      <c r="H20" s="545"/>
      <c r="I20" s="545"/>
      <c r="J20" s="545"/>
      <c r="K20" s="545"/>
      <c r="L20" s="545"/>
      <c r="M20" s="545"/>
      <c r="N20" s="545"/>
      <c r="O20" s="545"/>
      <c r="P20" s="545"/>
      <c r="Q20" s="545"/>
      <c r="R20" s="545"/>
      <c r="S20" s="545"/>
      <c r="T20" s="545"/>
    </row>
    <row r="21" spans="1:20" ht="16">
      <c r="A21" s="545"/>
      <c r="B21" s="547" t="s">
        <v>27</v>
      </c>
      <c r="C21" s="545" t="s">
        <v>28</v>
      </c>
      <c r="D21" s="545"/>
      <c r="E21" s="545"/>
      <c r="F21" s="545"/>
      <c r="G21" s="545"/>
      <c r="H21" s="545"/>
      <c r="I21" s="545"/>
      <c r="J21" s="545"/>
      <c r="K21" s="545"/>
      <c r="L21" s="545"/>
      <c r="M21" s="545"/>
      <c r="N21" s="545"/>
      <c r="O21" s="545"/>
      <c r="P21" s="545"/>
      <c r="Q21" s="545"/>
      <c r="R21" s="545"/>
      <c r="S21" s="545"/>
      <c r="T21" s="545"/>
    </row>
    <row r="22" spans="1:20" ht="16">
      <c r="A22" s="545"/>
      <c r="B22" s="547" t="s">
        <v>29</v>
      </c>
      <c r="C22" s="545" t="s">
        <v>30</v>
      </c>
      <c r="D22" s="545"/>
      <c r="E22" s="545"/>
      <c r="F22" s="545"/>
      <c r="G22" s="545"/>
      <c r="H22" s="545"/>
      <c r="I22" s="545"/>
      <c r="J22" s="545"/>
      <c r="K22" s="545"/>
      <c r="L22" s="545"/>
      <c r="M22" s="545"/>
      <c r="N22" s="545"/>
      <c r="O22" s="545"/>
      <c r="P22" s="545"/>
      <c r="Q22" s="545"/>
      <c r="R22" s="545"/>
      <c r="S22" s="545"/>
      <c r="T22" s="545"/>
    </row>
    <row r="23" spans="1:20" ht="16">
      <c r="A23" s="545"/>
      <c r="B23" s="550"/>
      <c r="C23" s="545"/>
      <c r="D23" s="545"/>
      <c r="E23" s="545"/>
      <c r="F23" s="545"/>
      <c r="G23" s="545"/>
      <c r="H23" s="545"/>
      <c r="I23" s="545"/>
      <c r="J23" s="545"/>
      <c r="K23" s="545"/>
      <c r="L23" s="545"/>
      <c r="M23" s="545"/>
      <c r="N23" s="545"/>
      <c r="O23" s="545"/>
      <c r="P23" s="545"/>
      <c r="Q23" s="545"/>
      <c r="R23" s="545"/>
      <c r="S23" s="545"/>
      <c r="T23" s="545"/>
    </row>
    <row r="24" spans="1:20" ht="16">
      <c r="A24" s="545"/>
      <c r="B24" s="547"/>
      <c r="C24" s="545"/>
      <c r="D24" s="545"/>
      <c r="E24" s="545"/>
      <c r="F24" s="545"/>
      <c r="G24" s="545"/>
      <c r="H24" s="545"/>
      <c r="I24" s="545"/>
      <c r="J24" s="545"/>
      <c r="K24" s="545"/>
      <c r="L24" s="545"/>
      <c r="M24" s="545"/>
      <c r="N24" s="545"/>
      <c r="O24" s="545"/>
      <c r="P24" s="545"/>
      <c r="Q24" s="545"/>
      <c r="R24" s="545"/>
      <c r="S24" s="545"/>
      <c r="T24" s="545"/>
    </row>
    <row r="25" spans="1:20" ht="16">
      <c r="A25" s="545"/>
      <c r="B25" s="545"/>
      <c r="C25" s="545"/>
      <c r="D25" s="545"/>
      <c r="E25" s="545"/>
      <c r="F25" s="545"/>
      <c r="G25" s="545"/>
      <c r="H25" s="545"/>
      <c r="I25" s="545"/>
      <c r="J25" s="545"/>
      <c r="K25" s="545"/>
      <c r="L25" s="545"/>
      <c r="M25" s="545"/>
      <c r="N25" s="545"/>
      <c r="O25" s="545"/>
      <c r="P25" s="545"/>
      <c r="Q25" s="545"/>
      <c r="R25" s="545"/>
      <c r="S25" s="545"/>
      <c r="T25" s="545"/>
    </row>
  </sheetData>
  <mergeCells count="3">
    <mergeCell ref="B2:S2"/>
    <mergeCell ref="B4:C4"/>
    <mergeCell ref="B12:C12"/>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56D404-CDFF-4A33-923E-21395D4C6368}">
  <sheetPr>
    <tabColor theme="4"/>
  </sheetPr>
  <dimension ref="A1:I45"/>
  <sheetViews>
    <sheetView zoomScale="93" workbookViewId="0">
      <selection activeCell="B9" sqref="B9"/>
    </sheetView>
  </sheetViews>
  <sheetFormatPr baseColWidth="10" defaultColWidth="10.83203125" defaultRowHeight="13"/>
  <cols>
    <col min="1" max="1" width="34.33203125" style="66" customWidth="1"/>
    <col min="2" max="2" width="10.83203125" style="66"/>
    <col min="3" max="3" width="11.6640625" style="66" customWidth="1"/>
    <col min="4" max="6" width="10.83203125" style="66"/>
    <col min="7" max="7" width="91" style="77" customWidth="1"/>
    <col min="8" max="8" width="57.6640625" style="78" customWidth="1"/>
    <col min="9" max="16384" width="10.83203125" style="66"/>
  </cols>
  <sheetData>
    <row r="1" spans="1:9" ht="16">
      <c r="A1" s="641" t="s">
        <v>31</v>
      </c>
      <c r="B1" s="641"/>
      <c r="C1" s="641"/>
      <c r="D1" s="641"/>
      <c r="E1" s="641"/>
      <c r="F1" s="641"/>
      <c r="G1" s="641"/>
      <c r="H1" s="641"/>
    </row>
    <row r="2" spans="1:9">
      <c r="A2" s="65" t="s">
        <v>32</v>
      </c>
      <c r="H2" s="253"/>
      <c r="I2" s="252"/>
    </row>
    <row r="3" spans="1:9" s="133" customFormat="1">
      <c r="A3" s="251" t="s">
        <v>33</v>
      </c>
      <c r="B3" s="252"/>
      <c r="C3" s="252"/>
      <c r="D3" s="252"/>
      <c r="E3" s="252"/>
      <c r="F3" s="252"/>
      <c r="G3" s="190"/>
      <c r="H3" s="133" t="s">
        <v>34</v>
      </c>
    </row>
    <row r="4" spans="1:9" s="75" customFormat="1" ht="14">
      <c r="A4" s="70" t="s">
        <v>35</v>
      </c>
      <c r="B4" s="133" t="s">
        <v>36</v>
      </c>
      <c r="C4" s="133" t="s">
        <v>37</v>
      </c>
      <c r="D4" s="133" t="s">
        <v>38</v>
      </c>
      <c r="E4" s="133" t="s">
        <v>39</v>
      </c>
      <c r="F4" s="133" t="s">
        <v>40</v>
      </c>
      <c r="G4" s="132" t="s">
        <v>41</v>
      </c>
      <c r="H4" s="79"/>
    </row>
    <row r="5" spans="1:9" s="61" customFormat="1" ht="72">
      <c r="A5" s="76" t="s">
        <v>42</v>
      </c>
      <c r="B5" s="75"/>
      <c r="C5" s="75"/>
      <c r="D5" s="75"/>
      <c r="E5" s="75"/>
      <c r="F5" s="75"/>
      <c r="G5" s="79"/>
      <c r="H5" s="81" t="s">
        <v>43</v>
      </c>
    </row>
    <row r="6" spans="1:9" ht="72">
      <c r="A6" s="61" t="s">
        <v>44</v>
      </c>
      <c r="B6" s="67">
        <v>0.01</v>
      </c>
      <c r="C6" s="67">
        <v>1.4999999999999999E-2</v>
      </c>
      <c r="D6" s="67">
        <v>0.02</v>
      </c>
      <c r="E6" s="67">
        <v>0.02</v>
      </c>
      <c r="F6" s="67">
        <v>0.02</v>
      </c>
      <c r="G6" s="80" t="s">
        <v>45</v>
      </c>
      <c r="H6" s="81" t="s">
        <v>46</v>
      </c>
    </row>
    <row r="7" spans="1:9" ht="36">
      <c r="A7" s="63" t="s">
        <v>47</v>
      </c>
      <c r="B7" s="68">
        <v>0.01</v>
      </c>
      <c r="C7" s="68">
        <v>1.4999999999999999E-2</v>
      </c>
      <c r="D7" s="68">
        <v>0.02</v>
      </c>
      <c r="E7" s="68">
        <v>0.02</v>
      </c>
      <c r="F7" s="68">
        <v>0.02</v>
      </c>
      <c r="G7" s="77" t="s">
        <v>48</v>
      </c>
      <c r="H7" s="81" t="s">
        <v>49</v>
      </c>
    </row>
    <row r="8" spans="1:9" ht="24">
      <c r="A8" s="63" t="s">
        <v>50</v>
      </c>
      <c r="B8" s="68">
        <v>0.01</v>
      </c>
      <c r="C8" s="68">
        <v>1.4999999999999999E-2</v>
      </c>
      <c r="D8" s="68">
        <v>0.02</v>
      </c>
      <c r="E8" s="68">
        <v>0.02</v>
      </c>
      <c r="F8" s="68">
        <v>0.02</v>
      </c>
      <c r="G8" s="80" t="s">
        <v>51</v>
      </c>
      <c r="H8" s="81" t="s">
        <v>52</v>
      </c>
    </row>
    <row r="9" spans="1:9" s="75" customFormat="1" ht="24">
      <c r="A9" s="63" t="s">
        <v>53</v>
      </c>
      <c r="B9" s="68">
        <v>0.4</v>
      </c>
      <c r="C9" s="68">
        <v>0.41</v>
      </c>
      <c r="D9" s="68">
        <v>0.42</v>
      </c>
      <c r="E9" s="68">
        <v>0.43</v>
      </c>
      <c r="F9" s="68">
        <v>0.44</v>
      </c>
      <c r="G9" s="77" t="s">
        <v>54</v>
      </c>
      <c r="H9" s="79"/>
    </row>
    <row r="10" spans="1:9" ht="72">
      <c r="A10" s="74" t="s">
        <v>55</v>
      </c>
      <c r="B10" s="75"/>
      <c r="C10" s="75"/>
      <c r="D10" s="75"/>
      <c r="E10" s="75"/>
      <c r="F10" s="75"/>
      <c r="G10" s="82"/>
      <c r="H10" s="81" t="s">
        <v>56</v>
      </c>
    </row>
    <row r="11" spans="1:9" ht="24">
      <c r="A11" s="64" t="s">
        <v>57</v>
      </c>
      <c r="B11" s="69">
        <v>6</v>
      </c>
      <c r="C11" s="69">
        <v>6</v>
      </c>
      <c r="D11" s="69">
        <v>5</v>
      </c>
      <c r="E11" s="69">
        <v>5</v>
      </c>
      <c r="F11" s="69">
        <v>5</v>
      </c>
      <c r="G11" s="83" t="s">
        <v>58</v>
      </c>
      <c r="H11" s="81" t="s">
        <v>52</v>
      </c>
    </row>
    <row r="12" spans="1:9" ht="96">
      <c r="A12" s="63" t="s">
        <v>59</v>
      </c>
      <c r="B12" s="69">
        <v>18</v>
      </c>
      <c r="C12" s="69">
        <v>18</v>
      </c>
      <c r="D12" s="69">
        <v>16</v>
      </c>
      <c r="E12" s="69">
        <v>15</v>
      </c>
      <c r="F12" s="69">
        <v>15</v>
      </c>
      <c r="G12" s="84" t="s">
        <v>60</v>
      </c>
      <c r="H12" s="81" t="s">
        <v>52</v>
      </c>
    </row>
    <row r="13" spans="1:9" ht="60">
      <c r="A13" s="63" t="s">
        <v>61</v>
      </c>
      <c r="B13" s="69">
        <v>6</v>
      </c>
      <c r="C13" s="69">
        <v>6</v>
      </c>
      <c r="D13" s="69">
        <v>5</v>
      </c>
      <c r="E13" s="69">
        <v>5</v>
      </c>
      <c r="F13" s="69">
        <v>5</v>
      </c>
      <c r="G13" s="80" t="s">
        <v>62</v>
      </c>
      <c r="H13" s="81" t="s">
        <v>63</v>
      </c>
    </row>
    <row r="14" spans="1:9" ht="48">
      <c r="A14" s="63" t="s">
        <v>64</v>
      </c>
      <c r="B14" s="69">
        <f>B12-B16</f>
        <v>15</v>
      </c>
      <c r="C14" s="69">
        <f t="shared" ref="C14:F14" si="0">C12-C16</f>
        <v>15</v>
      </c>
      <c r="D14" s="69">
        <f t="shared" si="0"/>
        <v>14</v>
      </c>
      <c r="E14" s="69">
        <f t="shared" si="0"/>
        <v>13</v>
      </c>
      <c r="F14" s="69">
        <f t="shared" si="0"/>
        <v>13</v>
      </c>
      <c r="G14" s="77" t="s">
        <v>65</v>
      </c>
      <c r="H14" s="81" t="s">
        <v>66</v>
      </c>
    </row>
    <row r="15" spans="1:9" ht="96">
      <c r="A15" s="63" t="s">
        <v>67</v>
      </c>
      <c r="B15" s="69">
        <v>0</v>
      </c>
      <c r="C15" s="69">
        <v>0</v>
      </c>
      <c r="D15" s="69">
        <v>0</v>
      </c>
      <c r="E15" s="69">
        <v>0</v>
      </c>
      <c r="F15" s="69">
        <v>0</v>
      </c>
      <c r="G15" s="80" t="s">
        <v>68</v>
      </c>
      <c r="H15" s="81" t="s">
        <v>69</v>
      </c>
    </row>
    <row r="16" spans="1:9" s="75" customFormat="1" ht="48">
      <c r="A16" s="64" t="s">
        <v>70</v>
      </c>
      <c r="B16" s="69">
        <v>3</v>
      </c>
      <c r="C16" s="69">
        <v>3</v>
      </c>
      <c r="D16" s="69">
        <v>2</v>
      </c>
      <c r="E16" s="69">
        <v>2</v>
      </c>
      <c r="F16" s="69">
        <v>2</v>
      </c>
      <c r="G16" s="83" t="s">
        <v>71</v>
      </c>
      <c r="H16" s="79"/>
    </row>
    <row r="17" spans="1:9" ht="36">
      <c r="A17" s="76" t="s">
        <v>72</v>
      </c>
      <c r="B17" s="75"/>
      <c r="C17" s="75"/>
      <c r="D17" s="75"/>
      <c r="E17" s="75"/>
      <c r="F17" s="75"/>
      <c r="G17" s="82"/>
      <c r="H17" s="81" t="s">
        <v>73</v>
      </c>
    </row>
    <row r="18" spans="1:9" ht="48">
      <c r="A18" s="63" t="s">
        <v>74</v>
      </c>
      <c r="B18" s="68">
        <v>0.02</v>
      </c>
      <c r="C18" s="68">
        <v>0.04</v>
      </c>
      <c r="D18" s="68">
        <v>0.03</v>
      </c>
      <c r="E18" s="68">
        <v>0.02</v>
      </c>
      <c r="F18" s="68">
        <v>0.02</v>
      </c>
      <c r="G18" s="77" t="s">
        <v>75</v>
      </c>
      <c r="H18" s="81" t="s">
        <v>76</v>
      </c>
    </row>
    <row r="19" spans="1:9" ht="60">
      <c r="A19" s="63" t="s">
        <v>77</v>
      </c>
      <c r="B19" s="68">
        <v>-0.02</v>
      </c>
      <c r="C19" s="68">
        <v>1.4999999999999999E-2</v>
      </c>
      <c r="D19" s="68">
        <v>0.02</v>
      </c>
      <c r="E19" s="68">
        <v>0.02</v>
      </c>
      <c r="F19" s="68">
        <v>0.02</v>
      </c>
      <c r="G19" s="77" t="s">
        <v>78</v>
      </c>
      <c r="H19" s="81" t="s">
        <v>79</v>
      </c>
    </row>
    <row r="20" spans="1:9" ht="48">
      <c r="A20" s="63" t="s">
        <v>80</v>
      </c>
      <c r="B20" s="68">
        <v>-0.05</v>
      </c>
      <c r="C20" s="68">
        <v>0</v>
      </c>
      <c r="D20" s="68">
        <v>2.5000000000000001E-2</v>
      </c>
      <c r="E20" s="68">
        <v>0.03</v>
      </c>
      <c r="F20" s="68">
        <v>0.03</v>
      </c>
      <c r="G20" s="77" t="s">
        <v>81</v>
      </c>
      <c r="H20" s="81" t="s">
        <v>82</v>
      </c>
    </row>
    <row r="21" spans="1:9" ht="72">
      <c r="A21" s="63" t="s">
        <v>83</v>
      </c>
      <c r="B21" s="68">
        <v>0.03</v>
      </c>
      <c r="C21" s="68">
        <v>2.5000000000000001E-2</v>
      </c>
      <c r="D21" s="68">
        <v>0.02</v>
      </c>
      <c r="E21" s="68">
        <v>0.02</v>
      </c>
      <c r="F21" s="68">
        <v>0.02</v>
      </c>
      <c r="G21" s="77" t="s">
        <v>84</v>
      </c>
      <c r="H21" s="81" t="s">
        <v>85</v>
      </c>
    </row>
    <row r="22" spans="1:9" ht="72">
      <c r="A22" s="63" t="s">
        <v>86</v>
      </c>
      <c r="B22" s="68">
        <v>0.04</v>
      </c>
      <c r="C22" s="68">
        <v>0.05</v>
      </c>
      <c r="D22" s="68">
        <v>0.05</v>
      </c>
      <c r="E22" s="68">
        <v>0.04</v>
      </c>
      <c r="F22" s="68">
        <v>0.04</v>
      </c>
      <c r="G22" s="77" t="s">
        <v>87</v>
      </c>
      <c r="H22" s="81" t="s">
        <v>88</v>
      </c>
    </row>
    <row r="23" spans="1:9" ht="24">
      <c r="A23" s="63" t="s">
        <v>89</v>
      </c>
      <c r="B23" s="68">
        <v>0.08</v>
      </c>
      <c r="C23" s="68">
        <v>0.1</v>
      </c>
      <c r="D23" s="68">
        <v>0.08</v>
      </c>
      <c r="E23" s="68">
        <v>0.06</v>
      </c>
      <c r="F23" s="68">
        <v>0.05</v>
      </c>
      <c r="G23" s="77" t="s">
        <v>90</v>
      </c>
      <c r="H23" s="249"/>
    </row>
    <row r="24" spans="1:9" ht="36">
      <c r="A24" s="249" t="s">
        <v>91</v>
      </c>
      <c r="B24" s="250">
        <v>4.0000000000000001E-3</v>
      </c>
      <c r="C24" s="250">
        <v>0.01</v>
      </c>
      <c r="D24" s="250">
        <v>2.2800000000000001E-2</v>
      </c>
      <c r="E24" s="250">
        <v>0.03</v>
      </c>
      <c r="F24" s="250">
        <f>E24</f>
        <v>0.03</v>
      </c>
      <c r="G24" s="190" t="s">
        <v>92</v>
      </c>
      <c r="H24" s="249"/>
    </row>
    <row r="25" spans="1:9">
      <c r="A25" s="249" t="s">
        <v>93</v>
      </c>
      <c r="B25" s="250">
        <v>0.01</v>
      </c>
      <c r="C25" s="250">
        <v>0.01</v>
      </c>
      <c r="D25" s="250">
        <v>0.01</v>
      </c>
      <c r="E25" s="250">
        <v>0.01</v>
      </c>
      <c r="F25" s="250">
        <v>0.01</v>
      </c>
      <c r="G25" s="77" t="s">
        <v>94</v>
      </c>
      <c r="H25" s="249"/>
    </row>
    <row r="26" spans="1:9" ht="24">
      <c r="A26" s="249" t="s">
        <v>95</v>
      </c>
      <c r="B26" s="250">
        <v>0.11</v>
      </c>
      <c r="C26" s="250">
        <v>0.12</v>
      </c>
      <c r="D26" s="250">
        <v>0.12</v>
      </c>
      <c r="E26" s="250">
        <v>0.1</v>
      </c>
      <c r="F26" s="250">
        <v>0.09</v>
      </c>
      <c r="G26" s="77" t="s">
        <v>96</v>
      </c>
    </row>
    <row r="27" spans="1:9">
      <c r="H27" s="85"/>
      <c r="I27" s="62"/>
    </row>
    <row r="28" spans="1:9">
      <c r="A28" s="640" t="s">
        <v>97</v>
      </c>
      <c r="B28" s="640"/>
      <c r="C28" s="640"/>
      <c r="D28" s="640"/>
      <c r="E28" s="640"/>
      <c r="F28" s="640"/>
      <c r="G28" s="85"/>
    </row>
    <row r="29" spans="1:9">
      <c r="A29" s="254" t="s">
        <v>98</v>
      </c>
      <c r="B29" s="255">
        <v>0.105</v>
      </c>
      <c r="C29" s="256" t="s">
        <v>99</v>
      </c>
      <c r="D29" s="256" t="s">
        <v>99</v>
      </c>
      <c r="E29" s="256" t="s">
        <v>99</v>
      </c>
      <c r="F29" s="256" t="s">
        <v>99</v>
      </c>
      <c r="G29" s="259" t="s">
        <v>100</v>
      </c>
    </row>
    <row r="30" spans="1:9">
      <c r="A30" s="254" t="s">
        <v>101</v>
      </c>
      <c r="B30" s="255">
        <v>0.02</v>
      </c>
      <c r="C30" s="256" t="s">
        <v>99</v>
      </c>
      <c r="D30" s="256" t="s">
        <v>99</v>
      </c>
      <c r="E30" s="256" t="s">
        <v>99</v>
      </c>
      <c r="F30" s="256" t="s">
        <v>99</v>
      </c>
      <c r="G30" s="259" t="s">
        <v>102</v>
      </c>
    </row>
    <row r="31" spans="1:9">
      <c r="A31" s="254" t="s">
        <v>103</v>
      </c>
      <c r="B31" s="257">
        <v>1000</v>
      </c>
      <c r="C31" s="256" t="s">
        <v>99</v>
      </c>
      <c r="D31" s="256" t="s">
        <v>99</v>
      </c>
      <c r="E31" s="256" t="s">
        <v>99</v>
      </c>
      <c r="F31" s="256" t="s">
        <v>99</v>
      </c>
      <c r="G31" s="259" t="s">
        <v>104</v>
      </c>
    </row>
    <row r="32" spans="1:9">
      <c r="A32" s="254" t="s">
        <v>105</v>
      </c>
      <c r="B32" s="258">
        <v>210</v>
      </c>
      <c r="C32" s="256" t="s">
        <v>99</v>
      </c>
      <c r="D32" s="256" t="s">
        <v>99</v>
      </c>
      <c r="E32" s="256" t="s">
        <v>99</v>
      </c>
      <c r="F32" s="256" t="s">
        <v>99</v>
      </c>
      <c r="G32" s="259" t="s">
        <v>106</v>
      </c>
    </row>
    <row r="33" spans="1:7">
      <c r="A33" s="254" t="s">
        <v>107</v>
      </c>
      <c r="B33" s="255">
        <v>0.24</v>
      </c>
      <c r="C33" s="261">
        <f>B33</f>
        <v>0.24</v>
      </c>
      <c r="D33" s="261">
        <f t="shared" ref="D33:F33" si="1">C33</f>
        <v>0.24</v>
      </c>
      <c r="E33" s="261">
        <f t="shared" si="1"/>
        <v>0.24</v>
      </c>
      <c r="F33" s="261">
        <f t="shared" si="1"/>
        <v>0.24</v>
      </c>
      <c r="G33" s="259" t="s">
        <v>108</v>
      </c>
    </row>
    <row r="34" spans="1:7">
      <c r="A34" s="254" t="s">
        <v>109</v>
      </c>
      <c r="B34" s="258">
        <v>800</v>
      </c>
      <c r="C34" s="258">
        <v>793</v>
      </c>
      <c r="D34" s="258">
        <v>782</v>
      </c>
      <c r="E34" s="258">
        <v>772</v>
      </c>
      <c r="F34" s="258">
        <v>762</v>
      </c>
      <c r="G34" s="259" t="s">
        <v>110</v>
      </c>
    </row>
    <row r="35" spans="1:7">
      <c r="A35" s="254" t="s">
        <v>111</v>
      </c>
      <c r="B35" s="258">
        <v>750</v>
      </c>
      <c r="C35" s="258">
        <v>710</v>
      </c>
      <c r="D35" s="258">
        <v>700</v>
      </c>
      <c r="E35" s="258">
        <v>690</v>
      </c>
      <c r="F35" s="258">
        <v>680</v>
      </c>
      <c r="G35" s="259" t="s">
        <v>112</v>
      </c>
    </row>
    <row r="36" spans="1:7">
      <c r="A36" s="254" t="s">
        <v>113</v>
      </c>
      <c r="B36" s="258">
        <v>75</v>
      </c>
      <c r="C36" s="258">
        <v>50</v>
      </c>
      <c r="D36" s="258">
        <v>35</v>
      </c>
      <c r="E36" s="258">
        <v>25</v>
      </c>
      <c r="F36" s="258">
        <v>20</v>
      </c>
      <c r="G36" s="259" t="s">
        <v>114</v>
      </c>
    </row>
    <row r="37" spans="1:7">
      <c r="A37" s="184" t="s">
        <v>115</v>
      </c>
      <c r="B37" s="185">
        <v>4.2999999999999997E-2</v>
      </c>
      <c r="C37" s="185">
        <v>4.5999999999999999E-2</v>
      </c>
      <c r="D37" s="185">
        <v>4.9000000000000002E-2</v>
      </c>
      <c r="E37" s="185">
        <v>5.0999999999999997E-2</v>
      </c>
      <c r="F37" s="185">
        <v>5.2999999999999999E-2</v>
      </c>
      <c r="G37" s="66"/>
    </row>
    <row r="38" spans="1:7">
      <c r="A38" s="184"/>
      <c r="B38" s="185"/>
      <c r="C38" s="185"/>
      <c r="D38" s="185"/>
      <c r="E38" s="185"/>
      <c r="F38" s="185"/>
      <c r="G38" s="66"/>
    </row>
    <row r="39" spans="1:7">
      <c r="A39" s="184" t="s">
        <v>116</v>
      </c>
      <c r="B39" s="449">
        <v>63.39</v>
      </c>
      <c r="C39" s="185" t="s">
        <v>117</v>
      </c>
      <c r="D39" s="185"/>
      <c r="E39" s="185"/>
      <c r="F39" s="185"/>
      <c r="G39" s="66"/>
    </row>
    <row r="40" spans="1:7">
      <c r="A40" s="66" t="s">
        <v>118</v>
      </c>
      <c r="B40" s="449" t="s">
        <v>119</v>
      </c>
      <c r="C40" s="185"/>
      <c r="D40" s="185"/>
      <c r="E40" s="185"/>
      <c r="F40" s="185"/>
      <c r="G40" s="66"/>
    </row>
    <row r="41" spans="1:7">
      <c r="C41" s="185"/>
      <c r="D41" s="185"/>
      <c r="E41" s="185"/>
      <c r="F41" s="185"/>
      <c r="G41" s="66"/>
    </row>
    <row r="42" spans="1:7">
      <c r="A42" s="71" t="s">
        <v>33</v>
      </c>
      <c r="B42" s="185"/>
      <c r="C42" s="185"/>
      <c r="D42" s="185"/>
      <c r="E42" s="185"/>
      <c r="F42" s="185"/>
      <c r="G42" s="66"/>
    </row>
    <row r="43" spans="1:7">
      <c r="A43" s="184"/>
      <c r="B43" s="186"/>
      <c r="C43" s="186"/>
      <c r="D43" s="186"/>
      <c r="E43" s="186"/>
      <c r="F43" s="186"/>
      <c r="G43" s="66"/>
    </row>
    <row r="44" spans="1:7">
      <c r="A44" s="184"/>
      <c r="B44" s="186"/>
      <c r="C44" s="186"/>
      <c r="D44" s="186"/>
      <c r="E44" s="186"/>
      <c r="F44" s="186"/>
      <c r="G44" s="66"/>
    </row>
    <row r="45" spans="1:7">
      <c r="A45" s="184"/>
      <c r="B45" s="186"/>
      <c r="C45" s="186"/>
      <c r="D45" s="186"/>
      <c r="E45" s="186"/>
      <c r="F45" s="186"/>
      <c r="G45" s="66"/>
    </row>
  </sheetData>
  <mergeCells count="2">
    <mergeCell ref="A28:F28"/>
    <mergeCell ref="A1:H1"/>
  </mergeCells>
  <pageMargins left="0.7" right="0.7" top="0.75" bottom="0.75" header="0.3" footer="0.3"/>
  <pageSetup orientation="portrait" horizontalDpi="0" verticalDpi="0"/>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00B050"/>
  </sheetPr>
  <dimension ref="B2:O88"/>
  <sheetViews>
    <sheetView showGridLines="0" topLeftCell="C1" zoomScaleNormal="100" workbookViewId="0">
      <selection activeCell="I12" sqref="I12"/>
    </sheetView>
  </sheetViews>
  <sheetFormatPr baseColWidth="10" defaultColWidth="8.5" defaultRowHeight="13"/>
  <cols>
    <col min="1" max="1" width="3.6640625" style="36" customWidth="1"/>
    <col min="2" max="2" width="29.5" style="36" customWidth="1"/>
    <col min="3" max="16384" width="8.5" style="36"/>
  </cols>
  <sheetData>
    <row r="2" spans="2:15" ht="12.75" customHeight="1">
      <c r="B2" s="35" t="s">
        <v>120</v>
      </c>
      <c r="C2" s="35" t="s">
        <v>121</v>
      </c>
      <c r="D2" s="35" t="s">
        <v>122</v>
      </c>
      <c r="E2" s="35" t="s">
        <v>123</v>
      </c>
      <c r="F2" s="35" t="s">
        <v>124</v>
      </c>
      <c r="G2" s="35" t="s">
        <v>125</v>
      </c>
      <c r="H2" s="35" t="s">
        <v>126</v>
      </c>
      <c r="I2" s="35" t="s">
        <v>127</v>
      </c>
      <c r="J2" s="35" t="s">
        <v>36</v>
      </c>
      <c r="K2" s="35" t="s">
        <v>37</v>
      </c>
      <c r="L2" s="35" t="s">
        <v>38</v>
      </c>
      <c r="M2" s="35" t="s">
        <v>39</v>
      </c>
      <c r="N2" s="35" t="s">
        <v>40</v>
      </c>
      <c r="O2" s="51" t="s">
        <v>41</v>
      </c>
    </row>
    <row r="4" spans="2:15" ht="12.75" customHeight="1">
      <c r="B4" s="37" t="s">
        <v>128</v>
      </c>
      <c r="C4" s="38"/>
      <c r="D4" s="38"/>
      <c r="E4" s="38"/>
      <c r="F4" s="38"/>
      <c r="G4" s="38"/>
      <c r="H4" s="38"/>
      <c r="I4" s="38"/>
      <c r="J4" s="58"/>
      <c r="K4" s="58"/>
      <c r="L4" s="58"/>
      <c r="M4" s="58"/>
      <c r="N4" s="58"/>
    </row>
    <row r="5" spans="2:15" ht="12.75" customHeight="1">
      <c r="B5" s="39" t="s">
        <v>129</v>
      </c>
      <c r="C5" s="40"/>
      <c r="D5" s="40"/>
      <c r="E5" s="40"/>
      <c r="F5" s="40"/>
      <c r="G5" s="40"/>
      <c r="H5" s="40"/>
      <c r="I5" s="40"/>
      <c r="J5" s="59"/>
      <c r="K5" s="59"/>
      <c r="L5" s="59"/>
      <c r="M5" s="59"/>
      <c r="N5" s="59"/>
    </row>
    <row r="6" spans="2:15" ht="12" customHeight="1">
      <c r="B6" s="36" t="s">
        <v>130</v>
      </c>
      <c r="D6" s="41">
        <f>'Industry Metrics'!G3</f>
        <v>9.7000000000000003E-2</v>
      </c>
      <c r="E6" s="41">
        <f>'Industry Metrics'!F3</f>
        <v>0.104</v>
      </c>
      <c r="F6" s="41">
        <f>'Industry Metrics'!E3</f>
        <v>-9.9000000000000005E-2</v>
      </c>
      <c r="G6" s="41">
        <f>'Industry Metrics'!D3</f>
        <v>-6.8000000000000005E-2</v>
      </c>
      <c r="H6" s="41">
        <f>'Industry Metrics'!C3</f>
        <v>-2.3E-2</v>
      </c>
      <c r="I6" s="41">
        <f>'Industry Metrics'!B3</f>
        <v>5.0000000000000001E-3</v>
      </c>
      <c r="J6" s="42">
        <f>Assumptions!B6</f>
        <v>0.01</v>
      </c>
      <c r="K6" s="42">
        <f>Assumptions!C6</f>
        <v>1.4999999999999999E-2</v>
      </c>
      <c r="L6" s="42">
        <f>Assumptions!D6</f>
        <v>0.02</v>
      </c>
      <c r="M6" s="42">
        <f>Assumptions!E6</f>
        <v>0.02</v>
      </c>
      <c r="N6" s="42">
        <f>Assumptions!F6</f>
        <v>0.02</v>
      </c>
      <c r="O6" s="36" t="s">
        <v>131</v>
      </c>
    </row>
    <row r="7" spans="2:15" ht="12" customHeight="1">
      <c r="B7" s="36" t="s">
        <v>132</v>
      </c>
      <c r="D7" s="41">
        <f>'Industry Metrics'!G4</f>
        <v>9.1999999999999998E-2</v>
      </c>
      <c r="E7" s="41">
        <f>'Industry Metrics'!F4</f>
        <v>0.11</v>
      </c>
      <c r="F7" s="41">
        <f>'Industry Metrics'!E4</f>
        <v>-0.10299999999999999</v>
      </c>
      <c r="G7" s="41">
        <f>'Industry Metrics'!D4</f>
        <v>-7.0999999999999994E-2</v>
      </c>
      <c r="H7" s="41">
        <f>'Industry Metrics'!C4</f>
        <v>-2.5000000000000001E-2</v>
      </c>
      <c r="I7" s="41">
        <f>'Industry Metrics'!B4</f>
        <v>4.0000000000000001E-3</v>
      </c>
      <c r="J7" s="42">
        <f>Assumptions!B7</f>
        <v>0.01</v>
      </c>
      <c r="K7" s="42">
        <f>Assumptions!C7</f>
        <v>1.4999999999999999E-2</v>
      </c>
      <c r="L7" s="42">
        <f>Assumptions!D7</f>
        <v>0.02</v>
      </c>
      <c r="M7" s="42">
        <f>Assumptions!E7</f>
        <v>0.02</v>
      </c>
      <c r="N7" s="42">
        <f>Assumptions!F7</f>
        <v>0.02</v>
      </c>
    </row>
    <row r="8" spans="2:15" ht="12" customHeight="1">
      <c r="B8" s="36" t="s">
        <v>133</v>
      </c>
      <c r="D8" s="41">
        <f>'Industry Metrics'!G5</f>
        <v>0.15</v>
      </c>
      <c r="E8" s="41">
        <f>'Industry Metrics'!F5</f>
        <v>3.3000000000000002E-2</v>
      </c>
      <c r="F8" s="41">
        <f>'Industry Metrics'!E5</f>
        <v>-5.3999999999999999E-2</v>
      </c>
      <c r="G8" s="41">
        <f>'Industry Metrics'!D5</f>
        <v>-3.2000000000000001E-2</v>
      </c>
      <c r="H8" s="41">
        <f>'Industry Metrics'!C5</f>
        <v>-5.0000000000000001E-3</v>
      </c>
      <c r="I8" s="41">
        <f>'Industry Metrics'!B5</f>
        <v>2.3E-2</v>
      </c>
      <c r="J8" s="42">
        <f>Assumptions!B8</f>
        <v>0.01</v>
      </c>
      <c r="K8" s="42">
        <f>Assumptions!C8</f>
        <v>1.4999999999999999E-2</v>
      </c>
      <c r="L8" s="42">
        <f>Assumptions!D8</f>
        <v>0.02</v>
      </c>
      <c r="M8" s="42">
        <f>Assumptions!E8</f>
        <v>0.02</v>
      </c>
      <c r="N8" s="42">
        <f>Assumptions!F8</f>
        <v>0.02</v>
      </c>
    </row>
    <row r="9" spans="2:15" ht="12" customHeight="1">
      <c r="B9" s="36" t="s">
        <v>134</v>
      </c>
      <c r="D9" s="43">
        <f>'Industry Metrics'!G9</f>
        <v>0.33</v>
      </c>
      <c r="E9" s="43">
        <f>'Industry Metrics'!F9</f>
        <v>0.36</v>
      </c>
      <c r="F9" s="43">
        <f>'Industry Metrics'!E9</f>
        <v>0.34</v>
      </c>
      <c r="G9" s="43">
        <f>'Industry Metrics'!D9</f>
        <v>0.38</v>
      </c>
      <c r="H9" s="41">
        <f>'Industry Metrics'!C9</f>
        <v>0.39500000000000002</v>
      </c>
      <c r="I9" s="43">
        <f>'Industry Metrics'!B9</f>
        <v>0.39</v>
      </c>
      <c r="J9" s="42">
        <f>Assumptions!B9</f>
        <v>0.4</v>
      </c>
      <c r="K9" s="42">
        <f>Assumptions!C9</f>
        <v>0.41</v>
      </c>
      <c r="L9" s="42">
        <f>Assumptions!D9</f>
        <v>0.42</v>
      </c>
      <c r="M9" s="42">
        <f>Assumptions!E9</f>
        <v>0.43</v>
      </c>
      <c r="N9" s="42">
        <f>Assumptions!F9</f>
        <v>0.44</v>
      </c>
      <c r="O9" s="36" t="s">
        <v>135</v>
      </c>
    </row>
    <row r="12" spans="2:15" ht="12.75" customHeight="1">
      <c r="B12" s="37" t="s">
        <v>136</v>
      </c>
      <c r="C12" s="38"/>
      <c r="D12" s="38"/>
      <c r="E12" s="38"/>
      <c r="F12" s="38"/>
      <c r="G12" s="38"/>
      <c r="H12" s="38"/>
      <c r="I12" s="38"/>
      <c r="J12" s="58"/>
      <c r="K12" s="58"/>
      <c r="L12" s="58"/>
      <c r="M12" s="58"/>
      <c r="N12" s="58"/>
    </row>
    <row r="13" spans="2:15" ht="12" customHeight="1">
      <c r="B13" s="36" t="s">
        <v>137</v>
      </c>
      <c r="D13" s="36">
        <f>'Industry Metrics'!G12</f>
        <v>1231</v>
      </c>
      <c r="E13" s="36">
        <f>'Industry Metrics'!F12</f>
        <v>1159</v>
      </c>
      <c r="F13" s="36">
        <f>'Industry Metrics'!E12</f>
        <v>1144</v>
      </c>
      <c r="G13" s="36">
        <f>'Industry Metrics'!D12</f>
        <v>1138</v>
      </c>
      <c r="H13" s="36">
        <f>'Industry Metrics'!C12</f>
        <v>1125</v>
      </c>
      <c r="I13" s="36">
        <f>'Industry Metrics'!B12</f>
        <v>1117</v>
      </c>
      <c r="J13" s="44">
        <f>I16</f>
        <v>1068</v>
      </c>
      <c r="K13" s="44">
        <f>J16</f>
        <v>1039</v>
      </c>
      <c r="L13" s="44">
        <f>K16</f>
        <v>1019</v>
      </c>
      <c r="M13" s="44">
        <f>L16</f>
        <v>1004</v>
      </c>
      <c r="N13" s="44">
        <f>M16</f>
        <v>994</v>
      </c>
    </row>
    <row r="14" spans="2:15" ht="12" customHeight="1">
      <c r="B14" s="36" t="s">
        <v>138</v>
      </c>
      <c r="D14" s="36">
        <f>'Industry Metrics'!G19</f>
        <v>3</v>
      </c>
      <c r="E14" s="36">
        <f>'Industry Metrics'!F19</f>
        <v>13</v>
      </c>
      <c r="F14" s="36">
        <f>'Industry Metrics'!E19</f>
        <v>9</v>
      </c>
      <c r="G14" s="36">
        <f>'Industry Metrics'!D20</f>
        <v>15</v>
      </c>
      <c r="H14" s="36">
        <f>'Industry Metrics'!C19</f>
        <v>0</v>
      </c>
      <c r="I14" s="36">
        <f>'Industry Metrics'!B20</f>
        <v>0</v>
      </c>
      <c r="J14" s="45">
        <f>Assumptions!B11</f>
        <v>6</v>
      </c>
      <c r="K14" s="45">
        <f>Assumptions!C11</f>
        <v>6</v>
      </c>
      <c r="L14" s="45">
        <f>Assumptions!D11</f>
        <v>5</v>
      </c>
      <c r="M14" s="45">
        <f>Assumptions!E11</f>
        <v>5</v>
      </c>
      <c r="N14" s="45">
        <f>Assumptions!F11</f>
        <v>5</v>
      </c>
      <c r="O14" s="36" t="s">
        <v>139</v>
      </c>
    </row>
    <row r="15" spans="2:15" ht="12" customHeight="1">
      <c r="B15" s="36" t="s">
        <v>140</v>
      </c>
      <c r="D15" s="36">
        <f>'Industry Metrics'!G23</f>
        <v>75</v>
      </c>
      <c r="E15" s="36">
        <f>'Industry Metrics'!F23</f>
        <v>28</v>
      </c>
      <c r="F15" s="36">
        <f>'Industry Metrics'!E23</f>
        <v>15</v>
      </c>
      <c r="G15" s="36">
        <f>'Industry Metrics'!D23</f>
        <v>28</v>
      </c>
      <c r="H15" s="36">
        <f>'Industry Metrics'!C23</f>
        <v>8</v>
      </c>
      <c r="I15" s="36">
        <f>'Industry Metrics'!B23</f>
        <v>49</v>
      </c>
      <c r="J15" s="45">
        <v>35</v>
      </c>
      <c r="K15" s="45">
        <v>26</v>
      </c>
      <c r="L15" s="45">
        <v>20</v>
      </c>
      <c r="M15" s="45">
        <v>15</v>
      </c>
      <c r="N15" s="45">
        <v>13</v>
      </c>
      <c r="O15" s="36" t="s">
        <v>141</v>
      </c>
    </row>
    <row r="16" spans="2:15" ht="12" customHeight="1">
      <c r="B16" s="40" t="s">
        <v>142</v>
      </c>
      <c r="C16" s="40"/>
      <c r="D16" s="40">
        <f t="shared" ref="D16:N16" si="0">D13+D14-D15</f>
        <v>1159</v>
      </c>
      <c r="E16" s="40">
        <f t="shared" si="0"/>
        <v>1144</v>
      </c>
      <c r="F16" s="40">
        <f t="shared" si="0"/>
        <v>1138</v>
      </c>
      <c r="G16" s="40">
        <f t="shared" si="0"/>
        <v>1125</v>
      </c>
      <c r="H16" s="40">
        <f t="shared" si="0"/>
        <v>1117</v>
      </c>
      <c r="I16" s="40">
        <f t="shared" si="0"/>
        <v>1068</v>
      </c>
      <c r="J16" s="59">
        <f t="shared" si="0"/>
        <v>1039</v>
      </c>
      <c r="K16" s="59">
        <f t="shared" si="0"/>
        <v>1019</v>
      </c>
      <c r="L16" s="59">
        <f t="shared" si="0"/>
        <v>1004</v>
      </c>
      <c r="M16" s="59">
        <f t="shared" si="0"/>
        <v>994</v>
      </c>
      <c r="N16" s="59">
        <f t="shared" si="0"/>
        <v>986</v>
      </c>
    </row>
    <row r="17" spans="2:14" ht="12" customHeight="1">
      <c r="B17" s="36" t="s">
        <v>143</v>
      </c>
      <c r="D17" s="36">
        <f t="shared" ref="D17:N17" si="1">(D13+D16)/2</f>
        <v>1195</v>
      </c>
      <c r="E17" s="36">
        <f t="shared" si="1"/>
        <v>1151.5</v>
      </c>
      <c r="F17" s="36">
        <f t="shared" si="1"/>
        <v>1141</v>
      </c>
      <c r="G17" s="36">
        <f t="shared" si="1"/>
        <v>1131.5</v>
      </c>
      <c r="H17" s="36">
        <f t="shared" si="1"/>
        <v>1121</v>
      </c>
      <c r="I17" s="36">
        <f t="shared" si="1"/>
        <v>1092.5</v>
      </c>
      <c r="J17" s="44">
        <f t="shared" si="1"/>
        <v>1053.5</v>
      </c>
      <c r="K17" s="44">
        <f t="shared" si="1"/>
        <v>1029</v>
      </c>
      <c r="L17" s="44">
        <f t="shared" si="1"/>
        <v>1011.5</v>
      </c>
      <c r="M17" s="44">
        <f t="shared" si="1"/>
        <v>999</v>
      </c>
      <c r="N17" s="44">
        <f t="shared" si="1"/>
        <v>990</v>
      </c>
    </row>
    <row r="18" spans="2:14" ht="12.75" customHeight="1">
      <c r="B18" s="37" t="s">
        <v>144</v>
      </c>
      <c r="C18" s="38"/>
      <c r="D18" s="38"/>
      <c r="E18" s="38"/>
      <c r="F18" s="38"/>
      <c r="G18" s="38"/>
      <c r="H18" s="38"/>
      <c r="I18" s="38"/>
      <c r="J18" s="58"/>
      <c r="K18" s="58"/>
      <c r="L18" s="58"/>
      <c r="M18" s="58"/>
      <c r="N18" s="58"/>
    </row>
    <row r="19" spans="2:14" ht="12" customHeight="1">
      <c r="B19" s="36" t="s">
        <v>137</v>
      </c>
      <c r="D19" s="36">
        <f>'Industry Metrics'!G13</f>
        <v>1009</v>
      </c>
      <c r="E19" s="36">
        <f>'Industry Metrics'!F13</f>
        <v>991</v>
      </c>
      <c r="F19" s="36">
        <f>'Industry Metrics'!E13</f>
        <v>984</v>
      </c>
      <c r="G19" s="36">
        <f>'Industry Metrics'!D13</f>
        <v>978</v>
      </c>
      <c r="H19" s="36">
        <f>'Industry Metrics'!C13</f>
        <v>965</v>
      </c>
      <c r="I19" s="36">
        <f>'Industry Metrics'!B13</f>
        <v>957</v>
      </c>
      <c r="J19" s="44">
        <f>I22</f>
        <v>926</v>
      </c>
      <c r="K19" s="44">
        <f>J22</f>
        <v>912</v>
      </c>
      <c r="L19" s="44">
        <f>K22</f>
        <v>900</v>
      </c>
      <c r="M19" s="44">
        <f>L22</f>
        <v>890</v>
      </c>
      <c r="N19" s="44">
        <f>M22</f>
        <v>883</v>
      </c>
    </row>
    <row r="20" spans="2:14" ht="12" customHeight="1">
      <c r="B20" s="36" t="s">
        <v>138</v>
      </c>
      <c r="D20" s="36">
        <f>'Industry Metrics'!G21</f>
        <v>3</v>
      </c>
      <c r="E20" s="36">
        <f>'Industry Metrics'!F21</f>
        <v>13</v>
      </c>
      <c r="F20" s="36">
        <f>'Industry Metrics'!E21</f>
        <v>9</v>
      </c>
      <c r="G20" s="36">
        <f>'Industry Metrics'!D21</f>
        <v>14</v>
      </c>
      <c r="H20" s="36">
        <f>'Industry Metrics'!C21</f>
        <v>0</v>
      </c>
      <c r="I20" s="36">
        <f>'Industry Metrics'!B21</f>
        <v>0</v>
      </c>
      <c r="J20" s="45">
        <v>6</v>
      </c>
      <c r="K20" s="45">
        <v>6</v>
      </c>
      <c r="L20" s="45">
        <v>5</v>
      </c>
      <c r="M20" s="45">
        <v>5</v>
      </c>
      <c r="N20" s="45">
        <v>5</v>
      </c>
    </row>
    <row r="21" spans="2:14" ht="12" customHeight="1">
      <c r="B21" s="36" t="s">
        <v>140</v>
      </c>
      <c r="D21" s="36">
        <f>'Industry Metrics'!G24</f>
        <v>21</v>
      </c>
      <c r="E21" s="36">
        <f>'Industry Metrics'!F24</f>
        <v>20</v>
      </c>
      <c r="F21" s="36">
        <f>'Industry Metrics'!E24</f>
        <v>15</v>
      </c>
      <c r="G21" s="36">
        <f>'Industry Metrics'!D24</f>
        <v>27</v>
      </c>
      <c r="H21" s="36">
        <f>'Industry Metrics'!C24</f>
        <v>8</v>
      </c>
      <c r="I21" s="36">
        <f>'Industry Metrics'!B24</f>
        <v>31</v>
      </c>
      <c r="J21" s="45">
        <v>20</v>
      </c>
      <c r="K21" s="45">
        <v>18</v>
      </c>
      <c r="L21" s="45">
        <v>15</v>
      </c>
      <c r="M21" s="45">
        <v>12</v>
      </c>
      <c r="N21" s="45">
        <v>10</v>
      </c>
    </row>
    <row r="22" spans="2:14" ht="12" customHeight="1">
      <c r="B22" s="40" t="s">
        <v>142</v>
      </c>
      <c r="C22" s="40"/>
      <c r="D22" s="40">
        <f t="shared" ref="D22:N22" si="2">D19+D20-D21</f>
        <v>991</v>
      </c>
      <c r="E22" s="40">
        <f t="shared" si="2"/>
        <v>984</v>
      </c>
      <c r="F22" s="40">
        <f t="shared" si="2"/>
        <v>978</v>
      </c>
      <c r="G22" s="40">
        <f t="shared" si="2"/>
        <v>965</v>
      </c>
      <c r="H22" s="40">
        <f t="shared" si="2"/>
        <v>957</v>
      </c>
      <c r="I22" s="40">
        <f>I19+I20-I21</f>
        <v>926</v>
      </c>
      <c r="J22" s="59">
        <f>J19+J20-J21</f>
        <v>912</v>
      </c>
      <c r="K22" s="59">
        <f>K19+K20-K21</f>
        <v>900</v>
      </c>
      <c r="L22" s="59">
        <f t="shared" si="2"/>
        <v>890</v>
      </c>
      <c r="M22" s="59">
        <f t="shared" si="2"/>
        <v>883</v>
      </c>
      <c r="N22" s="59">
        <f t="shared" si="2"/>
        <v>878</v>
      </c>
    </row>
    <row r="23" spans="2:14" ht="12" customHeight="1">
      <c r="B23" s="36" t="s">
        <v>143</v>
      </c>
      <c r="D23" s="36">
        <f t="shared" ref="D23:N23" si="3">(D19+D22)/2</f>
        <v>1000</v>
      </c>
      <c r="E23" s="36">
        <f t="shared" si="3"/>
        <v>987.5</v>
      </c>
      <c r="F23" s="36">
        <f t="shared" si="3"/>
        <v>981</v>
      </c>
      <c r="G23" s="36">
        <f t="shared" si="3"/>
        <v>971.5</v>
      </c>
      <c r="H23" s="36">
        <f t="shared" si="3"/>
        <v>961</v>
      </c>
      <c r="I23" s="36">
        <f t="shared" si="3"/>
        <v>941.5</v>
      </c>
      <c r="J23" s="46">
        <f t="shared" si="3"/>
        <v>919</v>
      </c>
      <c r="K23" s="46">
        <f t="shared" si="3"/>
        <v>906</v>
      </c>
      <c r="L23" s="46">
        <f t="shared" si="3"/>
        <v>895</v>
      </c>
      <c r="M23" s="46">
        <f t="shared" si="3"/>
        <v>886.5</v>
      </c>
      <c r="N23" s="46">
        <f t="shared" si="3"/>
        <v>880.5</v>
      </c>
    </row>
    <row r="24" spans="2:14" ht="12.75" customHeight="1">
      <c r="B24" s="37" t="s">
        <v>145</v>
      </c>
      <c r="C24" s="38"/>
      <c r="D24" s="38"/>
      <c r="E24" s="38"/>
      <c r="F24" s="38"/>
      <c r="G24" s="38"/>
      <c r="H24" s="38"/>
      <c r="I24" s="38"/>
      <c r="J24" s="58"/>
      <c r="K24" s="58"/>
      <c r="L24" s="58"/>
      <c r="M24" s="58"/>
      <c r="N24" s="58"/>
    </row>
    <row r="25" spans="2:14" ht="12" customHeight="1">
      <c r="B25" s="36" t="s">
        <v>137</v>
      </c>
      <c r="D25" s="36">
        <f>'Industry Metrics'!G14</f>
        <v>222</v>
      </c>
      <c r="E25" s="36">
        <f>'Industry Metrics'!F14</f>
        <v>168</v>
      </c>
      <c r="F25" s="36">
        <f>'Industry Metrics'!E14</f>
        <v>160</v>
      </c>
      <c r="G25" s="36">
        <f>'Industry Metrics'!D14</f>
        <v>160</v>
      </c>
      <c r="H25" s="36">
        <f>'Industry Metrics'!C14</f>
        <v>160</v>
      </c>
      <c r="I25" s="36">
        <f>'Industry Metrics'!B14</f>
        <v>160</v>
      </c>
      <c r="J25" s="44">
        <f>I28</f>
        <v>142</v>
      </c>
      <c r="K25" s="44">
        <f>J28</f>
        <v>127</v>
      </c>
      <c r="L25" s="44">
        <f>K28</f>
        <v>119</v>
      </c>
      <c r="M25" s="44">
        <f>L28</f>
        <v>114</v>
      </c>
      <c r="N25" s="44">
        <f>M28</f>
        <v>111</v>
      </c>
    </row>
    <row r="26" spans="2:14" ht="12" customHeight="1">
      <c r="B26" s="36" t="s">
        <v>138</v>
      </c>
      <c r="D26" s="36">
        <f>'Industry Metrics'!G22</f>
        <v>0</v>
      </c>
      <c r="E26" s="36">
        <f>'Industry Metrics'!F22</f>
        <v>0</v>
      </c>
      <c r="F26" s="36">
        <f>'Industry Metrics'!E25</f>
        <v>0</v>
      </c>
      <c r="G26" s="36">
        <f>'Industry Metrics'!D25</f>
        <v>1</v>
      </c>
      <c r="H26" s="36">
        <f>'Industry Metrics'!C25</f>
        <v>0</v>
      </c>
      <c r="I26" s="36">
        <f>'Industry Metrics'!B22</f>
        <v>0</v>
      </c>
      <c r="J26" s="45">
        <v>0</v>
      </c>
      <c r="K26" s="45">
        <v>0</v>
      </c>
      <c r="L26" s="45">
        <v>0</v>
      </c>
      <c r="M26" s="45">
        <v>0</v>
      </c>
      <c r="N26" s="45">
        <v>0</v>
      </c>
    </row>
    <row r="27" spans="2:14" ht="12" customHeight="1">
      <c r="B27" s="36" t="s">
        <v>140</v>
      </c>
      <c r="D27" s="36">
        <f>'Industry Metrics'!G25</f>
        <v>54</v>
      </c>
      <c r="E27" s="36">
        <f>'Industry Metrics'!F25</f>
        <v>8</v>
      </c>
      <c r="F27" s="36">
        <f>'Industry Metrics'!E25</f>
        <v>0</v>
      </c>
      <c r="G27" s="36">
        <f>'Industry Metrics'!D25</f>
        <v>1</v>
      </c>
      <c r="H27" s="36">
        <f>'Industry Metrics'!C25</f>
        <v>0</v>
      </c>
      <c r="I27" s="36">
        <f>'Industry Metrics'!B25</f>
        <v>18</v>
      </c>
      <c r="J27" s="45">
        <v>15</v>
      </c>
      <c r="K27" s="45">
        <v>8</v>
      </c>
      <c r="L27" s="45">
        <v>5</v>
      </c>
      <c r="M27" s="45">
        <v>3</v>
      </c>
      <c r="N27" s="45">
        <v>3</v>
      </c>
    </row>
    <row r="28" spans="2:14" ht="12" customHeight="1">
      <c r="B28" s="40" t="s">
        <v>142</v>
      </c>
      <c r="C28" s="40"/>
      <c r="D28" s="40">
        <f t="shared" ref="D28:N28" si="4">D25+D26-D27</f>
        <v>168</v>
      </c>
      <c r="E28" s="40">
        <f t="shared" si="4"/>
        <v>160</v>
      </c>
      <c r="F28" s="40">
        <f t="shared" si="4"/>
        <v>160</v>
      </c>
      <c r="G28" s="40">
        <f t="shared" si="4"/>
        <v>160</v>
      </c>
      <c r="H28" s="40">
        <f t="shared" si="4"/>
        <v>160</v>
      </c>
      <c r="I28" s="40">
        <f t="shared" si="4"/>
        <v>142</v>
      </c>
      <c r="J28" s="59">
        <f t="shared" si="4"/>
        <v>127</v>
      </c>
      <c r="K28" s="59">
        <f t="shared" si="4"/>
        <v>119</v>
      </c>
      <c r="L28" s="59">
        <f t="shared" si="4"/>
        <v>114</v>
      </c>
      <c r="M28" s="59">
        <f t="shared" si="4"/>
        <v>111</v>
      </c>
      <c r="N28" s="59">
        <f t="shared" si="4"/>
        <v>108</v>
      </c>
    </row>
    <row r="29" spans="2:14" ht="12" customHeight="1">
      <c r="B29" s="36" t="s">
        <v>143</v>
      </c>
      <c r="D29" s="36">
        <f t="shared" ref="D29:N29" si="5">(D25+D28)/2</f>
        <v>195</v>
      </c>
      <c r="E29" s="36">
        <f t="shared" si="5"/>
        <v>164</v>
      </c>
      <c r="F29" s="36">
        <f t="shared" si="5"/>
        <v>160</v>
      </c>
      <c r="G29" s="36">
        <f t="shared" si="5"/>
        <v>160</v>
      </c>
      <c r="H29" s="36">
        <f t="shared" si="5"/>
        <v>160</v>
      </c>
      <c r="I29" s="36">
        <f t="shared" si="5"/>
        <v>151</v>
      </c>
      <c r="J29" s="46">
        <f t="shared" si="5"/>
        <v>134.5</v>
      </c>
      <c r="K29" s="46">
        <f t="shared" si="5"/>
        <v>123</v>
      </c>
      <c r="L29" s="46">
        <f t="shared" si="5"/>
        <v>116.5</v>
      </c>
      <c r="M29" s="46">
        <f t="shared" si="5"/>
        <v>112.5</v>
      </c>
      <c r="N29" s="46">
        <f t="shared" si="5"/>
        <v>109.5</v>
      </c>
    </row>
    <row r="31" spans="2:14" ht="12.75" customHeight="1">
      <c r="B31" s="37" t="s">
        <v>146</v>
      </c>
      <c r="C31" s="38"/>
      <c r="D31" s="38"/>
      <c r="E31" s="38"/>
      <c r="F31" s="38"/>
      <c r="G31" s="38"/>
      <c r="H31" s="38"/>
      <c r="I31" s="38"/>
      <c r="J31" s="58"/>
      <c r="K31" s="58"/>
      <c r="L31" s="58"/>
      <c r="M31" s="58"/>
      <c r="N31" s="58"/>
    </row>
    <row r="32" spans="2:14" ht="12" customHeight="1">
      <c r="B32" s="36" t="s">
        <v>147</v>
      </c>
      <c r="D32" s="46">
        <f>'Geographic Revenue'!F6/D23</f>
        <v>43.292999999999999</v>
      </c>
      <c r="E32" s="46">
        <f>'Geographic Revenue'!G6/E23</f>
        <v>48.435443037974686</v>
      </c>
      <c r="F32" s="46">
        <f>'Geographic Revenue'!H6/F23</f>
        <v>43.622833843017332</v>
      </c>
      <c r="G32" s="46">
        <f>'Geographic Revenue'!I6/G23</f>
        <v>41.273288728769941</v>
      </c>
      <c r="H32" s="46">
        <f>'Geographic Revenue'!J6/H23</f>
        <v>39.789802289282001</v>
      </c>
      <c r="I32" s="46">
        <f>'Geographic Revenue'!K6/I23</f>
        <v>40.656399362719064</v>
      </c>
      <c r="J32" s="46">
        <f>J45/J23</f>
        <v>42.202360054482085</v>
      </c>
      <c r="K32" s="46">
        <f>K45/K23</f>
        <v>43.591870430227338</v>
      </c>
      <c r="L32" s="46">
        <f>L45/L23</f>
        <v>45.134389465451143</v>
      </c>
      <c r="M32" s="46">
        <f>M45/M23</f>
        <v>46.608321304170623</v>
      </c>
      <c r="N32" s="46">
        <f>N45/N23</f>
        <v>47.999424863368347</v>
      </c>
    </row>
    <row r="33" spans="2:15" ht="12" customHeight="1">
      <c r="B33" s="36" t="s">
        <v>148</v>
      </c>
      <c r="E33" s="47">
        <f t="shared" ref="E33:N33" si="6">E32/D32-1</f>
        <v>0.11878232134466749</v>
      </c>
      <c r="F33" s="47">
        <f t="shared" si="6"/>
        <v>-9.936131256576175E-2</v>
      </c>
      <c r="G33" s="47">
        <f t="shared" si="6"/>
        <v>-5.3860442049742718E-2</v>
      </c>
      <c r="H33" s="47">
        <f t="shared" si="6"/>
        <v>-3.5943015087476216E-2</v>
      </c>
      <c r="I33" s="47">
        <f t="shared" si="6"/>
        <v>2.1779376211439327E-2</v>
      </c>
      <c r="J33" s="47">
        <f t="shared" si="6"/>
        <v>3.8025027203482109E-2</v>
      </c>
      <c r="K33" s="47">
        <f t="shared" si="6"/>
        <v>3.2924944812362078E-2</v>
      </c>
      <c r="L33" s="47">
        <f t="shared" si="6"/>
        <v>3.5385474860335275E-2</v>
      </c>
      <c r="M33" s="47">
        <f t="shared" si="6"/>
        <v>3.2656514382402912E-2</v>
      </c>
      <c r="N33" s="47">
        <f t="shared" si="6"/>
        <v>2.9846678023849993E-2</v>
      </c>
    </row>
    <row r="34" spans="2:15" ht="12" customHeight="1">
      <c r="B34" s="36" t="s">
        <v>149</v>
      </c>
      <c r="D34" s="46">
        <f>SUM('Geographic Revenue'!F7:F9)/D29</f>
        <v>22.246153846153845</v>
      </c>
      <c r="E34" s="46">
        <f>SUM('Geographic Revenue'!G7:G9)/E29</f>
        <v>24.091463414634145</v>
      </c>
      <c r="F34" s="46">
        <f>SUM('Geographic Revenue'!H7:H9)/F29</f>
        <v>21.9</v>
      </c>
      <c r="G34" s="46">
        <f>SUM('Geographic Revenue'!I7:I9)/G29</f>
        <v>20.96875</v>
      </c>
      <c r="H34" s="46">
        <f>SUM('Geographic Revenue'!J7:J9)/H29</f>
        <v>20.5625</v>
      </c>
      <c r="I34" s="46">
        <f>SUM('Geographic Revenue'!K7:K9)/I29</f>
        <v>22.602649006622517</v>
      </c>
      <c r="J34" s="46">
        <f>J54/J29</f>
        <v>25.629219330855019</v>
      </c>
      <c r="K34" s="46">
        <f>K54/K29</f>
        <v>28.445828861788616</v>
      </c>
      <c r="L34" s="46">
        <f>L54/L29</f>
        <v>30.633593896995709</v>
      </c>
      <c r="M34" s="46">
        <f>M54/M29</f>
        <v>32.357244113600004</v>
      </c>
      <c r="N34" s="46">
        <f>N54/N29</f>
        <v>33.90861883137535</v>
      </c>
    </row>
    <row r="35" spans="2:15" ht="12" customHeight="1">
      <c r="B35" s="36" t="s">
        <v>150</v>
      </c>
      <c r="E35" s="47">
        <f t="shared" ref="E35:N35" si="7">E34/D34-1</f>
        <v>8.2949600242890442E-2</v>
      </c>
      <c r="F35" s="47">
        <f t="shared" si="7"/>
        <v>-9.0964312832194416E-2</v>
      </c>
      <c r="G35" s="47">
        <f t="shared" si="7"/>
        <v>-4.2522831050228249E-2</v>
      </c>
      <c r="H35" s="47">
        <f t="shared" si="7"/>
        <v>-1.9374068554396384E-2</v>
      </c>
      <c r="I35" s="47">
        <f t="shared" si="7"/>
        <v>9.9216972966444494E-2</v>
      </c>
      <c r="J35" s="47">
        <f t="shared" si="7"/>
        <v>0.13390334572490703</v>
      </c>
      <c r="K35" s="47">
        <f t="shared" si="7"/>
        <v>0.10989837398373981</v>
      </c>
      <c r="L35" s="47">
        <f t="shared" si="7"/>
        <v>7.690987124463522E-2</v>
      </c>
      <c r="M35" s="47">
        <f t="shared" si="7"/>
        <v>5.6266666666666687E-2</v>
      </c>
      <c r="N35" s="47">
        <f t="shared" si="7"/>
        <v>4.7945205479452246E-2</v>
      </c>
    </row>
    <row r="37" spans="2:15" ht="12.75" customHeight="1">
      <c r="B37" s="37" t="s">
        <v>151</v>
      </c>
      <c r="C37" s="38"/>
      <c r="D37" s="38"/>
      <c r="E37" s="38"/>
      <c r="F37" s="38"/>
      <c r="G37" s="38"/>
      <c r="H37" s="38"/>
      <c r="I37" s="38"/>
      <c r="J37" s="58"/>
      <c r="K37" s="58"/>
      <c r="L37" s="58"/>
      <c r="M37" s="58"/>
      <c r="N37" s="58"/>
    </row>
    <row r="38" spans="2:15" ht="12" customHeight="1">
      <c r="B38" s="40" t="s">
        <v>152</v>
      </c>
      <c r="C38" s="40"/>
      <c r="D38" s="40"/>
      <c r="E38" s="40"/>
      <c r="F38" s="40"/>
      <c r="G38" s="40"/>
      <c r="H38" s="40"/>
      <c r="I38" s="40"/>
      <c r="J38" s="59"/>
      <c r="K38" s="59"/>
      <c r="L38" s="59"/>
      <c r="M38" s="59"/>
      <c r="N38" s="59"/>
    </row>
    <row r="39" spans="2:15" ht="12" customHeight="1">
      <c r="B39" s="36" t="s">
        <v>153</v>
      </c>
      <c r="D39" s="48">
        <f>'Geographic Revenue'!E6</f>
        <v>40114</v>
      </c>
      <c r="E39" s="48">
        <f>'Geographic Revenue'!F6</f>
        <v>43293</v>
      </c>
      <c r="F39" s="48">
        <f>'Geographic Revenue'!G6</f>
        <v>47830</v>
      </c>
      <c r="G39" s="48">
        <f>'Geographic Revenue'!H6</f>
        <v>42794</v>
      </c>
      <c r="H39" s="48">
        <f>'Geographic Revenue'!I6</f>
        <v>40097</v>
      </c>
      <c r="I39" s="48">
        <f>'Geographic Revenue'!J6</f>
        <v>38238</v>
      </c>
      <c r="J39" s="48">
        <f>'Geographic Revenue'!K6</f>
        <v>38278</v>
      </c>
      <c r="K39" s="44">
        <f>J45</f>
        <v>38783.968890069038</v>
      </c>
      <c r="L39" s="44">
        <f>K45</f>
        <v>39494.23460978597</v>
      </c>
      <c r="M39" s="44">
        <f>L45</f>
        <v>40395.278571578776</v>
      </c>
      <c r="N39" s="44">
        <f>M45</f>
        <v>41318.276836147255</v>
      </c>
    </row>
    <row r="40" spans="2:15" ht="12" customHeight="1">
      <c r="B40" s="36" t="s">
        <v>154</v>
      </c>
      <c r="D40" s="48">
        <f t="shared" ref="D40:N40" si="8">D39*(1+D7)</f>
        <v>43804.488000000005</v>
      </c>
      <c r="E40" s="48">
        <f t="shared" si="8"/>
        <v>48055.23</v>
      </c>
      <c r="F40" s="48">
        <f t="shared" si="8"/>
        <v>42903.51</v>
      </c>
      <c r="G40" s="48">
        <f t="shared" si="8"/>
        <v>39755.626000000004</v>
      </c>
      <c r="H40" s="48">
        <f t="shared" si="8"/>
        <v>39094.574999999997</v>
      </c>
      <c r="I40" s="48">
        <f t="shared" si="8"/>
        <v>38390.951999999997</v>
      </c>
      <c r="J40" s="44">
        <f t="shared" si="8"/>
        <v>38660.78</v>
      </c>
      <c r="K40" s="44">
        <f t="shared" si="8"/>
        <v>39365.728423420071</v>
      </c>
      <c r="L40" s="44">
        <f t="shared" si="8"/>
        <v>40284.119301981693</v>
      </c>
      <c r="M40" s="44">
        <f t="shared" si="8"/>
        <v>41203.184143010352</v>
      </c>
      <c r="N40" s="44">
        <f t="shared" si="8"/>
        <v>42144.642372870199</v>
      </c>
    </row>
    <row r="41" spans="2:15" ht="12" customHeight="1">
      <c r="B41" s="40" t="s">
        <v>155</v>
      </c>
      <c r="C41" s="40"/>
      <c r="D41" s="40"/>
      <c r="E41" s="40"/>
      <c r="F41" s="40"/>
      <c r="G41" s="40"/>
      <c r="H41" s="40"/>
      <c r="I41" s="40"/>
      <c r="J41" s="59"/>
      <c r="K41" s="59"/>
      <c r="L41" s="59"/>
      <c r="M41" s="59"/>
      <c r="N41" s="59"/>
    </row>
    <row r="42" spans="2:15" ht="12" customHeight="1">
      <c r="B42" s="36" t="s">
        <v>156</v>
      </c>
      <c r="D42" s="36">
        <f>'Industry Metrics'!G19</f>
        <v>3</v>
      </c>
      <c r="E42" s="36">
        <f>'Industry Metrics'!F19</f>
        <v>13</v>
      </c>
      <c r="F42" s="36">
        <f>'Industry Metrics'!E19</f>
        <v>9</v>
      </c>
      <c r="G42" s="36">
        <f>'Industry Metrics'!D19</f>
        <v>15</v>
      </c>
      <c r="H42" s="36">
        <f>'Industry Metrics'!C19</f>
        <v>0</v>
      </c>
      <c r="I42" s="36">
        <f>'Industry Metrics'!B20</f>
        <v>0</v>
      </c>
      <c r="J42" s="44">
        <f>J20</f>
        <v>6</v>
      </c>
      <c r="K42" s="44">
        <f>K20</f>
        <v>6</v>
      </c>
      <c r="L42" s="44">
        <f>L20</f>
        <v>5</v>
      </c>
      <c r="M42" s="44">
        <f>M20</f>
        <v>5</v>
      </c>
      <c r="N42" s="44">
        <f>N20</f>
        <v>5</v>
      </c>
    </row>
    <row r="43" spans="2:15" ht="12" customHeight="1">
      <c r="B43" s="36" t="s">
        <v>157</v>
      </c>
      <c r="D43" s="49">
        <f>'Geographic Revenue'!F6/'Revenue Build - Draft'!D23*50%</f>
        <v>21.6465</v>
      </c>
      <c r="E43" s="49">
        <f>'Geographic Revenue'!G6/'Revenue Build - Draft'!E23*50%</f>
        <v>24.217721518987343</v>
      </c>
      <c r="F43" s="49">
        <f>'Geographic Revenue'!H6/'Revenue Build - Draft'!F23*50%</f>
        <v>21.811416921508666</v>
      </c>
      <c r="G43" s="49">
        <f>'Geographic Revenue'!I6/'Revenue Build - Draft'!G23*50%</f>
        <v>20.636644364384971</v>
      </c>
      <c r="H43" s="49">
        <f>'Geographic Revenue'!J6/'Revenue Build - Draft'!H23*50%</f>
        <v>19.894901144641</v>
      </c>
      <c r="I43" s="49">
        <f>'Geographic Revenue'!K6/'Revenue Build - Draft'!I23*50%</f>
        <v>20.328199681359532</v>
      </c>
      <c r="J43" s="46">
        <f>'Geographic Revenue'!K6/I23*(1+J7)*50%</f>
        <v>20.531481678173126</v>
      </c>
      <c r="K43" s="46">
        <f>J45/J23*(1+K7)*50%</f>
        <v>21.417697727649657</v>
      </c>
      <c r="L43" s="46">
        <f>K45/K23*(1+L7)*50%</f>
        <v>22.231853919415943</v>
      </c>
      <c r="M43" s="46">
        <f>L45/L23*(1+M7)*50%</f>
        <v>23.018538627380082</v>
      </c>
      <c r="N43" s="46">
        <f>M45/M23*(1+N7)*50%</f>
        <v>23.770243865127018</v>
      </c>
      <c r="O43" s="36" t="s">
        <v>158</v>
      </c>
    </row>
    <row r="44" spans="2:15" ht="12" customHeight="1">
      <c r="B44" s="36" t="s">
        <v>159</v>
      </c>
      <c r="D44" s="49">
        <f t="shared" ref="D44:N44" si="9">D42*D43</f>
        <v>64.939499999999995</v>
      </c>
      <c r="E44" s="49">
        <f t="shared" si="9"/>
        <v>314.83037974683543</v>
      </c>
      <c r="F44" s="49">
        <f t="shared" si="9"/>
        <v>196.30275229357801</v>
      </c>
      <c r="G44" s="49">
        <f t="shared" si="9"/>
        <v>309.54966546577458</v>
      </c>
      <c r="H44" s="49">
        <f t="shared" si="9"/>
        <v>0</v>
      </c>
      <c r="I44" s="49">
        <f t="shared" si="9"/>
        <v>0</v>
      </c>
      <c r="J44" s="44">
        <f t="shared" si="9"/>
        <v>123.18889006903876</v>
      </c>
      <c r="K44" s="44">
        <f t="shared" si="9"/>
        <v>128.50618636589795</v>
      </c>
      <c r="L44" s="44">
        <f t="shared" si="9"/>
        <v>111.15926959707971</v>
      </c>
      <c r="M44" s="44">
        <f t="shared" si="9"/>
        <v>115.09269313690041</v>
      </c>
      <c r="N44" s="44">
        <f t="shared" si="9"/>
        <v>118.85121932563509</v>
      </c>
    </row>
    <row r="45" spans="2:15" ht="12" customHeight="1">
      <c r="B45" s="36" t="s">
        <v>160</v>
      </c>
      <c r="D45" s="48">
        <f t="shared" ref="D45:N45" si="10">D44+D40</f>
        <v>43869.427500000005</v>
      </c>
      <c r="E45" s="48">
        <f t="shared" si="10"/>
        <v>48370.060379746836</v>
      </c>
      <c r="F45" s="48">
        <f t="shared" si="10"/>
        <v>43099.812752293583</v>
      </c>
      <c r="G45" s="48">
        <f t="shared" si="10"/>
        <v>40065.17566546578</v>
      </c>
      <c r="H45" s="48">
        <f t="shared" si="10"/>
        <v>39094.574999999997</v>
      </c>
      <c r="I45" s="48">
        <f t="shared" si="10"/>
        <v>38390.951999999997</v>
      </c>
      <c r="J45" s="44">
        <f t="shared" si="10"/>
        <v>38783.968890069038</v>
      </c>
      <c r="K45" s="44">
        <f t="shared" si="10"/>
        <v>39494.23460978597</v>
      </c>
      <c r="L45" s="44">
        <f t="shared" si="10"/>
        <v>40395.278571578776</v>
      </c>
      <c r="M45" s="44">
        <f t="shared" si="10"/>
        <v>41318.276836147255</v>
      </c>
      <c r="N45" s="44">
        <f t="shared" si="10"/>
        <v>42263.493592195831</v>
      </c>
    </row>
    <row r="47" spans="2:15" ht="12.75" customHeight="1">
      <c r="B47" s="37" t="s">
        <v>161</v>
      </c>
      <c r="C47" s="38"/>
      <c r="D47" s="38"/>
      <c r="E47" s="38"/>
      <c r="F47" s="38"/>
      <c r="G47" s="38"/>
      <c r="H47" s="38"/>
      <c r="I47" s="38"/>
      <c r="J47" s="58"/>
      <c r="K47" s="58"/>
      <c r="L47" s="58"/>
      <c r="M47" s="58"/>
      <c r="N47" s="58"/>
    </row>
    <row r="48" spans="2:15" ht="12" customHeight="1">
      <c r="B48" s="36" t="s">
        <v>162</v>
      </c>
      <c r="D48" s="48">
        <f>SUM('Geographic Revenue'!E7:E9)</f>
        <v>3923</v>
      </c>
      <c r="E48" s="48">
        <f>SUM('Geographic Revenue'!F7:F9)</f>
        <v>4338</v>
      </c>
      <c r="F48" s="48">
        <f>SUM('Geographic Revenue'!G7:G9)</f>
        <v>3951</v>
      </c>
      <c r="G48" s="48">
        <f>SUM('Geographic Revenue'!H7:H9)</f>
        <v>3504</v>
      </c>
      <c r="H48" s="48">
        <f>SUM('Geographic Revenue'!I7:I9)</f>
        <v>3355</v>
      </c>
      <c r="I48" s="48">
        <f>SUM('Geographic Revenue'!J7:J9)</f>
        <v>3290</v>
      </c>
      <c r="J48" s="48">
        <f>SUM('Geographic Revenue'!K7:K9)</f>
        <v>3413</v>
      </c>
      <c r="K48" s="44">
        <f>J54</f>
        <v>3447.13</v>
      </c>
      <c r="L48" s="44">
        <f>K54</f>
        <v>3498.8369499999999</v>
      </c>
      <c r="M48" s="44">
        <f>L54</f>
        <v>3568.8136890000001</v>
      </c>
      <c r="N48" s="44">
        <f>M54</f>
        <v>3640.1899627800003</v>
      </c>
    </row>
    <row r="49" spans="2:15" ht="12" customHeight="1">
      <c r="B49" s="36" t="s">
        <v>154</v>
      </c>
      <c r="D49" s="48">
        <f t="shared" ref="D49:M49" si="11">D48*(1+D8)</f>
        <v>4511.45</v>
      </c>
      <c r="E49" s="48">
        <f t="shared" si="11"/>
        <v>4481.1539999999995</v>
      </c>
      <c r="F49" s="48">
        <f t="shared" si="11"/>
        <v>3737.6459999999997</v>
      </c>
      <c r="G49" s="48">
        <f t="shared" si="11"/>
        <v>3391.8719999999998</v>
      </c>
      <c r="H49" s="48">
        <f t="shared" si="11"/>
        <v>3338.2249999999999</v>
      </c>
      <c r="I49" s="48">
        <f t="shared" si="11"/>
        <v>3365.6699999999996</v>
      </c>
      <c r="J49" s="44">
        <f t="shared" si="11"/>
        <v>3447.13</v>
      </c>
      <c r="K49" s="44">
        <f t="shared" si="11"/>
        <v>3498.8369499999999</v>
      </c>
      <c r="L49" s="44">
        <f t="shared" si="11"/>
        <v>3568.8136890000001</v>
      </c>
      <c r="M49" s="44">
        <f t="shared" si="11"/>
        <v>3640.1899627800003</v>
      </c>
      <c r="N49" s="44">
        <f>N48*(1+N8)</f>
        <v>3712.9937620356004</v>
      </c>
    </row>
    <row r="50" spans="2:15" ht="12" customHeight="1">
      <c r="B50" s="50" t="s">
        <v>155</v>
      </c>
    </row>
    <row r="51" spans="2:15" ht="12" customHeight="1">
      <c r="B51" s="50" t="s">
        <v>156</v>
      </c>
      <c r="D51" s="48">
        <f>'Industry Metrics'!G22</f>
        <v>0</v>
      </c>
      <c r="E51" s="48">
        <f>'Industry Metrics'!F22</f>
        <v>0</v>
      </c>
      <c r="F51" s="48">
        <f>'Industry Metrics'!E25</f>
        <v>0</v>
      </c>
      <c r="G51" s="48">
        <f>'Industry Metrics'!D22</f>
        <v>1</v>
      </c>
      <c r="H51" s="48">
        <f>'Industry Metrics'!C22</f>
        <v>0</v>
      </c>
      <c r="I51" s="48">
        <f>'Industry Metrics'!B22</f>
        <v>0</v>
      </c>
      <c r="J51" s="44">
        <f>J26</f>
        <v>0</v>
      </c>
      <c r="K51" s="44">
        <f>K26</f>
        <v>0</v>
      </c>
      <c r="L51" s="44">
        <f>L26</f>
        <v>0</v>
      </c>
      <c r="M51" s="44">
        <f>M26</f>
        <v>0</v>
      </c>
      <c r="N51" s="44">
        <f>N26</f>
        <v>0</v>
      </c>
    </row>
    <row r="52" spans="2:15" ht="12" customHeight="1">
      <c r="B52" s="50" t="s">
        <v>157</v>
      </c>
      <c r="D52" s="46">
        <f>SUM('Geographic Revenue'!F7:F9)/D29*50%</f>
        <v>11.123076923076923</v>
      </c>
      <c r="E52" s="46">
        <f>SUM('Geographic Revenue'!G7:G9)/E29*50%</f>
        <v>12.045731707317072</v>
      </c>
      <c r="F52" s="46">
        <f>SUM('Geographic Revenue'!H7:H9)/F29*50%</f>
        <v>10.95</v>
      </c>
      <c r="G52" s="46">
        <f>SUM('Geographic Revenue'!I7:I9)/G29*50%</f>
        <v>10.484375</v>
      </c>
      <c r="H52" s="46">
        <f>SUM('Geographic Revenue'!J7:J9)/H29*50%</f>
        <v>10.28125</v>
      </c>
      <c r="I52" s="46">
        <f>SUM('Geographic Revenue'!K7:K9)/I29*50%</f>
        <v>11.301324503311259</v>
      </c>
      <c r="J52" s="46">
        <f>SUM('Geographic Revenue'!K7:K9)/I29*(1+J8)*50%</f>
        <v>11.414337748344371</v>
      </c>
      <c r="K52" s="46">
        <f>J54/J29*(1+K8)*50%</f>
        <v>13.006828810408921</v>
      </c>
      <c r="L52" s="46">
        <f>K54/K29*(1+L8)*50%</f>
        <v>14.507372719512194</v>
      </c>
      <c r="M52" s="46">
        <f>L54/L29*(1+M8)*50%</f>
        <v>15.623132887467811</v>
      </c>
      <c r="N52" s="46">
        <f>M54/M29*(1+N8)*50%</f>
        <v>16.502194497936003</v>
      </c>
    </row>
    <row r="53" spans="2:15" ht="12" customHeight="1">
      <c r="B53" s="50" t="s">
        <v>163</v>
      </c>
      <c r="D53" s="44">
        <f t="shared" ref="D53:N53" si="12">D51*D52</f>
        <v>0</v>
      </c>
      <c r="E53" s="44">
        <f t="shared" si="12"/>
        <v>0</v>
      </c>
      <c r="F53" s="44">
        <f t="shared" si="12"/>
        <v>0</v>
      </c>
      <c r="G53" s="44">
        <f t="shared" si="12"/>
        <v>10.484375</v>
      </c>
      <c r="H53" s="44">
        <f t="shared" si="12"/>
        <v>0</v>
      </c>
      <c r="I53" s="44">
        <f t="shared" si="12"/>
        <v>0</v>
      </c>
      <c r="J53" s="44">
        <f t="shared" si="12"/>
        <v>0</v>
      </c>
      <c r="K53" s="44">
        <f t="shared" si="12"/>
        <v>0</v>
      </c>
      <c r="L53" s="44">
        <f t="shared" si="12"/>
        <v>0</v>
      </c>
      <c r="M53" s="44">
        <f t="shared" si="12"/>
        <v>0</v>
      </c>
      <c r="N53" s="44">
        <f t="shared" si="12"/>
        <v>0</v>
      </c>
    </row>
    <row r="54" spans="2:15" ht="12" customHeight="1">
      <c r="B54" s="36" t="s">
        <v>164</v>
      </c>
      <c r="D54" s="44">
        <f t="shared" ref="D54:M54" si="13">D53+D49</f>
        <v>4511.45</v>
      </c>
      <c r="E54" s="44">
        <f t="shared" si="13"/>
        <v>4481.1539999999995</v>
      </c>
      <c r="F54" s="44">
        <f t="shared" si="13"/>
        <v>3737.6459999999997</v>
      </c>
      <c r="G54" s="44">
        <f t="shared" si="13"/>
        <v>3402.3563749999998</v>
      </c>
      <c r="H54" s="44">
        <f t="shared" si="13"/>
        <v>3338.2249999999999</v>
      </c>
      <c r="I54" s="44">
        <f t="shared" si="13"/>
        <v>3365.6699999999996</v>
      </c>
      <c r="J54" s="44">
        <f t="shared" si="13"/>
        <v>3447.13</v>
      </c>
      <c r="K54" s="44">
        <f t="shared" si="13"/>
        <v>3498.8369499999999</v>
      </c>
      <c r="L54" s="44">
        <f t="shared" si="13"/>
        <v>3568.8136890000001</v>
      </c>
      <c r="M54" s="44">
        <f t="shared" si="13"/>
        <v>3640.1899627800003</v>
      </c>
      <c r="N54" s="44">
        <f>N53+N49</f>
        <v>3712.9937620356004</v>
      </c>
    </row>
    <row r="55" spans="2:15" ht="12" customHeight="1">
      <c r="B55" s="51" t="s">
        <v>165</v>
      </c>
      <c r="D55" s="52">
        <f t="shared" ref="D55:M55" si="14">D45+D54</f>
        <v>48380.877500000002</v>
      </c>
      <c r="E55" s="52">
        <f t="shared" si="14"/>
        <v>52851.214379746838</v>
      </c>
      <c r="F55" s="52">
        <f t="shared" si="14"/>
        <v>46837.458752293584</v>
      </c>
      <c r="G55" s="52">
        <f t="shared" si="14"/>
        <v>43467.532040465783</v>
      </c>
      <c r="H55" s="52">
        <f t="shared" si="14"/>
        <v>42432.799999999996</v>
      </c>
      <c r="I55" s="52">
        <f t="shared" si="14"/>
        <v>41756.621999999996</v>
      </c>
      <c r="J55" s="52">
        <f t="shared" si="14"/>
        <v>42231.098890069035</v>
      </c>
      <c r="K55" s="52">
        <f t="shared" si="14"/>
        <v>42993.071559785967</v>
      </c>
      <c r="L55" s="52">
        <f t="shared" si="14"/>
        <v>43964.092260578778</v>
      </c>
      <c r="M55" s="52">
        <f t="shared" si="14"/>
        <v>44958.466798927257</v>
      </c>
      <c r="N55" s="52">
        <f>N45+N54</f>
        <v>45976.487354231431</v>
      </c>
    </row>
    <row r="57" spans="2:15" ht="12" customHeight="1">
      <c r="B57" s="72" t="s">
        <v>166</v>
      </c>
      <c r="C57" s="86"/>
      <c r="D57" s="86"/>
      <c r="E57" s="86"/>
      <c r="F57" s="86"/>
      <c r="G57" s="86"/>
      <c r="H57" s="86"/>
      <c r="I57" s="86"/>
      <c r="J57" s="86"/>
      <c r="K57" s="86"/>
      <c r="L57" s="86"/>
      <c r="M57" s="86"/>
      <c r="N57" s="86"/>
    </row>
    <row r="58" spans="2:15" ht="12" customHeight="1">
      <c r="B58" s="50" t="s">
        <v>167</v>
      </c>
      <c r="O58" s="53"/>
    </row>
    <row r="60" spans="2:15" ht="12" customHeight="1">
      <c r="B60" s="50" t="s">
        <v>74</v>
      </c>
      <c r="D60" s="54">
        <f>'Business Segment Revenue'!F28/100</f>
        <v>0.11619156</v>
      </c>
      <c r="E60" s="54">
        <f>'Business Segment Revenue'!G28/100</f>
        <v>3.8100960000000003E-2</v>
      </c>
      <c r="F60" s="54">
        <f>'Business Segment Revenue'!H28/100</f>
        <v>-0.1206513</v>
      </c>
      <c r="G60" s="54">
        <f>'Business Segment Revenue'!I28/100</f>
        <v>-6.4960030000000002E-2</v>
      </c>
      <c r="H60" s="54">
        <f>'Business Segment Revenue'!J28/100</f>
        <v>1.0767230000000001E-2</v>
      </c>
      <c r="I60" s="54">
        <f>'Business Segment Revenue'!K28/100</f>
        <v>5.5296830000000005E-2</v>
      </c>
      <c r="J60" s="42">
        <v>0.02</v>
      </c>
      <c r="K60" s="42">
        <v>0.04</v>
      </c>
      <c r="L60" s="42">
        <v>0.03</v>
      </c>
      <c r="M60" s="42">
        <v>0.02</v>
      </c>
      <c r="N60" s="42">
        <v>0.02</v>
      </c>
      <c r="O60" s="36" t="s">
        <v>75</v>
      </c>
    </row>
    <row r="61" spans="2:15" ht="12" customHeight="1">
      <c r="B61" s="50" t="s">
        <v>77</v>
      </c>
      <c r="D61" s="54">
        <f>'Business Segment Revenue'!F29/100</f>
        <v>-5.6675099999999997E-3</v>
      </c>
      <c r="E61" s="54">
        <f>'Business Segment Revenue'!G29/100</f>
        <v>0.14017309999999999</v>
      </c>
      <c r="F61" s="54">
        <f>'Business Segment Revenue'!H29/100</f>
        <v>-0.13016109000000001</v>
      </c>
      <c r="G61" s="54">
        <f>'Business Segment Revenue'!I29/100</f>
        <v>-7.9821199999999995E-2</v>
      </c>
      <c r="H61" s="54">
        <f>'Business Segment Revenue'!J29/100</f>
        <v>-6.9704680000000005E-2</v>
      </c>
      <c r="I61" s="54">
        <f>'Business Segment Revenue'!K29/100</f>
        <v>-5.0145049999999997E-2</v>
      </c>
      <c r="J61" s="42">
        <v>-0.02</v>
      </c>
      <c r="K61" s="42">
        <v>1.4999999999999999E-2</v>
      </c>
      <c r="L61" s="42">
        <v>0.02</v>
      </c>
      <c r="M61" s="42">
        <v>0.02</v>
      </c>
      <c r="N61" s="42">
        <v>0.02</v>
      </c>
      <c r="O61" s="36" t="s">
        <v>78</v>
      </c>
    </row>
    <row r="62" spans="2:15" ht="12" customHeight="1">
      <c r="B62" s="50" t="s">
        <v>80</v>
      </c>
      <c r="D62" s="54">
        <f>'Business Segment Revenue'!F30/100</f>
        <v>0.22099792000000001</v>
      </c>
      <c r="E62" s="54">
        <f>'Business Segment Revenue'!G30/100</f>
        <v>0.22033032999999999</v>
      </c>
      <c r="F62" s="54">
        <f>'Business Segment Revenue'!H30/100</f>
        <v>-6.0136740000000001E-2</v>
      </c>
      <c r="G62" s="54">
        <f>'Business Segment Revenue'!I30/100</f>
        <v>-0.13836104000000002</v>
      </c>
      <c r="H62" s="54">
        <f>'Business Segment Revenue'!J30/100</f>
        <v>-0.15403171000000002</v>
      </c>
      <c r="I62" s="54">
        <f>'Business Segment Revenue'!K30/100</f>
        <v>-8.9816699999999999E-2</v>
      </c>
      <c r="J62" s="42">
        <v>-0.05</v>
      </c>
      <c r="K62" s="42">
        <v>0</v>
      </c>
      <c r="L62" s="42">
        <v>2.5000000000000001E-2</v>
      </c>
      <c r="M62" s="42">
        <v>0.03</v>
      </c>
      <c r="N62" s="42">
        <v>0.03</v>
      </c>
      <c r="O62" s="36" t="s">
        <v>81</v>
      </c>
    </row>
    <row r="63" spans="2:15" ht="12" customHeight="1">
      <c r="B63" s="50" t="s">
        <v>83</v>
      </c>
      <c r="D63" s="54">
        <f>'Business Segment Revenue'!F31/100</f>
        <v>0.18559877</v>
      </c>
      <c r="E63" s="54">
        <f>'Business Segment Revenue'!G31/100</f>
        <v>6.3657030000000003E-2</v>
      </c>
      <c r="F63" s="54">
        <f>'Business Segment Revenue'!H31/100</f>
        <v>-6.7786260000000001E-2</v>
      </c>
      <c r="G63" s="54">
        <f>'Business Segment Revenue'!I31/100</f>
        <v>0.10153947000000001</v>
      </c>
      <c r="H63" s="54">
        <f>'Business Segment Revenue'!J31/100</f>
        <v>-0.13529586999999998</v>
      </c>
      <c r="I63" s="54">
        <f>'Business Segment Revenue'!K31/100</f>
        <v>6.327373E-2</v>
      </c>
      <c r="J63" s="42">
        <v>0.03</v>
      </c>
      <c r="K63" s="42">
        <v>2.5000000000000001E-2</v>
      </c>
      <c r="L63" s="42">
        <v>0.02</v>
      </c>
      <c r="M63" s="42">
        <v>0.02</v>
      </c>
      <c r="N63" s="42">
        <v>0.02</v>
      </c>
      <c r="O63" s="36" t="s">
        <v>84</v>
      </c>
    </row>
    <row r="64" spans="2:15" ht="12" customHeight="1">
      <c r="B64" s="50" t="s">
        <v>168</v>
      </c>
      <c r="D64" s="54">
        <f>'Business Segment Revenue'!F32/100</f>
        <v>-3.1397849999999998E-2</v>
      </c>
      <c r="E64" s="54">
        <f>'Business Segment Revenue'!G32/100</f>
        <v>5.6838360000000004E-2</v>
      </c>
      <c r="F64" s="54">
        <f>'Business Segment Revenue'!H32/100</f>
        <v>-2.016807E-2</v>
      </c>
      <c r="G64" s="54">
        <f>'Business Segment Revenue'!I32/100</f>
        <v>8.4905659999999994E-2</v>
      </c>
      <c r="H64" s="54">
        <f>'Business Segment Revenue'!J32/100</f>
        <v>3.9920949999999997E-2</v>
      </c>
      <c r="I64" s="54">
        <f>'Business Segment Revenue'!K32/100</f>
        <v>9.5020899999999995E-3</v>
      </c>
      <c r="J64" s="42">
        <v>0.04</v>
      </c>
      <c r="K64" s="42">
        <v>0.05</v>
      </c>
      <c r="L64" s="42">
        <v>0.05</v>
      </c>
      <c r="M64" s="42">
        <v>0.04</v>
      </c>
      <c r="N64" s="42">
        <v>0.04</v>
      </c>
      <c r="O64" s="36" t="s">
        <v>87</v>
      </c>
    </row>
    <row r="65" spans="2:15" ht="12" customHeight="1">
      <c r="B65" s="50" t="s">
        <v>169</v>
      </c>
      <c r="D65" s="54">
        <f>'Business Segment Revenue'!F33/100</f>
        <v>-9.7674420000000012E-2</v>
      </c>
      <c r="E65" s="54">
        <f>'Business Segment Revenue'!G33/100</f>
        <v>0.32989689</v>
      </c>
      <c r="F65" s="54">
        <f>'Business Segment Revenue'!H33/100</f>
        <v>0.22868217000000002</v>
      </c>
      <c r="G65" s="54">
        <f>'Business Segment Revenue'!I33/100</f>
        <v>-4.1009460000000005E-2</v>
      </c>
      <c r="H65" s="54">
        <f>'Business Segment Revenue'!J33/100</f>
        <v>9.5394740000000006E-2</v>
      </c>
      <c r="I65" s="54">
        <f>'Business Segment Revenue'!K33/100</f>
        <v>-9.9099099999999996E-2</v>
      </c>
      <c r="J65" s="42">
        <v>0.08</v>
      </c>
      <c r="K65" s="42">
        <v>0.1</v>
      </c>
      <c r="L65" s="42">
        <v>0.08</v>
      </c>
      <c r="M65" s="42">
        <v>0.06</v>
      </c>
      <c r="N65" s="42">
        <v>0.05</v>
      </c>
      <c r="O65" s="36" t="s">
        <v>90</v>
      </c>
    </row>
    <row r="67" spans="2:15" ht="12" customHeight="1">
      <c r="B67" s="50" t="s">
        <v>170</v>
      </c>
    </row>
    <row r="68" spans="2:15" ht="12" customHeight="1">
      <c r="B68" s="50" t="s">
        <v>74</v>
      </c>
      <c r="D68" s="48">
        <f>'Business Segment Revenue'!F5</f>
        <v>21653</v>
      </c>
      <c r="E68" s="48">
        <f>'Business Segment Revenue'!G5</f>
        <v>22478</v>
      </c>
      <c r="F68" s="48">
        <f>'Business Segment Revenue'!H5</f>
        <v>19766</v>
      </c>
      <c r="G68" s="48">
        <f>'Business Segment Revenue'!I5</f>
        <v>18482</v>
      </c>
      <c r="H68" s="48">
        <f>'Business Segment Revenue'!J5</f>
        <v>18681</v>
      </c>
      <c r="I68" s="48">
        <f>'Business Segment Revenue'!K5</f>
        <v>19714</v>
      </c>
      <c r="J68" s="44">
        <f>I68*(1+J60)</f>
        <v>20108.28</v>
      </c>
      <c r="K68" s="44">
        <f t="shared" ref="J68:N73" si="15">J68*(1+K60)</f>
        <v>20912.611199999999</v>
      </c>
      <c r="L68" s="44">
        <f t="shared" si="15"/>
        <v>21539.989536000001</v>
      </c>
      <c r="M68" s="44">
        <f t="shared" si="15"/>
        <v>21970.789326720002</v>
      </c>
      <c r="N68" s="44">
        <f t="shared" si="15"/>
        <v>22410.2051132544</v>
      </c>
    </row>
    <row r="69" spans="2:15" ht="12" customHeight="1">
      <c r="B69" s="50" t="s">
        <v>77</v>
      </c>
      <c r="D69" s="48">
        <f>'Business Segment Revenue'!F6</f>
        <v>14211</v>
      </c>
      <c r="E69" s="48">
        <f>'Business Segment Revenue'!G6</f>
        <v>16203</v>
      </c>
      <c r="F69" s="48">
        <f>'Business Segment Revenue'!H6</f>
        <v>14094</v>
      </c>
      <c r="G69" s="48">
        <f>'Business Segment Revenue'!I6</f>
        <v>12969</v>
      </c>
      <c r="H69" s="48">
        <f>'Business Segment Revenue'!J6</f>
        <v>12065</v>
      </c>
      <c r="I69" s="48">
        <f>'Business Segment Revenue'!K6</f>
        <v>11460</v>
      </c>
      <c r="J69" s="44">
        <f t="shared" si="15"/>
        <v>11230.8</v>
      </c>
      <c r="K69" s="44">
        <f t="shared" si="15"/>
        <v>11399.261999999999</v>
      </c>
      <c r="L69" s="44">
        <f t="shared" si="15"/>
        <v>11627.247239999999</v>
      </c>
      <c r="M69" s="44">
        <f t="shared" si="15"/>
        <v>11859.792184799999</v>
      </c>
      <c r="N69" s="44">
        <f t="shared" si="15"/>
        <v>12096.988028495998</v>
      </c>
    </row>
    <row r="70" spans="2:15" ht="12" customHeight="1">
      <c r="B70" s="50" t="s">
        <v>80</v>
      </c>
      <c r="D70" s="48">
        <f>'Business Segment Revenue'!F7</f>
        <v>5873</v>
      </c>
      <c r="E70" s="48">
        <f>'Business Segment Revenue'!G7</f>
        <v>7167</v>
      </c>
      <c r="F70" s="48">
        <f>'Business Segment Revenue'!H7</f>
        <v>6736</v>
      </c>
      <c r="G70" s="48">
        <f>'Business Segment Revenue'!I7</f>
        <v>5804</v>
      </c>
      <c r="H70" s="48">
        <f>'Business Segment Revenue'!J7</f>
        <v>4910</v>
      </c>
      <c r="I70" s="48">
        <f>'Business Segment Revenue'!K7</f>
        <v>4469</v>
      </c>
      <c r="J70" s="44">
        <f t="shared" si="15"/>
        <v>4245.55</v>
      </c>
      <c r="K70" s="44">
        <f t="shared" si="15"/>
        <v>4245.55</v>
      </c>
      <c r="L70" s="44">
        <f t="shared" si="15"/>
        <v>4351.6887500000003</v>
      </c>
      <c r="M70" s="44">
        <f t="shared" si="15"/>
        <v>4482.2394125000001</v>
      </c>
      <c r="N70" s="44">
        <f t="shared" si="15"/>
        <v>4616.7065948750005</v>
      </c>
    </row>
    <row r="71" spans="2:15" ht="12" customHeight="1">
      <c r="B71" s="50" t="s">
        <v>83</v>
      </c>
      <c r="D71" s="48">
        <f>'Business Segment Revenue'!F8</f>
        <v>3079</v>
      </c>
      <c r="E71" s="48">
        <f>'Business Segment Revenue'!G8</f>
        <v>3275</v>
      </c>
      <c r="F71" s="48">
        <f>'Business Segment Revenue'!H8</f>
        <v>3053</v>
      </c>
      <c r="G71" s="48">
        <f>'Business Segment Revenue'!I8</f>
        <v>3363</v>
      </c>
      <c r="H71" s="48">
        <f>'Business Segment Revenue'!J8</f>
        <v>2908</v>
      </c>
      <c r="I71" s="48">
        <f>'Business Segment Revenue'!K8</f>
        <v>3092</v>
      </c>
      <c r="J71" s="44">
        <f t="shared" si="15"/>
        <v>3184.76</v>
      </c>
      <c r="K71" s="44">
        <f t="shared" si="15"/>
        <v>3264.3789999999999</v>
      </c>
      <c r="L71" s="44">
        <f t="shared" si="15"/>
        <v>3329.6665800000001</v>
      </c>
      <c r="M71" s="44">
        <f t="shared" si="15"/>
        <v>3396.2599116000001</v>
      </c>
      <c r="N71" s="44">
        <f t="shared" si="15"/>
        <v>3464.1851098320003</v>
      </c>
    </row>
    <row r="72" spans="2:15" ht="12" customHeight="1">
      <c r="B72" s="50" t="s">
        <v>168</v>
      </c>
      <c r="D72" s="48">
        <f>'Business Segment Revenue'!F9</f>
        <v>2252</v>
      </c>
      <c r="E72" s="48">
        <f>'Business Segment Revenue'!G9</f>
        <v>2380</v>
      </c>
      <c r="F72" s="48">
        <f>'Business Segment Revenue'!H9</f>
        <v>2332</v>
      </c>
      <c r="G72" s="48">
        <f>'Business Segment Revenue'!I9</f>
        <v>2530</v>
      </c>
      <c r="H72" s="48">
        <f>'Business Segment Revenue'!J9</f>
        <v>2631</v>
      </c>
      <c r="I72" s="48">
        <f>'Business Segment Revenue'!K9</f>
        <v>2656</v>
      </c>
      <c r="J72" s="44">
        <f t="shared" si="15"/>
        <v>2762.2400000000002</v>
      </c>
      <c r="K72" s="44">
        <f t="shared" si="15"/>
        <v>2900.3520000000003</v>
      </c>
      <c r="L72" s="44">
        <f t="shared" si="15"/>
        <v>3045.3696000000004</v>
      </c>
      <c r="M72" s="44">
        <f t="shared" si="15"/>
        <v>3167.1843840000006</v>
      </c>
      <c r="N72" s="44">
        <f t="shared" si="15"/>
        <v>3293.8717593600009</v>
      </c>
    </row>
    <row r="73" spans="2:15" ht="12" customHeight="1">
      <c r="B73" s="50" t="s">
        <v>169</v>
      </c>
      <c r="D73" s="48">
        <f>'Business Segment Revenue'!F10</f>
        <v>194</v>
      </c>
      <c r="E73" s="48">
        <f>'Business Segment Revenue'!G10</f>
        <v>258</v>
      </c>
      <c r="F73" s="48">
        <f>'Business Segment Revenue'!H10</f>
        <v>317</v>
      </c>
      <c r="G73" s="48">
        <f>'Business Segment Revenue'!I10</f>
        <v>304</v>
      </c>
      <c r="H73" s="48">
        <f>'Business Segment Revenue'!J10</f>
        <v>333</v>
      </c>
      <c r="I73" s="48">
        <f>'Business Segment Revenue'!K10</f>
        <v>300</v>
      </c>
      <c r="J73" s="44">
        <f t="shared" si="15"/>
        <v>324</v>
      </c>
      <c r="K73" s="44">
        <f t="shared" si="15"/>
        <v>356.40000000000003</v>
      </c>
      <c r="L73" s="44">
        <f t="shared" si="15"/>
        <v>384.91200000000003</v>
      </c>
      <c r="M73" s="44">
        <f t="shared" si="15"/>
        <v>408.00672000000003</v>
      </c>
      <c r="N73" s="44">
        <f t="shared" si="15"/>
        <v>428.40705600000007</v>
      </c>
    </row>
    <row r="74" spans="2:15" ht="12" customHeight="1">
      <c r="B74" s="55" t="s">
        <v>171</v>
      </c>
      <c r="C74" s="56"/>
      <c r="D74" s="57">
        <f t="shared" ref="D74:M74" si="16">SUM(D68:D73)</f>
        <v>47262</v>
      </c>
      <c r="E74" s="57">
        <f t="shared" si="16"/>
        <v>51761</v>
      </c>
      <c r="F74" s="57">
        <f t="shared" si="16"/>
        <v>46298</v>
      </c>
      <c r="G74" s="57">
        <f t="shared" si="16"/>
        <v>43452</v>
      </c>
      <c r="H74" s="57">
        <f t="shared" si="16"/>
        <v>41528</v>
      </c>
      <c r="I74" s="57">
        <f t="shared" si="16"/>
        <v>41691</v>
      </c>
      <c r="J74" s="57">
        <f t="shared" si="16"/>
        <v>41855.629999999997</v>
      </c>
      <c r="K74" s="57">
        <f t="shared" si="16"/>
        <v>43078.554199999999</v>
      </c>
      <c r="L74" s="57">
        <f t="shared" si="16"/>
        <v>44278.873705999991</v>
      </c>
      <c r="M74" s="57">
        <f t="shared" si="16"/>
        <v>45284.271939619997</v>
      </c>
      <c r="N74" s="57">
        <f>SUM(N68:N73)</f>
        <v>46310.363661817399</v>
      </c>
    </row>
    <row r="76" spans="2:15" ht="12" customHeight="1">
      <c r="B76" s="50" t="s">
        <v>172</v>
      </c>
    </row>
    <row r="77" spans="2:15" ht="12" customHeight="1">
      <c r="B77" s="50" t="s">
        <v>74</v>
      </c>
      <c r="D77" s="47">
        <f t="shared" ref="D77:N77" si="17">D68/D74</f>
        <v>0.45814819516736488</v>
      </c>
      <c r="E77" s="47">
        <f t="shared" si="17"/>
        <v>0.43426518034813855</v>
      </c>
      <c r="F77" s="47">
        <f t="shared" si="17"/>
        <v>0.42692988898008555</v>
      </c>
      <c r="G77" s="47">
        <f t="shared" si="17"/>
        <v>0.42534290711589801</v>
      </c>
      <c r="H77" s="47">
        <f t="shared" si="17"/>
        <v>0.44984107108456944</v>
      </c>
      <c r="I77" s="47">
        <f t="shared" si="17"/>
        <v>0.47285984984768897</v>
      </c>
      <c r="J77" s="47">
        <f t="shared" si="17"/>
        <v>0.48041995784079705</v>
      </c>
      <c r="K77" s="47">
        <f t="shared" si="17"/>
        <v>0.48545294957925955</v>
      </c>
      <c r="L77" s="47">
        <f t="shared" si="17"/>
        <v>0.4864620016990458</v>
      </c>
      <c r="M77" s="47">
        <f t="shared" si="17"/>
        <v>0.4851748385402963</v>
      </c>
      <c r="N77" s="47">
        <f t="shared" si="17"/>
        <v>0.48391339089680852</v>
      </c>
    </row>
    <row r="78" spans="2:15" ht="12" customHeight="1">
      <c r="B78" s="50" t="s">
        <v>77</v>
      </c>
      <c r="D78" s="47">
        <f>D69/D74</f>
        <v>0.30068554018027166</v>
      </c>
      <c r="E78" s="47">
        <f t="shared" ref="E78:N78" si="18">E69/E74</f>
        <v>0.31303491045381659</v>
      </c>
      <c r="F78" s="47">
        <f t="shared" si="18"/>
        <v>0.30441919737353668</v>
      </c>
      <c r="G78" s="47">
        <f t="shared" si="18"/>
        <v>0.29846727423363711</v>
      </c>
      <c r="H78" s="47">
        <f t="shared" si="18"/>
        <v>0.290526873434791</v>
      </c>
      <c r="I78" s="47">
        <f t="shared" si="18"/>
        <v>0.27487947038929267</v>
      </c>
      <c r="J78" s="47">
        <f t="shared" si="18"/>
        <v>0.26832232605267203</v>
      </c>
      <c r="K78" s="47">
        <f t="shared" si="18"/>
        <v>0.26461570523181577</v>
      </c>
      <c r="L78" s="47">
        <f t="shared" si="18"/>
        <v>0.26259130521706231</v>
      </c>
      <c r="M78" s="47">
        <f t="shared" si="18"/>
        <v>0.26189649688115357</v>
      </c>
      <c r="N78" s="47">
        <f t="shared" si="18"/>
        <v>0.26121556973368981</v>
      </c>
    </row>
    <row r="79" spans="2:15" ht="12" customHeight="1">
      <c r="B79" s="50" t="s">
        <v>80</v>
      </c>
      <c r="D79" s="47">
        <f t="shared" ref="D79:N79" si="19">D70/D74</f>
        <v>0.12426473699801109</v>
      </c>
      <c r="E79" s="47">
        <f t="shared" si="19"/>
        <v>0.13846332180599294</v>
      </c>
      <c r="F79" s="47">
        <f t="shared" si="19"/>
        <v>0.14549224588535142</v>
      </c>
      <c r="G79" s="47">
        <f t="shared" si="19"/>
        <v>0.13357267789745006</v>
      </c>
      <c r="H79" s="47">
        <f t="shared" si="19"/>
        <v>0.11823348102485071</v>
      </c>
      <c r="I79" s="47">
        <f t="shared" si="19"/>
        <v>0.10719339905495191</v>
      </c>
      <c r="J79" s="47">
        <f t="shared" si="19"/>
        <v>0.10143318831899079</v>
      </c>
      <c r="K79" s="47">
        <f t="shared" si="19"/>
        <v>9.8553678944034759E-2</v>
      </c>
      <c r="L79" s="47">
        <f t="shared" si="19"/>
        <v>9.8279120171259601E-2</v>
      </c>
      <c r="M79" s="47">
        <f t="shared" si="19"/>
        <v>9.8980048050157809E-2</v>
      </c>
      <c r="N79" s="47">
        <f t="shared" si="19"/>
        <v>9.9690570961364439E-2</v>
      </c>
    </row>
    <row r="80" spans="2:15" ht="12" customHeight="1">
      <c r="B80" s="50" t="s">
        <v>83</v>
      </c>
      <c r="D80" s="47">
        <f t="shared" ref="D80:N80" si="20">D71/D74</f>
        <v>6.5147475773348562E-2</v>
      </c>
      <c r="E80" s="47">
        <f t="shared" si="20"/>
        <v>6.3271575124128204E-2</v>
      </c>
      <c r="F80" s="47">
        <f t="shared" si="20"/>
        <v>6.5942373320661801E-2</v>
      </c>
      <c r="G80" s="47">
        <f t="shared" si="20"/>
        <v>7.7395747031206844E-2</v>
      </c>
      <c r="H80" s="47">
        <f t="shared" si="20"/>
        <v>7.0025043344249666E-2</v>
      </c>
      <c r="I80" s="47">
        <f t="shared" si="20"/>
        <v>7.4164687822311767E-2</v>
      </c>
      <c r="J80" s="47">
        <f t="shared" si="20"/>
        <v>7.6089166499226035E-2</v>
      </c>
      <c r="K80" s="47">
        <f t="shared" si="20"/>
        <v>7.5777357449011137E-2</v>
      </c>
      <c r="L80" s="47">
        <f t="shared" si="20"/>
        <v>7.519763492874966E-2</v>
      </c>
      <c r="M80" s="47">
        <f t="shared" si="20"/>
        <v>7.4998664351464447E-2</v>
      </c>
      <c r="N80" s="47">
        <f t="shared" si="20"/>
        <v>7.4803668896433195E-2</v>
      </c>
    </row>
    <row r="81" spans="2:14" ht="12" customHeight="1">
      <c r="B81" s="50" t="s">
        <v>168</v>
      </c>
      <c r="D81" s="47">
        <f t="shared" ref="D81:N81" si="21">D72/D74</f>
        <v>4.7649274258389406E-2</v>
      </c>
      <c r="E81" s="47">
        <f t="shared" si="21"/>
        <v>4.5980564517687061E-2</v>
      </c>
      <c r="F81" s="47">
        <f t="shared" si="21"/>
        <v>5.0369346408052185E-2</v>
      </c>
      <c r="G81" s="47">
        <f t="shared" si="21"/>
        <v>5.8225168001472892E-2</v>
      </c>
      <c r="H81" s="47">
        <f t="shared" si="21"/>
        <v>6.3354844923906764E-2</v>
      </c>
      <c r="I81" s="47">
        <f t="shared" si="21"/>
        <v>6.3706795231584748E-2</v>
      </c>
      <c r="J81" s="47">
        <f t="shared" si="21"/>
        <v>6.5994467172038759E-2</v>
      </c>
      <c r="K81" s="47">
        <f t="shared" si="21"/>
        <v>6.7327050637182251E-2</v>
      </c>
      <c r="L81" s="47">
        <f t="shared" si="21"/>
        <v>6.8777033946717997E-2</v>
      </c>
      <c r="M81" s="47">
        <f t="shared" si="21"/>
        <v>6.9940053098854746E-2</v>
      </c>
      <c r="N81" s="47">
        <f t="shared" si="21"/>
        <v>7.1126017999201707E-2</v>
      </c>
    </row>
    <row r="82" spans="2:14" ht="12" customHeight="1">
      <c r="B82" s="50" t="s">
        <v>169</v>
      </c>
      <c r="D82" s="47">
        <f t="shared" ref="D82:N82" si="22">D73/D74</f>
        <v>4.1047776226143624E-3</v>
      </c>
      <c r="E82" s="47">
        <f t="shared" si="22"/>
        <v>4.9844477502366648E-3</v>
      </c>
      <c r="F82" s="47">
        <f t="shared" si="22"/>
        <v>6.8469480323124108E-3</v>
      </c>
      <c r="G82" s="47">
        <f t="shared" si="22"/>
        <v>6.9962257203350824E-3</v>
      </c>
      <c r="H82" s="47">
        <f t="shared" si="22"/>
        <v>8.0186861876324414E-3</v>
      </c>
      <c r="I82" s="47">
        <f t="shared" si="22"/>
        <v>7.195797654169965E-3</v>
      </c>
      <c r="J82" s="47">
        <f t="shared" si="22"/>
        <v>7.7408941162753972E-3</v>
      </c>
      <c r="K82" s="47">
        <f t="shared" si="22"/>
        <v>8.2732581586965163E-3</v>
      </c>
      <c r="L82" s="47">
        <f t="shared" si="22"/>
        <v>8.6929040371648541E-3</v>
      </c>
      <c r="M82" s="47">
        <f t="shared" si="22"/>
        <v>9.0098990780732389E-3</v>
      </c>
      <c r="N82" s="47">
        <f t="shared" si="22"/>
        <v>9.2507815125023301E-3</v>
      </c>
    </row>
    <row r="84" spans="2:14" ht="12" customHeight="1">
      <c r="B84" s="50" t="s">
        <v>173</v>
      </c>
    </row>
    <row r="85" spans="2:14" ht="12" customHeight="1">
      <c r="B85" s="50" t="s">
        <v>174</v>
      </c>
      <c r="D85" s="44">
        <f>D74</f>
        <v>47262</v>
      </c>
      <c r="E85" s="44">
        <f t="shared" ref="E85:N85" si="23">E74</f>
        <v>51761</v>
      </c>
      <c r="F85" s="44">
        <f t="shared" si="23"/>
        <v>46298</v>
      </c>
      <c r="G85" s="44">
        <f t="shared" si="23"/>
        <v>43452</v>
      </c>
      <c r="H85" s="44">
        <f t="shared" si="23"/>
        <v>41528</v>
      </c>
      <c r="I85" s="44">
        <f t="shared" si="23"/>
        <v>41691</v>
      </c>
      <c r="J85" s="44">
        <f t="shared" si="23"/>
        <v>41855.629999999997</v>
      </c>
      <c r="K85" s="44">
        <f t="shared" si="23"/>
        <v>43078.554199999999</v>
      </c>
      <c r="L85" s="44">
        <f t="shared" si="23"/>
        <v>44278.873705999991</v>
      </c>
      <c r="M85" s="44">
        <f t="shared" si="23"/>
        <v>45284.271939619997</v>
      </c>
      <c r="N85" s="44">
        <f t="shared" si="23"/>
        <v>46310.363661817399</v>
      </c>
    </row>
    <row r="86" spans="2:14" ht="12" customHeight="1">
      <c r="B86" s="36" t="s">
        <v>175</v>
      </c>
      <c r="D86" s="48">
        <f t="shared" ref="D86:N86" si="24">D45+D54</f>
        <v>48380.877500000002</v>
      </c>
      <c r="E86" s="48">
        <f t="shared" si="24"/>
        <v>52851.214379746838</v>
      </c>
      <c r="F86" s="48">
        <f t="shared" si="24"/>
        <v>46837.458752293584</v>
      </c>
      <c r="G86" s="48">
        <f t="shared" si="24"/>
        <v>43467.532040465783</v>
      </c>
      <c r="H86" s="48">
        <f t="shared" si="24"/>
        <v>42432.799999999996</v>
      </c>
      <c r="I86" s="48">
        <f t="shared" si="24"/>
        <v>41756.621999999996</v>
      </c>
      <c r="J86" s="48">
        <f t="shared" si="24"/>
        <v>42231.098890069035</v>
      </c>
      <c r="K86" s="48">
        <f t="shared" si="24"/>
        <v>42993.071559785967</v>
      </c>
      <c r="L86" s="48">
        <f t="shared" si="24"/>
        <v>43964.092260578778</v>
      </c>
      <c r="M86" s="48">
        <f t="shared" si="24"/>
        <v>44958.466798927257</v>
      </c>
      <c r="N86" s="48">
        <f t="shared" si="24"/>
        <v>45976.487354231431</v>
      </c>
    </row>
    <row r="87" spans="2:14" ht="12" customHeight="1">
      <c r="B87" s="50" t="s">
        <v>176</v>
      </c>
      <c r="D87" s="44">
        <f t="shared" ref="D87:N87" si="25">D86-D85</f>
        <v>1118.8775000000023</v>
      </c>
      <c r="E87" s="44">
        <f t="shared" si="25"/>
        <v>1090.2143797468379</v>
      </c>
      <c r="F87" s="44">
        <f t="shared" si="25"/>
        <v>539.45875229358353</v>
      </c>
      <c r="G87" s="44">
        <f t="shared" si="25"/>
        <v>15.532040465783211</v>
      </c>
      <c r="H87" s="44">
        <f t="shared" si="25"/>
        <v>904.79999999999563</v>
      </c>
      <c r="I87" s="44">
        <f t="shared" si="25"/>
        <v>65.621999999995751</v>
      </c>
      <c r="J87" s="44">
        <f t="shared" si="25"/>
        <v>375.46889006903803</v>
      </c>
      <c r="K87" s="44">
        <f t="shared" si="25"/>
        <v>-85.482640214031562</v>
      </c>
      <c r="L87" s="44">
        <f t="shared" si="25"/>
        <v>-314.78144542121299</v>
      </c>
      <c r="M87" s="44">
        <f t="shared" si="25"/>
        <v>-325.80514069274068</v>
      </c>
      <c r="N87" s="44">
        <f t="shared" si="25"/>
        <v>-333.87630758596788</v>
      </c>
    </row>
    <row r="88" spans="2:14" ht="12" customHeight="1">
      <c r="B88" s="50" t="s">
        <v>177</v>
      </c>
      <c r="D88" s="47">
        <f t="shared" ref="D88:N88" si="26">IFERROR(D87/D85,0)</f>
        <v>2.3673934662096448E-2</v>
      </c>
      <c r="E88" s="47">
        <f t="shared" si="26"/>
        <v>2.1062467489941037E-2</v>
      </c>
      <c r="F88" s="47">
        <f t="shared" si="26"/>
        <v>1.1651880260347823E-2</v>
      </c>
      <c r="G88" s="47">
        <f t="shared" si="26"/>
        <v>3.5745283222367698E-4</v>
      </c>
      <c r="H88" s="47">
        <f t="shared" si="26"/>
        <v>2.1787709497206598E-2</v>
      </c>
      <c r="I88" s="47">
        <f t="shared" si="26"/>
        <v>1.5740087788730362E-3</v>
      </c>
      <c r="J88" s="47">
        <f t="shared" si="26"/>
        <v>8.9705707468514528E-3</v>
      </c>
      <c r="K88" s="47">
        <f t="shared" si="26"/>
        <v>-1.984343295672434E-3</v>
      </c>
      <c r="L88" s="47">
        <f t="shared" si="26"/>
        <v>-7.1090662222187163E-3</v>
      </c>
      <c r="M88" s="47">
        <f t="shared" si="26"/>
        <v>-7.1946644328775905E-3</v>
      </c>
      <c r="N88" s="47">
        <f t="shared" si="26"/>
        <v>-7.2095375891260121E-3</v>
      </c>
    </row>
  </sheetData>
  <pageMargins left="0.7" right="0.7" top="0.75" bottom="0.75" header="0.511811023622047" footer="0.511811023622047"/>
  <pageSetup paperSize="9" orientation="portrait" horizontalDpi="300" verticalDpi="300"/>
  <legacy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3B31B0-D9BA-9543-B528-C4FD6B99B1B9}">
  <sheetPr>
    <tabColor theme="2"/>
  </sheetPr>
  <dimension ref="A1:N27"/>
  <sheetViews>
    <sheetView showGridLines="0" workbookViewId="0">
      <selection sqref="A1:N27"/>
    </sheetView>
  </sheetViews>
  <sheetFormatPr baseColWidth="10" defaultColWidth="11.5" defaultRowHeight="13"/>
  <sheetData>
    <row r="1" spans="1:14">
      <c r="A1" s="642" t="s">
        <v>178</v>
      </c>
      <c r="B1" s="642"/>
      <c r="C1" s="642"/>
      <c r="D1" s="642"/>
      <c r="E1" s="642"/>
      <c r="F1" s="642"/>
      <c r="G1" s="642"/>
      <c r="H1" s="642"/>
      <c r="I1" s="642"/>
      <c r="J1" s="642"/>
      <c r="K1" s="642"/>
      <c r="L1" s="642"/>
      <c r="M1" s="642"/>
      <c r="N1" s="642"/>
    </row>
    <row r="2" spans="1:14">
      <c r="A2" s="642"/>
      <c r="B2" s="642"/>
      <c r="C2" s="642"/>
      <c r="D2" s="642"/>
      <c r="E2" s="642"/>
      <c r="F2" s="642"/>
      <c r="G2" s="642"/>
      <c r="H2" s="642"/>
      <c r="I2" s="642"/>
      <c r="J2" s="642"/>
      <c r="K2" s="642"/>
      <c r="L2" s="642"/>
      <c r="M2" s="642"/>
      <c r="N2" s="642"/>
    </row>
    <row r="3" spans="1:14">
      <c r="A3" s="642"/>
      <c r="B3" s="642"/>
      <c r="C3" s="642"/>
      <c r="D3" s="642"/>
      <c r="E3" s="642"/>
      <c r="F3" s="642"/>
      <c r="G3" s="642"/>
      <c r="H3" s="642"/>
      <c r="I3" s="642"/>
      <c r="J3" s="642"/>
      <c r="K3" s="642"/>
      <c r="L3" s="642"/>
      <c r="M3" s="642"/>
      <c r="N3" s="642"/>
    </row>
    <row r="4" spans="1:14">
      <c r="A4" s="642"/>
      <c r="B4" s="642"/>
      <c r="C4" s="642"/>
      <c r="D4" s="642"/>
      <c r="E4" s="642"/>
      <c r="F4" s="642"/>
      <c r="G4" s="642"/>
      <c r="H4" s="642"/>
      <c r="I4" s="642"/>
      <c r="J4" s="642"/>
      <c r="K4" s="642"/>
      <c r="L4" s="642"/>
      <c r="M4" s="642"/>
      <c r="N4" s="642"/>
    </row>
    <row r="5" spans="1:14">
      <c r="A5" s="642"/>
      <c r="B5" s="642"/>
      <c r="C5" s="642"/>
      <c r="D5" s="642"/>
      <c r="E5" s="642"/>
      <c r="F5" s="642"/>
      <c r="G5" s="642"/>
      <c r="H5" s="642"/>
      <c r="I5" s="642"/>
      <c r="J5" s="642"/>
      <c r="K5" s="642"/>
      <c r="L5" s="642"/>
      <c r="M5" s="642"/>
      <c r="N5" s="642"/>
    </row>
    <row r="6" spans="1:14">
      <c r="A6" s="642"/>
      <c r="B6" s="642"/>
      <c r="C6" s="642"/>
      <c r="D6" s="642"/>
      <c r="E6" s="642"/>
      <c r="F6" s="642"/>
      <c r="G6" s="642"/>
      <c r="H6" s="642"/>
      <c r="I6" s="642"/>
      <c r="J6" s="642"/>
      <c r="K6" s="642"/>
      <c r="L6" s="642"/>
      <c r="M6" s="642"/>
      <c r="N6" s="642"/>
    </row>
    <row r="7" spans="1:14">
      <c r="A7" s="642"/>
      <c r="B7" s="642"/>
      <c r="C7" s="642"/>
      <c r="D7" s="642"/>
      <c r="E7" s="642"/>
      <c r="F7" s="642"/>
      <c r="G7" s="642"/>
      <c r="H7" s="642"/>
      <c r="I7" s="642"/>
      <c r="J7" s="642"/>
      <c r="K7" s="642"/>
      <c r="L7" s="642"/>
      <c r="M7" s="642"/>
      <c r="N7" s="642"/>
    </row>
    <row r="8" spans="1:14">
      <c r="A8" s="642"/>
      <c r="B8" s="642"/>
      <c r="C8" s="642"/>
      <c r="D8" s="642"/>
      <c r="E8" s="642"/>
      <c r="F8" s="642"/>
      <c r="G8" s="642"/>
      <c r="H8" s="642"/>
      <c r="I8" s="642"/>
      <c r="J8" s="642"/>
      <c r="K8" s="642"/>
      <c r="L8" s="642"/>
      <c r="M8" s="642"/>
      <c r="N8" s="642"/>
    </row>
    <row r="9" spans="1:14">
      <c r="A9" s="642"/>
      <c r="B9" s="642"/>
      <c r="C9" s="642"/>
      <c r="D9" s="642"/>
      <c r="E9" s="642"/>
      <c r="F9" s="642"/>
      <c r="G9" s="642"/>
      <c r="H9" s="642"/>
      <c r="I9" s="642"/>
      <c r="J9" s="642"/>
      <c r="K9" s="642"/>
      <c r="L9" s="642"/>
      <c r="M9" s="642"/>
      <c r="N9" s="642"/>
    </row>
    <row r="10" spans="1:14">
      <c r="A10" s="642"/>
      <c r="B10" s="642"/>
      <c r="C10" s="642"/>
      <c r="D10" s="642"/>
      <c r="E10" s="642"/>
      <c r="F10" s="642"/>
      <c r="G10" s="642"/>
      <c r="H10" s="642"/>
      <c r="I10" s="642"/>
      <c r="J10" s="642"/>
      <c r="K10" s="642"/>
      <c r="L10" s="642"/>
      <c r="M10" s="642"/>
      <c r="N10" s="642"/>
    </row>
    <row r="11" spans="1:14">
      <c r="A11" s="642"/>
      <c r="B11" s="642"/>
      <c r="C11" s="642"/>
      <c r="D11" s="642"/>
      <c r="E11" s="642"/>
      <c r="F11" s="642"/>
      <c r="G11" s="642"/>
      <c r="H11" s="642"/>
      <c r="I11" s="642"/>
      <c r="J11" s="642"/>
      <c r="K11" s="642"/>
      <c r="L11" s="642"/>
      <c r="M11" s="642"/>
      <c r="N11" s="642"/>
    </row>
    <row r="12" spans="1:14">
      <c r="A12" s="642"/>
      <c r="B12" s="642"/>
      <c r="C12" s="642"/>
      <c r="D12" s="642"/>
      <c r="E12" s="642"/>
      <c r="F12" s="642"/>
      <c r="G12" s="642"/>
      <c r="H12" s="642"/>
      <c r="I12" s="642"/>
      <c r="J12" s="642"/>
      <c r="K12" s="642"/>
      <c r="L12" s="642"/>
      <c r="M12" s="642"/>
      <c r="N12" s="642"/>
    </row>
    <row r="13" spans="1:14">
      <c r="A13" s="642"/>
      <c r="B13" s="642"/>
      <c r="C13" s="642"/>
      <c r="D13" s="642"/>
      <c r="E13" s="642"/>
      <c r="F13" s="642"/>
      <c r="G13" s="642"/>
      <c r="H13" s="642"/>
      <c r="I13" s="642"/>
      <c r="J13" s="642"/>
      <c r="K13" s="642"/>
      <c r="L13" s="642"/>
      <c r="M13" s="642"/>
      <c r="N13" s="642"/>
    </row>
    <row r="14" spans="1:14">
      <c r="A14" s="642"/>
      <c r="B14" s="642"/>
      <c r="C14" s="642"/>
      <c r="D14" s="642"/>
      <c r="E14" s="642"/>
      <c r="F14" s="642"/>
      <c r="G14" s="642"/>
      <c r="H14" s="642"/>
      <c r="I14" s="642"/>
      <c r="J14" s="642"/>
      <c r="K14" s="642"/>
      <c r="L14" s="642"/>
      <c r="M14" s="642"/>
      <c r="N14" s="642"/>
    </row>
    <row r="15" spans="1:14">
      <c r="A15" s="642"/>
      <c r="B15" s="642"/>
      <c r="C15" s="642"/>
      <c r="D15" s="642"/>
      <c r="E15" s="642"/>
      <c r="F15" s="642"/>
      <c r="G15" s="642"/>
      <c r="H15" s="642"/>
      <c r="I15" s="642"/>
      <c r="J15" s="642"/>
      <c r="K15" s="642"/>
      <c r="L15" s="642"/>
      <c r="M15" s="642"/>
      <c r="N15" s="642"/>
    </row>
    <row r="16" spans="1:14">
      <c r="A16" s="642"/>
      <c r="B16" s="642"/>
      <c r="C16" s="642"/>
      <c r="D16" s="642"/>
      <c r="E16" s="642"/>
      <c r="F16" s="642"/>
      <c r="G16" s="642"/>
      <c r="H16" s="642"/>
      <c r="I16" s="642"/>
      <c r="J16" s="642"/>
      <c r="K16" s="642"/>
      <c r="L16" s="642"/>
      <c r="M16" s="642"/>
      <c r="N16" s="642"/>
    </row>
    <row r="17" spans="1:14">
      <c r="A17" s="642"/>
      <c r="B17" s="642"/>
      <c r="C17" s="642"/>
      <c r="D17" s="642"/>
      <c r="E17" s="642"/>
      <c r="F17" s="642"/>
      <c r="G17" s="642"/>
      <c r="H17" s="642"/>
      <c r="I17" s="642"/>
      <c r="J17" s="642"/>
      <c r="K17" s="642"/>
      <c r="L17" s="642"/>
      <c r="M17" s="642"/>
      <c r="N17" s="642"/>
    </row>
    <row r="18" spans="1:14">
      <c r="A18" s="642"/>
      <c r="B18" s="642"/>
      <c r="C18" s="642"/>
      <c r="D18" s="642"/>
      <c r="E18" s="642"/>
      <c r="F18" s="642"/>
      <c r="G18" s="642"/>
      <c r="H18" s="642"/>
      <c r="I18" s="642"/>
      <c r="J18" s="642"/>
      <c r="K18" s="642"/>
      <c r="L18" s="642"/>
      <c r="M18" s="642"/>
      <c r="N18" s="642"/>
    </row>
    <row r="19" spans="1:14">
      <c r="A19" s="642"/>
      <c r="B19" s="642"/>
      <c r="C19" s="642"/>
      <c r="D19" s="642"/>
      <c r="E19" s="642"/>
      <c r="F19" s="642"/>
      <c r="G19" s="642"/>
      <c r="H19" s="642"/>
      <c r="I19" s="642"/>
      <c r="J19" s="642"/>
      <c r="K19" s="642"/>
      <c r="L19" s="642"/>
      <c r="M19" s="642"/>
      <c r="N19" s="642"/>
    </row>
    <row r="20" spans="1:14">
      <c r="A20" s="642"/>
      <c r="B20" s="642"/>
      <c r="C20" s="642"/>
      <c r="D20" s="642"/>
      <c r="E20" s="642"/>
      <c r="F20" s="642"/>
      <c r="G20" s="642"/>
      <c r="H20" s="642"/>
      <c r="I20" s="642"/>
      <c r="J20" s="642"/>
      <c r="K20" s="642"/>
      <c r="L20" s="642"/>
      <c r="M20" s="642"/>
      <c r="N20" s="642"/>
    </row>
    <row r="21" spans="1:14">
      <c r="A21" s="642"/>
      <c r="B21" s="642"/>
      <c r="C21" s="642"/>
      <c r="D21" s="642"/>
      <c r="E21" s="642"/>
      <c r="F21" s="642"/>
      <c r="G21" s="642"/>
      <c r="H21" s="642"/>
      <c r="I21" s="642"/>
      <c r="J21" s="642"/>
      <c r="K21" s="642"/>
      <c r="L21" s="642"/>
      <c r="M21" s="642"/>
      <c r="N21" s="642"/>
    </row>
    <row r="22" spans="1:14">
      <c r="A22" s="642"/>
      <c r="B22" s="642"/>
      <c r="C22" s="642"/>
      <c r="D22" s="642"/>
      <c r="E22" s="642"/>
      <c r="F22" s="642"/>
      <c r="G22" s="642"/>
      <c r="H22" s="642"/>
      <c r="I22" s="642"/>
      <c r="J22" s="642"/>
      <c r="K22" s="642"/>
      <c r="L22" s="642"/>
      <c r="M22" s="642"/>
      <c r="N22" s="642"/>
    </row>
    <row r="23" spans="1:14">
      <c r="A23" s="642"/>
      <c r="B23" s="642"/>
      <c r="C23" s="642"/>
      <c r="D23" s="642"/>
      <c r="E23" s="642"/>
      <c r="F23" s="642"/>
      <c r="G23" s="642"/>
      <c r="H23" s="642"/>
      <c r="I23" s="642"/>
      <c r="J23" s="642"/>
      <c r="K23" s="642"/>
      <c r="L23" s="642"/>
      <c r="M23" s="642"/>
      <c r="N23" s="642"/>
    </row>
    <row r="24" spans="1:14">
      <c r="A24" s="642"/>
      <c r="B24" s="642"/>
      <c r="C24" s="642"/>
      <c r="D24" s="642"/>
      <c r="E24" s="642"/>
      <c r="F24" s="642"/>
      <c r="G24" s="642"/>
      <c r="H24" s="642"/>
      <c r="I24" s="642"/>
      <c r="J24" s="642"/>
      <c r="K24" s="642"/>
      <c r="L24" s="642"/>
      <c r="M24" s="642"/>
      <c r="N24" s="642"/>
    </row>
    <row r="25" spans="1:14">
      <c r="A25" s="642"/>
      <c r="B25" s="642"/>
      <c r="C25" s="642"/>
      <c r="D25" s="642"/>
      <c r="E25" s="642"/>
      <c r="F25" s="642"/>
      <c r="G25" s="642"/>
      <c r="H25" s="642"/>
      <c r="I25" s="642"/>
      <c r="J25" s="642"/>
      <c r="K25" s="642"/>
      <c r="L25" s="642"/>
      <c r="M25" s="642"/>
      <c r="N25" s="642"/>
    </row>
    <row r="26" spans="1:14">
      <c r="A26" s="642"/>
      <c r="B26" s="642"/>
      <c r="C26" s="642"/>
      <c r="D26" s="642"/>
      <c r="E26" s="642"/>
      <c r="F26" s="642"/>
      <c r="G26" s="642"/>
      <c r="H26" s="642"/>
      <c r="I26" s="642"/>
      <c r="J26" s="642"/>
      <c r="K26" s="642"/>
      <c r="L26" s="642"/>
      <c r="M26" s="642"/>
      <c r="N26" s="642"/>
    </row>
    <row r="27" spans="1:14">
      <c r="A27" s="642"/>
      <c r="B27" s="642"/>
      <c r="C27" s="642"/>
      <c r="D27" s="642"/>
      <c r="E27" s="642"/>
      <c r="F27" s="642"/>
      <c r="G27" s="642"/>
      <c r="H27" s="642"/>
      <c r="I27" s="642"/>
      <c r="J27" s="642"/>
      <c r="K27" s="642"/>
      <c r="L27" s="642"/>
      <c r="M27" s="642"/>
      <c r="N27" s="642"/>
    </row>
  </sheetData>
  <mergeCells count="1">
    <mergeCell ref="A1:N27"/>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2"/>
  </sheetPr>
  <dimension ref="A1:K26"/>
  <sheetViews>
    <sheetView showGridLines="0" zoomScaleNormal="100" workbookViewId="0">
      <selection activeCell="K3" sqref="K3:K6"/>
    </sheetView>
  </sheetViews>
  <sheetFormatPr baseColWidth="10" defaultColWidth="9.1640625" defaultRowHeight="13" outlineLevelRow="1"/>
  <cols>
    <col min="1" max="1" width="29.83203125" customWidth="1"/>
  </cols>
  <sheetData>
    <row r="1" spans="1:11" ht="15" customHeight="1">
      <c r="A1" s="1" t="s">
        <v>179</v>
      </c>
    </row>
    <row r="2" spans="1:11" ht="15" customHeight="1">
      <c r="A2" s="1" t="s">
        <v>180</v>
      </c>
    </row>
    <row r="3" spans="1:11" ht="15" customHeight="1">
      <c r="A3" s="2"/>
      <c r="B3" s="2" t="s">
        <v>181</v>
      </c>
      <c r="C3" s="2" t="s">
        <v>182</v>
      </c>
      <c r="D3" s="2" t="s">
        <v>183</v>
      </c>
      <c r="E3" s="2" t="s">
        <v>184</v>
      </c>
      <c r="F3" s="2" t="s">
        <v>185</v>
      </c>
      <c r="G3" s="2" t="s">
        <v>186</v>
      </c>
      <c r="H3" s="2" t="s">
        <v>187</v>
      </c>
      <c r="I3" s="2" t="s">
        <v>188</v>
      </c>
      <c r="J3" s="2" t="s">
        <v>189</v>
      </c>
      <c r="K3" s="2" t="s">
        <v>190</v>
      </c>
    </row>
    <row r="4" spans="1:11" ht="15" customHeight="1">
      <c r="A4" s="3"/>
      <c r="B4" s="2" t="s">
        <v>191</v>
      </c>
      <c r="C4" s="2" t="s">
        <v>192</v>
      </c>
      <c r="D4" s="2" t="s">
        <v>191</v>
      </c>
      <c r="E4" s="2" t="s">
        <v>191</v>
      </c>
      <c r="F4" s="2" t="s">
        <v>191</v>
      </c>
      <c r="G4" s="2" t="s">
        <v>191</v>
      </c>
      <c r="H4" s="2" t="s">
        <v>191</v>
      </c>
      <c r="I4" s="2" t="s">
        <v>192</v>
      </c>
      <c r="J4" s="2" t="s">
        <v>191</v>
      </c>
      <c r="K4" s="2" t="s">
        <v>191</v>
      </c>
    </row>
    <row r="5" spans="1:11" ht="15" customHeight="1">
      <c r="A5" s="4" t="s">
        <v>193</v>
      </c>
      <c r="B5" s="5">
        <f t="shared" ref="B5:J5" si="0">SUM(B6:B8)</f>
        <v>39403</v>
      </c>
      <c r="C5" s="5">
        <f t="shared" si="0"/>
        <v>42151</v>
      </c>
      <c r="D5" s="5">
        <f t="shared" si="0"/>
        <v>42879</v>
      </c>
      <c r="E5" s="5">
        <f t="shared" si="0"/>
        <v>43638</v>
      </c>
      <c r="F5" s="5">
        <f t="shared" si="0"/>
        <v>47262</v>
      </c>
      <c r="G5" s="5">
        <f t="shared" si="0"/>
        <v>51761</v>
      </c>
      <c r="H5" s="5">
        <f t="shared" si="0"/>
        <v>46298</v>
      </c>
      <c r="I5" s="5">
        <f t="shared" si="0"/>
        <v>43452</v>
      </c>
      <c r="J5" s="5">
        <f t="shared" si="0"/>
        <v>41528</v>
      </c>
      <c r="K5" s="5">
        <f>SUM(K6:K8)</f>
        <v>41691</v>
      </c>
    </row>
    <row r="6" spans="1:11" ht="15" customHeight="1">
      <c r="A6" s="3" t="s">
        <v>194</v>
      </c>
      <c r="B6" s="6">
        <v>36248</v>
      </c>
      <c r="C6" s="6">
        <v>38662</v>
      </c>
      <c r="D6" s="6">
        <v>39304</v>
      </c>
      <c r="E6" s="6">
        <v>40114</v>
      </c>
      <c r="F6" s="6">
        <v>43293</v>
      </c>
      <c r="G6" s="6">
        <v>47830</v>
      </c>
      <c r="H6" s="6">
        <v>42794</v>
      </c>
      <c r="I6" s="6">
        <v>40097</v>
      </c>
      <c r="J6" s="6">
        <v>38238</v>
      </c>
      <c r="K6" s="6">
        <v>38278</v>
      </c>
    </row>
    <row r="7" spans="1:11" ht="15" customHeight="1">
      <c r="A7" s="4" t="s">
        <v>195</v>
      </c>
      <c r="B7" s="5">
        <v>2899</v>
      </c>
      <c r="C7" s="5">
        <v>3187</v>
      </c>
      <c r="D7" s="5">
        <v>3214</v>
      </c>
      <c r="E7" s="5">
        <v>3125</v>
      </c>
      <c r="F7" s="5">
        <v>3600</v>
      </c>
      <c r="G7" s="5">
        <v>3911</v>
      </c>
      <c r="H7" s="5">
        <v>3504</v>
      </c>
      <c r="I7" s="5">
        <v>3355</v>
      </c>
      <c r="J7" s="5">
        <v>3290</v>
      </c>
      <c r="K7" s="5">
        <v>3413</v>
      </c>
    </row>
    <row r="8" spans="1:11" ht="15" customHeight="1">
      <c r="A8" s="7" t="s">
        <v>196</v>
      </c>
      <c r="B8" s="8">
        <v>256</v>
      </c>
      <c r="C8" s="8">
        <v>302</v>
      </c>
      <c r="D8" s="8">
        <v>361</v>
      </c>
      <c r="E8" s="8">
        <v>399</v>
      </c>
      <c r="F8" s="8">
        <v>369</v>
      </c>
      <c r="G8" s="8">
        <v>20</v>
      </c>
      <c r="H8" s="7" t="s">
        <v>99</v>
      </c>
      <c r="I8" s="7" t="s">
        <v>99</v>
      </c>
      <c r="J8" s="7" t="s">
        <v>99</v>
      </c>
      <c r="K8" s="7" t="s">
        <v>99</v>
      </c>
    </row>
    <row r="9" spans="1:11" ht="15" customHeight="1" outlineLevel="1">
      <c r="A9" s="9" t="s">
        <v>169</v>
      </c>
      <c r="B9" s="5">
        <v>256</v>
      </c>
      <c r="C9" s="5">
        <v>302</v>
      </c>
      <c r="D9" s="5">
        <v>361</v>
      </c>
      <c r="E9" s="5">
        <v>399</v>
      </c>
      <c r="F9" s="5">
        <v>369</v>
      </c>
      <c r="G9" s="5">
        <v>20</v>
      </c>
      <c r="H9" s="4" t="s">
        <v>99</v>
      </c>
      <c r="I9" s="4" t="s">
        <v>99</v>
      </c>
      <c r="J9" s="4" t="s">
        <v>99</v>
      </c>
      <c r="K9" s="4" t="s">
        <v>99</v>
      </c>
    </row>
    <row r="10" spans="1:11" ht="15" customHeight="1">
      <c r="A10" s="10" t="s">
        <v>197</v>
      </c>
    </row>
    <row r="12" spans="1:11" ht="15" customHeight="1">
      <c r="A12" s="1" t="s">
        <v>198</v>
      </c>
    </row>
    <row r="13" spans="1:11" ht="15" customHeight="1">
      <c r="A13" s="2"/>
      <c r="B13" s="2" t="s">
        <v>181</v>
      </c>
      <c r="C13" s="2" t="s">
        <v>182</v>
      </c>
      <c r="D13" s="2" t="s">
        <v>183</v>
      </c>
      <c r="E13" s="2" t="s">
        <v>184</v>
      </c>
      <c r="F13" s="2" t="s">
        <v>185</v>
      </c>
      <c r="G13" s="2" t="s">
        <v>186</v>
      </c>
      <c r="H13" s="2" t="s">
        <v>187</v>
      </c>
      <c r="I13" s="2" t="s">
        <v>188</v>
      </c>
      <c r="J13" s="2" t="s">
        <v>189</v>
      </c>
      <c r="K13" s="2" t="s">
        <v>190</v>
      </c>
    </row>
    <row r="14" spans="1:11" ht="15" customHeight="1">
      <c r="A14" s="3" t="s">
        <v>193</v>
      </c>
      <c r="B14" s="11">
        <v>100</v>
      </c>
      <c r="C14" s="11">
        <v>99.999994000000001</v>
      </c>
      <c r="D14" s="11">
        <v>99.999996999999993</v>
      </c>
      <c r="E14" s="11">
        <v>100</v>
      </c>
      <c r="F14" s="11">
        <v>100.00000199999999</v>
      </c>
      <c r="G14" s="11">
        <v>100</v>
      </c>
      <c r="H14" s="11">
        <v>100.00000300000001</v>
      </c>
      <c r="I14" s="11">
        <v>100.00000199999999</v>
      </c>
      <c r="J14" s="11">
        <v>100.00000300000001</v>
      </c>
      <c r="K14" s="11">
        <v>100.00000199999999</v>
      </c>
    </row>
    <row r="15" spans="1:11" ht="15" customHeight="1">
      <c r="A15" s="4" t="s">
        <v>194</v>
      </c>
      <c r="B15" s="12">
        <v>91.992996000000005</v>
      </c>
      <c r="C15" s="12">
        <v>91.722610000000003</v>
      </c>
      <c r="D15" s="12">
        <v>91.662582</v>
      </c>
      <c r="E15" s="12">
        <v>91.924469000000002</v>
      </c>
      <c r="F15" s="12">
        <v>91.602135000000004</v>
      </c>
      <c r="G15" s="12">
        <v>92.405479</v>
      </c>
      <c r="H15" s="12">
        <v>92.431640999999999</v>
      </c>
      <c r="I15" s="12">
        <v>92.278839000000005</v>
      </c>
      <c r="J15" s="12">
        <v>92.077636999999996</v>
      </c>
      <c r="K15" s="12">
        <v>91.813582999999994</v>
      </c>
    </row>
    <row r="16" spans="1:11" ht="15" customHeight="1">
      <c r="A16" s="3" t="s">
        <v>195</v>
      </c>
      <c r="B16" s="11">
        <v>7.3573069999999996</v>
      </c>
      <c r="C16" s="11">
        <v>7.5609120000000001</v>
      </c>
      <c r="D16" s="11">
        <v>7.4955109999999996</v>
      </c>
      <c r="E16" s="11">
        <v>7.1611900000000004</v>
      </c>
      <c r="F16" s="11">
        <v>7.6171129999999998</v>
      </c>
      <c r="G16" s="11">
        <v>7.5558820000000004</v>
      </c>
      <c r="H16" s="11">
        <v>7.5683619999999996</v>
      </c>
      <c r="I16" s="11">
        <v>7.7211629999999998</v>
      </c>
      <c r="J16" s="11">
        <v>7.9223660000000002</v>
      </c>
      <c r="K16" s="11">
        <v>8.1864190000000008</v>
      </c>
    </row>
    <row r="17" spans="1:11" ht="15" customHeight="1">
      <c r="A17" s="13" t="s">
        <v>196</v>
      </c>
      <c r="B17" s="14">
        <v>0.64969699999999997</v>
      </c>
      <c r="C17" s="14">
        <v>0.716472</v>
      </c>
      <c r="D17" s="14">
        <v>0.84190399999999999</v>
      </c>
      <c r="E17" s="14">
        <v>0.91434099999999996</v>
      </c>
      <c r="F17" s="14">
        <v>0.78075399999999995</v>
      </c>
      <c r="G17" s="14">
        <v>3.8639E-2</v>
      </c>
      <c r="H17" s="13" t="s">
        <v>99</v>
      </c>
      <c r="I17" s="13" t="s">
        <v>99</v>
      </c>
      <c r="J17" s="13" t="s">
        <v>99</v>
      </c>
      <c r="K17" s="13" t="s">
        <v>99</v>
      </c>
    </row>
    <row r="18" spans="1:11" ht="15" customHeight="1">
      <c r="A18" s="15" t="s">
        <v>169</v>
      </c>
      <c r="B18" s="11">
        <v>0.64969699999999997</v>
      </c>
      <c r="C18" s="11">
        <v>0.716472</v>
      </c>
      <c r="D18" s="11">
        <v>0.84190399999999999</v>
      </c>
      <c r="E18" s="11">
        <v>0.91434099999999996</v>
      </c>
      <c r="F18" s="11">
        <v>0.78075399999999995</v>
      </c>
      <c r="G18" s="11">
        <v>3.8639E-2</v>
      </c>
      <c r="H18" s="3" t="s">
        <v>99</v>
      </c>
      <c r="I18" s="3" t="s">
        <v>99</v>
      </c>
      <c r="J18" s="3" t="s">
        <v>99</v>
      </c>
      <c r="K18" s="3" t="s">
        <v>99</v>
      </c>
    </row>
    <row r="20" spans="1:11" ht="15" customHeight="1">
      <c r="A20" s="1" t="s">
        <v>199</v>
      </c>
    </row>
    <row r="21" spans="1:11" ht="15" customHeight="1">
      <c r="A21" s="2"/>
      <c r="B21" s="2" t="s">
        <v>181</v>
      </c>
      <c r="C21" s="2" t="s">
        <v>182</v>
      </c>
      <c r="D21" s="2" t="s">
        <v>183</v>
      </c>
      <c r="E21" s="2" t="s">
        <v>184</v>
      </c>
      <c r="F21" s="2" t="s">
        <v>185</v>
      </c>
      <c r="G21" s="2" t="s">
        <v>186</v>
      </c>
      <c r="H21" s="2" t="s">
        <v>187</v>
      </c>
      <c r="I21" s="2" t="s">
        <v>188</v>
      </c>
      <c r="J21" s="2" t="s">
        <v>189</v>
      </c>
      <c r="K21" s="2" t="s">
        <v>190</v>
      </c>
    </row>
    <row r="22" spans="1:11" ht="15" customHeight="1">
      <c r="A22" s="3" t="s">
        <v>193</v>
      </c>
      <c r="B22" s="16">
        <v>-0.31623200000000001</v>
      </c>
      <c r="C22" s="11">
        <v>6.9740900000000003</v>
      </c>
      <c r="D22" s="11">
        <v>1.72712</v>
      </c>
      <c r="E22" s="11">
        <v>1.7701</v>
      </c>
      <c r="F22" s="11">
        <v>8.3046900000000008</v>
      </c>
      <c r="G22" s="11">
        <v>9.5192800000000002</v>
      </c>
      <c r="H22" s="16">
        <v>-10.5543</v>
      </c>
      <c r="I22" s="16">
        <v>-6.1471299999999998</v>
      </c>
      <c r="J22" s="16">
        <v>-4.4278700000000004</v>
      </c>
      <c r="K22" s="11">
        <v>0.39250600000000002</v>
      </c>
    </row>
    <row r="23" spans="1:11" ht="15" customHeight="1">
      <c r="A23" s="4" t="s">
        <v>194</v>
      </c>
      <c r="B23" s="17">
        <v>-0.32173800000000002</v>
      </c>
      <c r="C23" s="12">
        <v>6.6596780000000004</v>
      </c>
      <c r="D23" s="12">
        <v>1.6605449999999999</v>
      </c>
      <c r="E23" s="12">
        <v>2.0608590000000002</v>
      </c>
      <c r="F23" s="12">
        <v>7.9249140000000002</v>
      </c>
      <c r="G23" s="12">
        <v>10.479754</v>
      </c>
      <c r="H23" s="17">
        <v>-10.528956000000001</v>
      </c>
      <c r="I23" s="17">
        <v>-6.3022850000000004</v>
      </c>
      <c r="J23" s="17">
        <v>-4.6362569999999996</v>
      </c>
      <c r="K23" s="12">
        <v>0.10460800000000001</v>
      </c>
    </row>
    <row r="24" spans="1:11" ht="15" customHeight="1">
      <c r="A24" s="3" t="s">
        <v>195</v>
      </c>
      <c r="B24" s="16">
        <v>-0.61707199999999995</v>
      </c>
      <c r="C24" s="11">
        <v>9.9344599999999996</v>
      </c>
      <c r="D24" s="11">
        <v>0.84719199999999995</v>
      </c>
      <c r="E24" s="16">
        <v>-2.7691349999999999</v>
      </c>
      <c r="F24" s="11">
        <v>15.2</v>
      </c>
      <c r="G24" s="11">
        <v>8.6388890000000007</v>
      </c>
      <c r="H24" s="16">
        <v>-10.406546000000001</v>
      </c>
      <c r="I24" s="16">
        <v>-4.2522830000000003</v>
      </c>
      <c r="J24" s="16">
        <v>-1.9374070000000001</v>
      </c>
      <c r="K24" s="11">
        <v>3.7386020000000002</v>
      </c>
    </row>
    <row r="25" spans="1:11" ht="15" customHeight="1">
      <c r="A25" s="13" t="s">
        <v>196</v>
      </c>
      <c r="B25" s="14">
        <v>4.0650399999999998</v>
      </c>
      <c r="C25" s="14">
        <v>17.968800000000002</v>
      </c>
      <c r="D25" s="14">
        <v>19.5364</v>
      </c>
      <c r="E25" s="14">
        <v>10.526300000000001</v>
      </c>
      <c r="F25" s="14">
        <v>-7.5187999999999997</v>
      </c>
      <c r="G25" s="14">
        <v>-94.579899999999995</v>
      </c>
      <c r="H25" s="13" t="s">
        <v>99</v>
      </c>
      <c r="I25" s="13" t="s">
        <v>99</v>
      </c>
      <c r="J25" s="13" t="s">
        <v>99</v>
      </c>
      <c r="K25" s="13" t="s">
        <v>99</v>
      </c>
    </row>
    <row r="26" spans="1:11" ht="15" customHeight="1">
      <c r="A26" s="15" t="s">
        <v>169</v>
      </c>
      <c r="B26" s="11">
        <v>4.0650409999999999</v>
      </c>
      <c r="C26" s="11">
        <v>17.96875</v>
      </c>
      <c r="D26" s="11">
        <v>19.536425000000001</v>
      </c>
      <c r="E26" s="11">
        <v>10.526316</v>
      </c>
      <c r="F26" s="16">
        <v>-7.5187970000000002</v>
      </c>
      <c r="G26" s="16">
        <v>-94.579948000000002</v>
      </c>
      <c r="H26" s="3" t="s">
        <v>99</v>
      </c>
      <c r="I26" s="3" t="s">
        <v>99</v>
      </c>
      <c r="J26" s="3" t="s">
        <v>99</v>
      </c>
      <c r="K26" s="3" t="s">
        <v>99</v>
      </c>
    </row>
  </sheetData>
  <conditionalFormatting sqref="B5:K5">
    <cfRule type="colorScale" priority="1">
      <colorScale>
        <cfvo type="min"/>
        <cfvo type="max"/>
        <color rgb="FFFCFCFF"/>
        <color rgb="FF63BE7B"/>
      </colorScale>
    </cfRule>
  </conditionalFormatting>
  <conditionalFormatting sqref="B6:K6">
    <cfRule type="colorScale" priority="4">
      <colorScale>
        <cfvo type="min"/>
        <cfvo type="max"/>
        <color rgb="FFFCFCFF"/>
        <color rgb="FF63BE7B"/>
      </colorScale>
    </cfRule>
  </conditionalFormatting>
  <conditionalFormatting sqref="B7:K7">
    <cfRule type="colorScale" priority="3">
      <colorScale>
        <cfvo type="min"/>
        <cfvo type="max"/>
        <color rgb="FFFCFCFF"/>
        <color rgb="FF63BE7B"/>
      </colorScale>
    </cfRule>
  </conditionalFormatting>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AA11AE-AF2C-A74B-9FC4-38681DC304BF}">
  <sheetPr>
    <tabColor theme="9" tint="-0.249977111117893"/>
  </sheetPr>
  <dimension ref="B1:O87"/>
  <sheetViews>
    <sheetView showGridLines="0" topLeftCell="A40" zoomScaleNormal="100" workbookViewId="0">
      <selection activeCell="J52" sqref="J52"/>
    </sheetView>
  </sheetViews>
  <sheetFormatPr baseColWidth="10" defaultColWidth="8.5" defaultRowHeight="13"/>
  <cols>
    <col min="1" max="1" width="3.6640625" style="36" customWidth="1"/>
    <col min="2" max="2" width="41.6640625" style="36" bestFit="1" customWidth="1"/>
    <col min="3" max="3" width="8.1640625" style="103" customWidth="1"/>
    <col min="4" max="14" width="11.1640625" style="36" bestFit="1" customWidth="1"/>
    <col min="15" max="16384" width="8.5" style="36"/>
  </cols>
  <sheetData>
    <row r="1" spans="2:15" ht="20">
      <c r="B1" s="643" t="s">
        <v>200</v>
      </c>
      <c r="C1" s="643"/>
      <c r="D1" s="643"/>
      <c r="E1" s="643"/>
      <c r="F1" s="643"/>
      <c r="G1" s="643"/>
      <c r="H1" s="643"/>
      <c r="I1" s="643"/>
      <c r="J1" s="643"/>
      <c r="K1" s="643"/>
      <c r="L1" s="643"/>
      <c r="M1" s="643"/>
      <c r="N1" s="544"/>
    </row>
    <row r="3" spans="2:15" ht="12.75" customHeight="1">
      <c r="B3" s="35" t="s">
        <v>120</v>
      </c>
      <c r="C3" s="110" t="s">
        <v>121</v>
      </c>
      <c r="D3" s="35" t="s">
        <v>122</v>
      </c>
      <c r="E3" s="35" t="s">
        <v>123</v>
      </c>
      <c r="F3" s="35" t="s">
        <v>124</v>
      </c>
      <c r="G3" s="35" t="s">
        <v>125</v>
      </c>
      <c r="H3" s="35" t="s">
        <v>126</v>
      </c>
      <c r="I3" s="193" t="s">
        <v>127</v>
      </c>
      <c r="J3" s="35" t="s">
        <v>36</v>
      </c>
      <c r="K3" s="35" t="s">
        <v>37</v>
      </c>
      <c r="L3" s="35" t="s">
        <v>38</v>
      </c>
      <c r="M3" s="35" t="s">
        <v>39</v>
      </c>
      <c r="N3" s="35" t="s">
        <v>40</v>
      </c>
      <c r="O3" s="51"/>
    </row>
    <row r="4" spans="2:15" ht="12.75" customHeight="1">
      <c r="B4" s="112" t="s">
        <v>201</v>
      </c>
      <c r="C4" s="113"/>
      <c r="D4" s="114"/>
      <c r="E4" s="114"/>
      <c r="F4" s="114"/>
      <c r="G4" s="114"/>
      <c r="H4" s="114"/>
      <c r="I4" s="215"/>
      <c r="J4" s="114"/>
      <c r="K4" s="114"/>
      <c r="L4" s="114"/>
      <c r="M4" s="114"/>
      <c r="N4" s="114"/>
    </row>
    <row r="5" spans="2:15" ht="12.75" customHeight="1">
      <c r="B5" s="39" t="s">
        <v>129</v>
      </c>
      <c r="C5" s="102"/>
      <c r="D5" s="40"/>
      <c r="E5" s="40"/>
      <c r="F5" s="40"/>
      <c r="G5" s="40"/>
      <c r="H5" s="40"/>
      <c r="I5" s="216"/>
      <c r="J5" s="59"/>
      <c r="K5" s="59"/>
      <c r="L5" s="59"/>
      <c r="M5" s="59"/>
      <c r="N5" s="59"/>
    </row>
    <row r="6" spans="2:15" ht="12" customHeight="1">
      <c r="B6" s="60" t="s">
        <v>130</v>
      </c>
      <c r="C6" s="103" t="s">
        <v>202</v>
      </c>
      <c r="D6" s="41">
        <f>'Industry Metrics'!G3</f>
        <v>9.7000000000000003E-2</v>
      </c>
      <c r="E6" s="41">
        <f>'Industry Metrics'!F3</f>
        <v>0.104</v>
      </c>
      <c r="F6" s="41">
        <f>'Industry Metrics'!E3</f>
        <v>-9.9000000000000005E-2</v>
      </c>
      <c r="G6" s="41">
        <f>'Industry Metrics'!D3</f>
        <v>-6.8000000000000005E-2</v>
      </c>
      <c r="H6" s="41">
        <f>'Industry Metrics'!C3</f>
        <v>-2.3E-2</v>
      </c>
      <c r="I6" s="217">
        <f>'Industry Metrics'!B3</f>
        <v>5.0000000000000001E-3</v>
      </c>
      <c r="J6" s="42">
        <f>Assumptions!B6</f>
        <v>0.01</v>
      </c>
      <c r="K6" s="42">
        <f>Assumptions!C6</f>
        <v>1.4999999999999999E-2</v>
      </c>
      <c r="L6" s="42">
        <f>Assumptions!D6</f>
        <v>0.02</v>
      </c>
      <c r="M6" s="42">
        <f>Assumptions!E6</f>
        <v>0.02</v>
      </c>
      <c r="N6" s="42">
        <f>Assumptions!F6</f>
        <v>0.02</v>
      </c>
    </row>
    <row r="7" spans="2:15" ht="12" customHeight="1">
      <c r="B7" s="60" t="s">
        <v>132</v>
      </c>
      <c r="C7" s="103" t="s">
        <v>202</v>
      </c>
      <c r="D7" s="41">
        <f>'Industry Metrics'!G4</f>
        <v>9.1999999999999998E-2</v>
      </c>
      <c r="E7" s="41">
        <f>'Industry Metrics'!F4</f>
        <v>0.11</v>
      </c>
      <c r="F7" s="41">
        <f>'Industry Metrics'!E4</f>
        <v>-0.10299999999999999</v>
      </c>
      <c r="G7" s="41">
        <f>'Industry Metrics'!D4</f>
        <v>-7.0999999999999994E-2</v>
      </c>
      <c r="H7" s="41">
        <f>'Industry Metrics'!C4</f>
        <v>-2.5000000000000001E-2</v>
      </c>
      <c r="I7" s="217">
        <f>'Industry Metrics'!B4</f>
        <v>4.0000000000000001E-3</v>
      </c>
      <c r="J7" s="42">
        <f>Assumptions!B7</f>
        <v>0.01</v>
      </c>
      <c r="K7" s="42">
        <f>Assumptions!C7</f>
        <v>1.4999999999999999E-2</v>
      </c>
      <c r="L7" s="42">
        <f>Assumptions!D7</f>
        <v>0.02</v>
      </c>
      <c r="M7" s="42">
        <f>Assumptions!E7</f>
        <v>0.02</v>
      </c>
      <c r="N7" s="42">
        <f>Assumptions!F7</f>
        <v>0.02</v>
      </c>
    </row>
    <row r="8" spans="2:15" ht="12" customHeight="1">
      <c r="B8" s="60" t="s">
        <v>133</v>
      </c>
      <c r="C8" s="103" t="s">
        <v>202</v>
      </c>
      <c r="D8" s="41">
        <f>'Industry Metrics'!G5</f>
        <v>0.15</v>
      </c>
      <c r="E8" s="41">
        <f>'Industry Metrics'!F5</f>
        <v>3.3000000000000002E-2</v>
      </c>
      <c r="F8" s="41">
        <f>'Industry Metrics'!E5</f>
        <v>-5.3999999999999999E-2</v>
      </c>
      <c r="G8" s="41">
        <f>'Industry Metrics'!D5</f>
        <v>-3.2000000000000001E-2</v>
      </c>
      <c r="H8" s="41">
        <f>'Industry Metrics'!C5</f>
        <v>-5.0000000000000001E-3</v>
      </c>
      <c r="I8" s="217">
        <f>'Industry Metrics'!B5</f>
        <v>2.3E-2</v>
      </c>
      <c r="J8" s="42">
        <f>Assumptions!B8</f>
        <v>0.01</v>
      </c>
      <c r="K8" s="42">
        <f>Assumptions!C8</f>
        <v>1.4999999999999999E-2</v>
      </c>
      <c r="L8" s="42">
        <f>Assumptions!D8</f>
        <v>0.02</v>
      </c>
      <c r="M8" s="42">
        <f>Assumptions!E8</f>
        <v>0.02</v>
      </c>
      <c r="N8" s="42">
        <f>Assumptions!F8</f>
        <v>0.02</v>
      </c>
    </row>
    <row r="9" spans="2:15" ht="12" customHeight="1">
      <c r="B9" s="105" t="s">
        <v>134</v>
      </c>
      <c r="C9" s="106" t="s">
        <v>202</v>
      </c>
      <c r="D9" s="107">
        <f>'Industry Metrics'!G9</f>
        <v>0.33</v>
      </c>
      <c r="E9" s="107">
        <f>'Industry Metrics'!F9</f>
        <v>0.36</v>
      </c>
      <c r="F9" s="107">
        <f>'Industry Metrics'!E9</f>
        <v>0.34</v>
      </c>
      <c r="G9" s="107">
        <f>'Industry Metrics'!D9</f>
        <v>0.38</v>
      </c>
      <c r="H9" s="108">
        <f>'Industry Metrics'!C9</f>
        <v>0.39500000000000002</v>
      </c>
      <c r="I9" s="218">
        <f>'Industry Metrics'!B9</f>
        <v>0.39</v>
      </c>
      <c r="J9" s="109">
        <f>Assumptions!B9</f>
        <v>0.4</v>
      </c>
      <c r="K9" s="109">
        <f>Assumptions!C9</f>
        <v>0.41</v>
      </c>
      <c r="L9" s="109">
        <f>Assumptions!D9</f>
        <v>0.42</v>
      </c>
      <c r="M9" s="109">
        <f>Assumptions!E9</f>
        <v>0.43</v>
      </c>
      <c r="N9" s="109">
        <f>Assumptions!F9</f>
        <v>0.44</v>
      </c>
    </row>
    <row r="10" spans="2:15" ht="12.75" customHeight="1">
      <c r="B10" s="37" t="s">
        <v>136</v>
      </c>
      <c r="C10" s="101"/>
      <c r="D10" s="38"/>
      <c r="E10" s="38"/>
      <c r="F10" s="38"/>
      <c r="G10" s="38"/>
      <c r="H10" s="38"/>
      <c r="I10" s="219"/>
      <c r="J10" s="58"/>
      <c r="K10" s="58"/>
      <c r="L10" s="58"/>
      <c r="M10" s="58"/>
      <c r="N10" s="58"/>
    </row>
    <row r="11" spans="2:15" ht="12" customHeight="1">
      <c r="B11" s="60" t="s">
        <v>137</v>
      </c>
      <c r="C11" s="103" t="s">
        <v>203</v>
      </c>
      <c r="D11" s="36">
        <f>'Industry Metrics'!G12</f>
        <v>1231</v>
      </c>
      <c r="E11" s="36">
        <f>'Industry Metrics'!F12</f>
        <v>1159</v>
      </c>
      <c r="F11" s="36">
        <f>'Industry Metrics'!E12</f>
        <v>1144</v>
      </c>
      <c r="G11" s="36">
        <f>'Industry Metrics'!D12</f>
        <v>1138</v>
      </c>
      <c r="H11" s="36">
        <f>'Industry Metrics'!C12</f>
        <v>1125</v>
      </c>
      <c r="I11" s="220">
        <f>'Industry Metrics'!B12</f>
        <v>1117</v>
      </c>
      <c r="J11" s="44">
        <f>I14</f>
        <v>1068</v>
      </c>
      <c r="K11" s="44">
        <f>J14</f>
        <v>1056</v>
      </c>
      <c r="L11" s="44">
        <f>K14</f>
        <v>1044</v>
      </c>
      <c r="M11" s="44">
        <f>L14</f>
        <v>1033</v>
      </c>
      <c r="N11" s="44">
        <f>M14</f>
        <v>1023</v>
      </c>
    </row>
    <row r="12" spans="2:15" ht="12" customHeight="1">
      <c r="B12" s="60" t="s">
        <v>138</v>
      </c>
      <c r="C12" s="103" t="s">
        <v>203</v>
      </c>
      <c r="D12" s="36">
        <f>'Industry Metrics'!G19</f>
        <v>3</v>
      </c>
      <c r="E12" s="36">
        <f>'Industry Metrics'!F19</f>
        <v>13</v>
      </c>
      <c r="F12" s="36">
        <f>'Industry Metrics'!E19</f>
        <v>9</v>
      </c>
      <c r="G12" s="36">
        <f>'Industry Metrics'!D20</f>
        <v>15</v>
      </c>
      <c r="H12" s="36">
        <f>'Industry Metrics'!C19</f>
        <v>0</v>
      </c>
      <c r="I12" s="220">
        <f>'Industry Metrics'!B20</f>
        <v>0</v>
      </c>
      <c r="J12" s="45">
        <f>Assumptions!B11</f>
        <v>6</v>
      </c>
      <c r="K12" s="45">
        <f>Assumptions!C11</f>
        <v>6</v>
      </c>
      <c r="L12" s="45">
        <f>Assumptions!D11</f>
        <v>5</v>
      </c>
      <c r="M12" s="45">
        <f>Assumptions!E11</f>
        <v>5</v>
      </c>
      <c r="N12" s="45">
        <f>Assumptions!F11</f>
        <v>5</v>
      </c>
    </row>
    <row r="13" spans="2:15" ht="12" customHeight="1">
      <c r="B13" s="60" t="s">
        <v>140</v>
      </c>
      <c r="C13" s="103" t="s">
        <v>203</v>
      </c>
      <c r="D13" s="36">
        <f>'Industry Metrics'!G23</f>
        <v>75</v>
      </c>
      <c r="E13" s="36">
        <f>'Industry Metrics'!F23</f>
        <v>28</v>
      </c>
      <c r="F13" s="36">
        <f>'Industry Metrics'!E23</f>
        <v>15</v>
      </c>
      <c r="G13" s="36">
        <f>'Industry Metrics'!D23</f>
        <v>28</v>
      </c>
      <c r="H13" s="36">
        <f>'Industry Metrics'!C23</f>
        <v>8</v>
      </c>
      <c r="I13" s="220">
        <f>'Industry Metrics'!B23</f>
        <v>49</v>
      </c>
      <c r="J13" s="45">
        <f>Assumptions!B12</f>
        <v>18</v>
      </c>
      <c r="K13" s="45">
        <f>Assumptions!C12</f>
        <v>18</v>
      </c>
      <c r="L13" s="45">
        <f>Assumptions!D12</f>
        <v>16</v>
      </c>
      <c r="M13" s="45">
        <f>Assumptions!E12</f>
        <v>15</v>
      </c>
      <c r="N13" s="45">
        <f>Assumptions!F12</f>
        <v>15</v>
      </c>
    </row>
    <row r="14" spans="2:15" ht="12" customHeight="1">
      <c r="B14" s="40" t="s">
        <v>142</v>
      </c>
      <c r="C14" s="102" t="s">
        <v>203</v>
      </c>
      <c r="D14" s="40">
        <f t="shared" ref="D14:N14" si="0">D11+D12-D13</f>
        <v>1159</v>
      </c>
      <c r="E14" s="40">
        <f t="shared" si="0"/>
        <v>1144</v>
      </c>
      <c r="F14" s="40">
        <f t="shared" si="0"/>
        <v>1138</v>
      </c>
      <c r="G14" s="40">
        <f t="shared" si="0"/>
        <v>1125</v>
      </c>
      <c r="H14" s="40">
        <f t="shared" si="0"/>
        <v>1117</v>
      </c>
      <c r="I14" s="216">
        <f t="shared" si="0"/>
        <v>1068</v>
      </c>
      <c r="J14" s="59">
        <f t="shared" si="0"/>
        <v>1056</v>
      </c>
      <c r="K14" s="59">
        <f t="shared" si="0"/>
        <v>1044</v>
      </c>
      <c r="L14" s="59">
        <f t="shared" si="0"/>
        <v>1033</v>
      </c>
      <c r="M14" s="59">
        <f t="shared" si="0"/>
        <v>1023</v>
      </c>
      <c r="N14" s="59">
        <f t="shared" si="0"/>
        <v>1013</v>
      </c>
    </row>
    <row r="15" spans="2:15" ht="12" customHeight="1">
      <c r="B15" s="60" t="s">
        <v>143</v>
      </c>
      <c r="C15" s="103" t="s">
        <v>203</v>
      </c>
      <c r="D15" s="36">
        <f t="shared" ref="D15:N15" si="1">(D11+D14)/2</f>
        <v>1195</v>
      </c>
      <c r="E15" s="36">
        <f t="shared" si="1"/>
        <v>1151.5</v>
      </c>
      <c r="F15" s="36">
        <f t="shared" si="1"/>
        <v>1141</v>
      </c>
      <c r="G15" s="36">
        <f t="shared" si="1"/>
        <v>1131.5</v>
      </c>
      <c r="H15" s="36">
        <f t="shared" si="1"/>
        <v>1121</v>
      </c>
      <c r="I15" s="220">
        <f t="shared" si="1"/>
        <v>1092.5</v>
      </c>
      <c r="J15" s="44">
        <f t="shared" si="1"/>
        <v>1062</v>
      </c>
      <c r="K15" s="44">
        <f t="shared" si="1"/>
        <v>1050</v>
      </c>
      <c r="L15" s="44">
        <f t="shared" si="1"/>
        <v>1038.5</v>
      </c>
      <c r="M15" s="44">
        <f t="shared" si="1"/>
        <v>1028</v>
      </c>
      <c r="N15" s="44">
        <f t="shared" si="1"/>
        <v>1018</v>
      </c>
    </row>
    <row r="16" spans="2:15" ht="12.75" customHeight="1">
      <c r="B16" s="37" t="s">
        <v>144</v>
      </c>
      <c r="C16" s="101" t="s">
        <v>203</v>
      </c>
      <c r="D16" s="38"/>
      <c r="E16" s="38"/>
      <c r="F16" s="38"/>
      <c r="G16" s="38"/>
      <c r="H16" s="38"/>
      <c r="I16" s="219"/>
      <c r="J16" s="58"/>
      <c r="K16" s="58"/>
      <c r="L16" s="58"/>
      <c r="M16" s="58"/>
      <c r="N16" s="58"/>
    </row>
    <row r="17" spans="2:14" ht="12" customHeight="1">
      <c r="B17" s="60" t="s">
        <v>137</v>
      </c>
      <c r="C17" s="103" t="s">
        <v>203</v>
      </c>
      <c r="D17" s="36">
        <f>'Industry Metrics'!G13</f>
        <v>1009</v>
      </c>
      <c r="E17" s="36">
        <f>'Industry Metrics'!F13</f>
        <v>991</v>
      </c>
      <c r="F17" s="36">
        <f>'Industry Metrics'!E13</f>
        <v>984</v>
      </c>
      <c r="G17" s="36">
        <f>'Industry Metrics'!D13</f>
        <v>978</v>
      </c>
      <c r="H17" s="36">
        <f>'Industry Metrics'!C13</f>
        <v>965</v>
      </c>
      <c r="I17" s="220">
        <f>'Industry Metrics'!B13</f>
        <v>957</v>
      </c>
      <c r="J17" s="44">
        <f>I20</f>
        <v>926</v>
      </c>
      <c r="K17" s="44">
        <f>J20</f>
        <v>917</v>
      </c>
      <c r="L17" s="44">
        <f>K20</f>
        <v>908</v>
      </c>
      <c r="M17" s="44">
        <f>L20</f>
        <v>899</v>
      </c>
      <c r="N17" s="44">
        <f>M20</f>
        <v>891</v>
      </c>
    </row>
    <row r="18" spans="2:14" ht="12" customHeight="1">
      <c r="B18" s="60" t="s">
        <v>138</v>
      </c>
      <c r="C18" s="103" t="s">
        <v>203</v>
      </c>
      <c r="D18" s="36">
        <f>'Industry Metrics'!G21</f>
        <v>3</v>
      </c>
      <c r="E18" s="36">
        <f>'Industry Metrics'!F21</f>
        <v>13</v>
      </c>
      <c r="F18" s="36">
        <f>'Industry Metrics'!E21</f>
        <v>9</v>
      </c>
      <c r="G18" s="36">
        <f>'Industry Metrics'!D21</f>
        <v>14</v>
      </c>
      <c r="H18" s="36">
        <f>'Industry Metrics'!C21</f>
        <v>0</v>
      </c>
      <c r="I18" s="220">
        <f>'Industry Metrics'!B21</f>
        <v>0</v>
      </c>
      <c r="J18" s="45">
        <f>Assumptions!B13</f>
        <v>6</v>
      </c>
      <c r="K18" s="45">
        <f>Assumptions!C13</f>
        <v>6</v>
      </c>
      <c r="L18" s="45">
        <f>Assumptions!D13</f>
        <v>5</v>
      </c>
      <c r="M18" s="45">
        <f>Assumptions!E13</f>
        <v>5</v>
      </c>
      <c r="N18" s="45">
        <f>Assumptions!F13</f>
        <v>5</v>
      </c>
    </row>
    <row r="19" spans="2:14" ht="12" customHeight="1">
      <c r="B19" s="60" t="s">
        <v>140</v>
      </c>
      <c r="C19" s="103" t="s">
        <v>203</v>
      </c>
      <c r="D19" s="36">
        <f>'Industry Metrics'!G24</f>
        <v>21</v>
      </c>
      <c r="E19" s="36">
        <f>'Industry Metrics'!F24</f>
        <v>20</v>
      </c>
      <c r="F19" s="36">
        <f>'Industry Metrics'!E24</f>
        <v>15</v>
      </c>
      <c r="G19" s="36">
        <f>'Industry Metrics'!D24</f>
        <v>27</v>
      </c>
      <c r="H19" s="36">
        <f>'Industry Metrics'!C24</f>
        <v>8</v>
      </c>
      <c r="I19" s="220">
        <f>'Industry Metrics'!B24</f>
        <v>31</v>
      </c>
      <c r="J19" s="45">
        <f>Assumptions!B14</f>
        <v>15</v>
      </c>
      <c r="K19" s="45">
        <f>Assumptions!C14</f>
        <v>15</v>
      </c>
      <c r="L19" s="45">
        <f>Assumptions!D14</f>
        <v>14</v>
      </c>
      <c r="M19" s="45">
        <f>Assumptions!E14</f>
        <v>13</v>
      </c>
      <c r="N19" s="45">
        <f>Assumptions!F14</f>
        <v>13</v>
      </c>
    </row>
    <row r="20" spans="2:14" ht="12" customHeight="1">
      <c r="B20" s="40" t="s">
        <v>142</v>
      </c>
      <c r="C20" s="102" t="s">
        <v>203</v>
      </c>
      <c r="D20" s="40">
        <f t="shared" ref="D20:N20" si="2">D17+D18-D19</f>
        <v>991</v>
      </c>
      <c r="E20" s="40">
        <f t="shared" si="2"/>
        <v>984</v>
      </c>
      <c r="F20" s="40">
        <f t="shared" si="2"/>
        <v>978</v>
      </c>
      <c r="G20" s="40">
        <f t="shared" si="2"/>
        <v>965</v>
      </c>
      <c r="H20" s="40">
        <f t="shared" si="2"/>
        <v>957</v>
      </c>
      <c r="I20" s="216">
        <f>I17+I18-I19</f>
        <v>926</v>
      </c>
      <c r="J20" s="59">
        <f>J17+J18-J19</f>
        <v>917</v>
      </c>
      <c r="K20" s="59">
        <f>K17+K18-K19</f>
        <v>908</v>
      </c>
      <c r="L20" s="59">
        <f t="shared" si="2"/>
        <v>899</v>
      </c>
      <c r="M20" s="59">
        <f t="shared" si="2"/>
        <v>891</v>
      </c>
      <c r="N20" s="59">
        <f t="shared" si="2"/>
        <v>883</v>
      </c>
    </row>
    <row r="21" spans="2:14" ht="12" customHeight="1">
      <c r="B21" s="60" t="s">
        <v>143</v>
      </c>
      <c r="C21" s="103" t="s">
        <v>203</v>
      </c>
      <c r="D21" s="36">
        <f t="shared" ref="D21:N21" si="3">(D17+D20)/2</f>
        <v>1000</v>
      </c>
      <c r="E21" s="36">
        <f t="shared" si="3"/>
        <v>987.5</v>
      </c>
      <c r="F21" s="36">
        <f t="shared" si="3"/>
        <v>981</v>
      </c>
      <c r="G21" s="36">
        <f t="shared" si="3"/>
        <v>971.5</v>
      </c>
      <c r="H21" s="36">
        <f t="shared" si="3"/>
        <v>961</v>
      </c>
      <c r="I21" s="220">
        <f t="shared" si="3"/>
        <v>941.5</v>
      </c>
      <c r="J21" s="46">
        <f t="shared" si="3"/>
        <v>921.5</v>
      </c>
      <c r="K21" s="46">
        <f t="shared" si="3"/>
        <v>912.5</v>
      </c>
      <c r="L21" s="46">
        <f t="shared" si="3"/>
        <v>903.5</v>
      </c>
      <c r="M21" s="46">
        <f t="shared" si="3"/>
        <v>895</v>
      </c>
      <c r="N21" s="46">
        <f t="shared" si="3"/>
        <v>887</v>
      </c>
    </row>
    <row r="22" spans="2:14" ht="12.75" customHeight="1">
      <c r="B22" s="37" t="s">
        <v>145</v>
      </c>
      <c r="C22" s="101" t="s">
        <v>203</v>
      </c>
      <c r="D22" s="38"/>
      <c r="E22" s="38"/>
      <c r="F22" s="38"/>
      <c r="G22" s="38"/>
      <c r="H22" s="38"/>
      <c r="I22" s="219"/>
      <c r="J22" s="58"/>
      <c r="K22" s="58"/>
      <c r="L22" s="58"/>
      <c r="M22" s="58"/>
      <c r="N22" s="58"/>
    </row>
    <row r="23" spans="2:14" ht="12" customHeight="1">
      <c r="B23" s="60" t="s">
        <v>137</v>
      </c>
      <c r="C23" s="103" t="s">
        <v>203</v>
      </c>
      <c r="D23" s="36">
        <f>'Industry Metrics'!G14</f>
        <v>222</v>
      </c>
      <c r="E23" s="36">
        <f>'Industry Metrics'!F14</f>
        <v>168</v>
      </c>
      <c r="F23" s="36">
        <f>'Industry Metrics'!E14</f>
        <v>160</v>
      </c>
      <c r="G23" s="36">
        <f>'Industry Metrics'!D14</f>
        <v>160</v>
      </c>
      <c r="H23" s="36">
        <f>'Industry Metrics'!C14</f>
        <v>160</v>
      </c>
      <c r="I23" s="220">
        <f>'Industry Metrics'!B14</f>
        <v>160</v>
      </c>
      <c r="J23" s="44">
        <f>I26</f>
        <v>142</v>
      </c>
      <c r="K23" s="44">
        <f>J26</f>
        <v>139</v>
      </c>
      <c r="L23" s="44">
        <f>K26</f>
        <v>136</v>
      </c>
      <c r="M23" s="44">
        <f>L26</f>
        <v>134</v>
      </c>
      <c r="N23" s="44">
        <f>M26</f>
        <v>132</v>
      </c>
    </row>
    <row r="24" spans="2:14" ht="12" customHeight="1">
      <c r="B24" s="60" t="s">
        <v>138</v>
      </c>
      <c r="C24" s="103" t="s">
        <v>203</v>
      </c>
      <c r="D24" s="36">
        <f>'Industry Metrics'!G22</f>
        <v>0</v>
      </c>
      <c r="E24" s="36">
        <f>'Industry Metrics'!F22</f>
        <v>0</v>
      </c>
      <c r="F24" s="36">
        <f>'Industry Metrics'!E25</f>
        <v>0</v>
      </c>
      <c r="G24" s="36">
        <f>'Industry Metrics'!D25</f>
        <v>1</v>
      </c>
      <c r="H24" s="36">
        <f>'Industry Metrics'!C25</f>
        <v>0</v>
      </c>
      <c r="I24" s="220">
        <f>'Industry Metrics'!B22</f>
        <v>0</v>
      </c>
      <c r="J24" s="45">
        <f>Assumptions!B15</f>
        <v>0</v>
      </c>
      <c r="K24" s="45">
        <f>Assumptions!C15</f>
        <v>0</v>
      </c>
      <c r="L24" s="45">
        <f>Assumptions!D15</f>
        <v>0</v>
      </c>
      <c r="M24" s="45">
        <f>Assumptions!E15</f>
        <v>0</v>
      </c>
      <c r="N24" s="45">
        <f>Assumptions!F15</f>
        <v>0</v>
      </c>
    </row>
    <row r="25" spans="2:14" ht="12" customHeight="1">
      <c r="B25" s="60" t="s">
        <v>140</v>
      </c>
      <c r="C25" s="103" t="s">
        <v>203</v>
      </c>
      <c r="D25" s="36">
        <f>'Industry Metrics'!G25</f>
        <v>54</v>
      </c>
      <c r="E25" s="36">
        <f>'Industry Metrics'!F25</f>
        <v>8</v>
      </c>
      <c r="F25" s="36">
        <f>'Industry Metrics'!E25</f>
        <v>0</v>
      </c>
      <c r="G25" s="36">
        <f>'Industry Metrics'!D25</f>
        <v>1</v>
      </c>
      <c r="H25" s="36">
        <f>'Industry Metrics'!C25</f>
        <v>0</v>
      </c>
      <c r="I25" s="220">
        <f>'Industry Metrics'!B25</f>
        <v>18</v>
      </c>
      <c r="J25" s="45">
        <f>Assumptions!B16</f>
        <v>3</v>
      </c>
      <c r="K25" s="45">
        <f>Assumptions!C16</f>
        <v>3</v>
      </c>
      <c r="L25" s="45">
        <f>Assumptions!D16</f>
        <v>2</v>
      </c>
      <c r="M25" s="45">
        <f>Assumptions!E16</f>
        <v>2</v>
      </c>
      <c r="N25" s="45">
        <f>Assumptions!F16</f>
        <v>2</v>
      </c>
    </row>
    <row r="26" spans="2:14" ht="12" customHeight="1">
      <c r="B26" s="40" t="s">
        <v>142</v>
      </c>
      <c r="C26" s="102" t="s">
        <v>203</v>
      </c>
      <c r="D26" s="40">
        <f t="shared" ref="D26:N26" si="4">D23+D24-D25</f>
        <v>168</v>
      </c>
      <c r="E26" s="40">
        <f t="shared" si="4"/>
        <v>160</v>
      </c>
      <c r="F26" s="40">
        <f t="shared" si="4"/>
        <v>160</v>
      </c>
      <c r="G26" s="40">
        <f t="shared" si="4"/>
        <v>160</v>
      </c>
      <c r="H26" s="40">
        <f t="shared" si="4"/>
        <v>160</v>
      </c>
      <c r="I26" s="216">
        <f t="shared" si="4"/>
        <v>142</v>
      </c>
      <c r="J26" s="59">
        <f t="shared" si="4"/>
        <v>139</v>
      </c>
      <c r="K26" s="59">
        <f t="shared" si="4"/>
        <v>136</v>
      </c>
      <c r="L26" s="59">
        <f t="shared" si="4"/>
        <v>134</v>
      </c>
      <c r="M26" s="59">
        <f t="shared" si="4"/>
        <v>132</v>
      </c>
      <c r="N26" s="59">
        <f t="shared" si="4"/>
        <v>130</v>
      </c>
    </row>
    <row r="27" spans="2:14" ht="12" customHeight="1">
      <c r="B27" s="105" t="s">
        <v>143</v>
      </c>
      <c r="C27" s="106" t="s">
        <v>203</v>
      </c>
      <c r="D27" s="111">
        <f t="shared" ref="D27:N27" si="5">(D23+D26)/2</f>
        <v>195</v>
      </c>
      <c r="E27" s="111">
        <f t="shared" si="5"/>
        <v>164</v>
      </c>
      <c r="F27" s="111">
        <f t="shared" si="5"/>
        <v>160</v>
      </c>
      <c r="G27" s="111">
        <f t="shared" si="5"/>
        <v>160</v>
      </c>
      <c r="H27" s="111">
        <f t="shared" si="5"/>
        <v>160</v>
      </c>
      <c r="I27" s="221">
        <f t="shared" si="5"/>
        <v>151</v>
      </c>
      <c r="J27" s="115">
        <f t="shared" si="5"/>
        <v>140.5</v>
      </c>
      <c r="K27" s="115">
        <f t="shared" si="5"/>
        <v>137.5</v>
      </c>
      <c r="L27" s="115">
        <f t="shared" si="5"/>
        <v>135</v>
      </c>
      <c r="M27" s="115">
        <f t="shared" si="5"/>
        <v>133</v>
      </c>
      <c r="N27" s="115">
        <f t="shared" si="5"/>
        <v>131</v>
      </c>
    </row>
    <row r="28" spans="2:14" ht="12.75" customHeight="1">
      <c r="B28" s="37" t="s">
        <v>146</v>
      </c>
      <c r="C28" s="101"/>
      <c r="D28" s="38"/>
      <c r="E28" s="38"/>
      <c r="F28" s="38"/>
      <c r="G28" s="38"/>
      <c r="H28" s="38"/>
      <c r="I28" s="219"/>
      <c r="J28" s="58"/>
      <c r="K28" s="58"/>
      <c r="L28" s="58"/>
      <c r="M28" s="58"/>
      <c r="N28" s="58"/>
    </row>
    <row r="29" spans="2:14" ht="12" customHeight="1">
      <c r="B29" s="60" t="s">
        <v>204</v>
      </c>
      <c r="C29" s="103" t="s">
        <v>205</v>
      </c>
      <c r="D29" s="88">
        <f>'Geographic Revenue'!F6/D21</f>
        <v>43.292999999999999</v>
      </c>
      <c r="E29" s="88">
        <f>'Geographic Revenue'!G6/E21</f>
        <v>48.435443037974686</v>
      </c>
      <c r="F29" s="88">
        <f>'Geographic Revenue'!H6/F21</f>
        <v>43.622833843017332</v>
      </c>
      <c r="G29" s="88">
        <f>'Geographic Revenue'!I6/G21</f>
        <v>41.273288728769941</v>
      </c>
      <c r="H29" s="88">
        <f>'Geographic Revenue'!J6/H21</f>
        <v>39.789802289282001</v>
      </c>
      <c r="I29" s="222">
        <f>'Geographic Revenue'!K6/I21</f>
        <v>40.656399362719064</v>
      </c>
      <c r="J29" s="88">
        <f>J43/J21</f>
        <v>42.087866402679367</v>
      </c>
      <c r="K29" s="88">
        <f>K43/K21</f>
        <v>43.280970933278056</v>
      </c>
      <c r="L29" s="88">
        <f>L43/L21</f>
        <v>44.708500467103946</v>
      </c>
      <c r="M29" s="88">
        <f>M43/M21</f>
        <v>46.163150225318553</v>
      </c>
      <c r="N29" s="88">
        <f>N43/N21</f>
        <v>47.643805945623299</v>
      </c>
    </row>
    <row r="30" spans="2:14" ht="12" customHeight="1">
      <c r="B30" s="60" t="s">
        <v>148</v>
      </c>
      <c r="C30" s="103" t="s">
        <v>202</v>
      </c>
      <c r="D30" s="95"/>
      <c r="E30" s="96">
        <f t="shared" ref="E30:N30" si="6">E29/D29-1</f>
        <v>0.11878232134466749</v>
      </c>
      <c r="F30" s="96">
        <f t="shared" si="6"/>
        <v>-9.936131256576175E-2</v>
      </c>
      <c r="G30" s="96">
        <f t="shared" si="6"/>
        <v>-5.3860442049742718E-2</v>
      </c>
      <c r="H30" s="96">
        <f t="shared" si="6"/>
        <v>-3.5943015087476216E-2</v>
      </c>
      <c r="I30" s="223">
        <f t="shared" si="6"/>
        <v>2.1779376211439327E-2</v>
      </c>
      <c r="J30" s="96">
        <f>J29/I29-1</f>
        <v>3.5208898534997202E-2</v>
      </c>
      <c r="K30" s="96">
        <f t="shared" si="6"/>
        <v>2.8347945205479341E-2</v>
      </c>
      <c r="L30" s="96">
        <f t="shared" si="6"/>
        <v>3.2982844493635977E-2</v>
      </c>
      <c r="M30" s="96">
        <f t="shared" si="6"/>
        <v>3.2536312849162252E-2</v>
      </c>
      <c r="N30" s="96">
        <f t="shared" si="6"/>
        <v>3.2074408117249043E-2</v>
      </c>
    </row>
    <row r="31" spans="2:14" ht="12" customHeight="1">
      <c r="B31" s="60" t="s">
        <v>206</v>
      </c>
      <c r="C31" s="103" t="s">
        <v>205</v>
      </c>
      <c r="D31" s="88">
        <f>SUM('Geographic Revenue'!F7:F9)/D27</f>
        <v>22.246153846153845</v>
      </c>
      <c r="E31" s="88">
        <f>SUM('Geographic Revenue'!G7:G9)/E27</f>
        <v>24.091463414634145</v>
      </c>
      <c r="F31" s="88">
        <f>SUM('Geographic Revenue'!H7:H9)/F27</f>
        <v>21.9</v>
      </c>
      <c r="G31" s="88">
        <f>SUM('Geographic Revenue'!I7:I9)/G27</f>
        <v>20.96875</v>
      </c>
      <c r="H31" s="88">
        <f>SUM('Geographic Revenue'!J7:J9)/H27</f>
        <v>20.5625</v>
      </c>
      <c r="I31" s="222">
        <f>SUM('Geographic Revenue'!K7:K9)/I27</f>
        <v>22.602649006622517</v>
      </c>
      <c r="J31" s="88">
        <f>J51/J27</f>
        <v>24.534733096085411</v>
      </c>
      <c r="K31" s="88">
        <f>K51/K27</f>
        <v>25.446086909090909</v>
      </c>
      <c r="L31" s="88">
        <f>L51/L27</f>
        <v>26.435656955555555</v>
      </c>
      <c r="M31" s="88">
        <f>M51/M27</f>
        <v>27.369849344210529</v>
      </c>
      <c r="N31" s="88">
        <f>N51/N27</f>
        <v>28.343463832332827</v>
      </c>
    </row>
    <row r="32" spans="2:14" ht="12" customHeight="1">
      <c r="B32" s="105" t="s">
        <v>150</v>
      </c>
      <c r="C32" s="106" t="s">
        <v>202</v>
      </c>
      <c r="D32" s="116"/>
      <c r="E32" s="117">
        <f t="shared" ref="E32:N32" si="7">E31/D31-1</f>
        <v>8.2949600242890442E-2</v>
      </c>
      <c r="F32" s="117">
        <f t="shared" si="7"/>
        <v>-9.0964312832194416E-2</v>
      </c>
      <c r="G32" s="117">
        <f t="shared" si="7"/>
        <v>-4.2522831050228249E-2</v>
      </c>
      <c r="H32" s="117">
        <f t="shared" si="7"/>
        <v>-1.9374068554396384E-2</v>
      </c>
      <c r="I32" s="224">
        <f t="shared" si="7"/>
        <v>9.9216972966444494E-2</v>
      </c>
      <c r="J32" s="117">
        <f t="shared" si="7"/>
        <v>8.5480427046263463E-2</v>
      </c>
      <c r="K32" s="117">
        <f t="shared" si="7"/>
        <v>3.7145454545454371E-2</v>
      </c>
      <c r="L32" s="117">
        <f t="shared" si="7"/>
        <v>3.8888888888888973E-2</v>
      </c>
      <c r="M32" s="117">
        <f t="shared" si="7"/>
        <v>3.5338345864661891E-2</v>
      </c>
      <c r="N32" s="117">
        <f t="shared" si="7"/>
        <v>3.5572519083969523E-2</v>
      </c>
    </row>
    <row r="33" spans="2:14" ht="12" customHeight="1">
      <c r="B33" s="60"/>
      <c r="D33" s="95"/>
      <c r="E33" s="96"/>
      <c r="F33" s="96"/>
      <c r="G33" s="96"/>
      <c r="H33" s="96"/>
      <c r="I33" s="223"/>
      <c r="J33" s="96"/>
      <c r="K33" s="96"/>
      <c r="L33" s="96"/>
      <c r="M33" s="96"/>
      <c r="N33" s="96"/>
    </row>
    <row r="34" spans="2:14" ht="12" customHeight="1">
      <c r="B34" s="72" t="s">
        <v>207</v>
      </c>
      <c r="C34" s="104"/>
      <c r="D34" s="73"/>
      <c r="E34" s="73"/>
      <c r="F34" s="73"/>
      <c r="G34" s="73"/>
      <c r="H34" s="73"/>
      <c r="I34" s="225"/>
      <c r="J34" s="73"/>
      <c r="K34" s="73"/>
      <c r="L34" s="73"/>
      <c r="M34" s="73"/>
      <c r="N34" s="73"/>
    </row>
    <row r="35" spans="2:14" ht="12.75" customHeight="1">
      <c r="B35" s="37" t="s">
        <v>208</v>
      </c>
      <c r="C35" s="101"/>
      <c r="D35" s="97"/>
      <c r="E35" s="97"/>
      <c r="F35" s="97"/>
      <c r="G35" s="97"/>
      <c r="H35" s="97"/>
      <c r="I35" s="226"/>
      <c r="J35" s="98"/>
      <c r="K35" s="98"/>
      <c r="L35" s="98"/>
      <c r="M35" s="98"/>
      <c r="N35" s="98"/>
    </row>
    <row r="36" spans="2:14" ht="12" customHeight="1">
      <c r="B36" s="40" t="s">
        <v>152</v>
      </c>
      <c r="C36" s="102"/>
      <c r="D36" s="99"/>
      <c r="E36" s="99"/>
      <c r="F36" s="99"/>
      <c r="G36" s="99"/>
      <c r="H36" s="99"/>
      <c r="I36" s="227"/>
      <c r="J36" s="100"/>
      <c r="K36" s="100"/>
      <c r="L36" s="100"/>
      <c r="M36" s="100"/>
      <c r="N36" s="100"/>
    </row>
    <row r="37" spans="2:14" ht="12" customHeight="1">
      <c r="B37" s="60" t="s">
        <v>153</v>
      </c>
      <c r="C37" s="103" t="s">
        <v>205</v>
      </c>
      <c r="D37" s="87">
        <f>'Geographic Revenue'!E6</f>
        <v>40114</v>
      </c>
      <c r="E37" s="87">
        <f>'Geographic Revenue'!F6</f>
        <v>43293</v>
      </c>
      <c r="F37" s="87">
        <f>'Geographic Revenue'!G6</f>
        <v>47830</v>
      </c>
      <c r="G37" s="87">
        <f>'Geographic Revenue'!H6</f>
        <v>42794</v>
      </c>
      <c r="H37" s="87">
        <f>'Geographic Revenue'!I6</f>
        <v>40097</v>
      </c>
      <c r="I37" s="228">
        <f>'Geographic Revenue'!J6</f>
        <v>38238</v>
      </c>
      <c r="J37" s="87">
        <f>'Geographic Revenue'!K6</f>
        <v>38278</v>
      </c>
      <c r="K37" s="88">
        <f>J43</f>
        <v>38783.968890069038</v>
      </c>
      <c r="L37" s="88">
        <f>K43</f>
        <v>39493.885976616228</v>
      </c>
      <c r="M37" s="88">
        <f>L43</f>
        <v>40394.130172028417</v>
      </c>
      <c r="N37" s="88">
        <f>M43</f>
        <v>41316.019451660104</v>
      </c>
    </row>
    <row r="38" spans="2:14" ht="12" customHeight="1">
      <c r="B38" s="60" t="s">
        <v>154</v>
      </c>
      <c r="C38" s="103" t="s">
        <v>205</v>
      </c>
      <c r="D38" s="87">
        <f t="shared" ref="D38:N38" si="8">D37*(1+D7)</f>
        <v>43804.488000000005</v>
      </c>
      <c r="E38" s="87">
        <f t="shared" si="8"/>
        <v>48055.23</v>
      </c>
      <c r="F38" s="87">
        <f t="shared" si="8"/>
        <v>42903.51</v>
      </c>
      <c r="G38" s="87">
        <f t="shared" si="8"/>
        <v>39755.626000000004</v>
      </c>
      <c r="H38" s="87">
        <f t="shared" si="8"/>
        <v>39094.574999999997</v>
      </c>
      <c r="I38" s="228">
        <f t="shared" si="8"/>
        <v>38390.951999999997</v>
      </c>
      <c r="J38" s="88">
        <f>J37*(1+J7)</f>
        <v>38660.78</v>
      </c>
      <c r="K38" s="88">
        <f t="shared" si="8"/>
        <v>39365.728423420071</v>
      </c>
      <c r="L38" s="88">
        <f t="shared" si="8"/>
        <v>40283.763696148555</v>
      </c>
      <c r="M38" s="88">
        <f t="shared" si="8"/>
        <v>41202.012775468989</v>
      </c>
      <c r="N38" s="88">
        <f t="shared" si="8"/>
        <v>42142.339840693305</v>
      </c>
    </row>
    <row r="39" spans="2:14" ht="12" customHeight="1">
      <c r="B39" s="40" t="s">
        <v>155</v>
      </c>
      <c r="C39" s="102"/>
      <c r="D39" s="99"/>
      <c r="E39" s="99"/>
      <c r="F39" s="99"/>
      <c r="G39" s="99"/>
      <c r="H39" s="99"/>
      <c r="I39" s="227"/>
      <c r="J39" s="100"/>
      <c r="K39" s="100"/>
      <c r="L39" s="100"/>
      <c r="M39" s="100"/>
      <c r="N39" s="100"/>
    </row>
    <row r="40" spans="2:14" ht="12" customHeight="1">
      <c r="B40" s="60" t="s">
        <v>156</v>
      </c>
      <c r="C40" s="103" t="s">
        <v>203</v>
      </c>
      <c r="D40" s="90">
        <f>'Industry Metrics'!G19</f>
        <v>3</v>
      </c>
      <c r="E40" s="90">
        <f>'Industry Metrics'!F19</f>
        <v>13</v>
      </c>
      <c r="F40" s="90">
        <f>'Industry Metrics'!E19</f>
        <v>9</v>
      </c>
      <c r="G40" s="90">
        <f>'Industry Metrics'!D19</f>
        <v>15</v>
      </c>
      <c r="H40" s="90">
        <f>'Industry Metrics'!C19</f>
        <v>0</v>
      </c>
      <c r="I40" s="229">
        <f>'Industry Metrics'!B20</f>
        <v>0</v>
      </c>
      <c r="J40" s="91">
        <f>J18</f>
        <v>6</v>
      </c>
      <c r="K40" s="91">
        <f>K18</f>
        <v>6</v>
      </c>
      <c r="L40" s="91">
        <f>L18</f>
        <v>5</v>
      </c>
      <c r="M40" s="91">
        <f>M18</f>
        <v>5</v>
      </c>
      <c r="N40" s="91">
        <f>N18</f>
        <v>5</v>
      </c>
    </row>
    <row r="41" spans="2:14" ht="12" customHeight="1">
      <c r="B41" s="60" t="s">
        <v>157</v>
      </c>
      <c r="C41" s="103" t="s">
        <v>203</v>
      </c>
      <c r="D41" s="90">
        <f>'Geographic Revenue'!F6/'Revenue Build - Top Down'!D21*50%</f>
        <v>21.6465</v>
      </c>
      <c r="E41" s="90">
        <f>'Geographic Revenue'!G6/'Revenue Build - Top Down'!E21*50%</f>
        <v>24.217721518987343</v>
      </c>
      <c r="F41" s="90">
        <f>'Geographic Revenue'!H6/'Revenue Build - Top Down'!F21*50%</f>
        <v>21.811416921508666</v>
      </c>
      <c r="G41" s="90">
        <f>'Geographic Revenue'!I6/'Revenue Build - Top Down'!G21*50%</f>
        <v>20.636644364384971</v>
      </c>
      <c r="H41" s="90">
        <f>'Geographic Revenue'!J6/'Revenue Build - Top Down'!H21*50%</f>
        <v>19.894901144641</v>
      </c>
      <c r="I41" s="229">
        <f>'Geographic Revenue'!K6/'Revenue Build - Top Down'!I21*50%</f>
        <v>20.328199681359532</v>
      </c>
      <c r="J41" s="91">
        <f>'Geographic Revenue'!K6/I21*(1+J7)*50%</f>
        <v>20.531481678173126</v>
      </c>
      <c r="K41" s="91">
        <f>J43/J21*(1+K7)*50%</f>
        <v>21.359592199359778</v>
      </c>
      <c r="L41" s="91">
        <f>K43/K21*(1+L7)*50%</f>
        <v>22.073295175971808</v>
      </c>
      <c r="M41" s="91">
        <f>L43/L21*(1+M7)*50%</f>
        <v>22.801335238223011</v>
      </c>
      <c r="N41" s="91">
        <f>M43/M21*(1+N7)*50%</f>
        <v>23.543206614912464</v>
      </c>
    </row>
    <row r="42" spans="2:14" ht="12" customHeight="1">
      <c r="B42" s="60" t="s">
        <v>159</v>
      </c>
      <c r="C42" s="103" t="s">
        <v>203</v>
      </c>
      <c r="D42" s="90">
        <f t="shared" ref="D42:N42" si="9">D40*D41</f>
        <v>64.939499999999995</v>
      </c>
      <c r="E42" s="90">
        <f t="shared" si="9"/>
        <v>314.83037974683543</v>
      </c>
      <c r="F42" s="90">
        <f t="shared" si="9"/>
        <v>196.30275229357801</v>
      </c>
      <c r="G42" s="90">
        <f t="shared" si="9"/>
        <v>309.54966546577458</v>
      </c>
      <c r="H42" s="90">
        <f t="shared" si="9"/>
        <v>0</v>
      </c>
      <c r="I42" s="229">
        <f t="shared" si="9"/>
        <v>0</v>
      </c>
      <c r="J42" s="91">
        <f t="shared" si="9"/>
        <v>123.18889006903876</v>
      </c>
      <c r="K42" s="91">
        <f t="shared" si="9"/>
        <v>128.15755319615866</v>
      </c>
      <c r="L42" s="91">
        <f t="shared" si="9"/>
        <v>110.36647587985904</v>
      </c>
      <c r="M42" s="91">
        <f t="shared" si="9"/>
        <v>114.00667619111505</v>
      </c>
      <c r="N42" s="91">
        <f t="shared" si="9"/>
        <v>117.71603307456232</v>
      </c>
    </row>
    <row r="43" spans="2:14" ht="12" customHeight="1">
      <c r="B43" s="105" t="s">
        <v>160</v>
      </c>
      <c r="C43" s="106" t="s">
        <v>205</v>
      </c>
      <c r="D43" s="118">
        <f>D42+D38</f>
        <v>43869.427500000005</v>
      </c>
      <c r="E43" s="118">
        <f t="shared" ref="E43:N43" si="10">E42+E38</f>
        <v>48370.060379746836</v>
      </c>
      <c r="F43" s="118">
        <f t="shared" si="10"/>
        <v>43099.812752293583</v>
      </c>
      <c r="G43" s="118">
        <f t="shared" si="10"/>
        <v>40065.17566546578</v>
      </c>
      <c r="H43" s="118">
        <f t="shared" si="10"/>
        <v>39094.574999999997</v>
      </c>
      <c r="I43" s="230">
        <f t="shared" si="10"/>
        <v>38390.951999999997</v>
      </c>
      <c r="J43" s="119">
        <f>J42+J38</f>
        <v>38783.968890069038</v>
      </c>
      <c r="K43" s="119">
        <f t="shared" si="10"/>
        <v>39493.885976616228</v>
      </c>
      <c r="L43" s="119">
        <f t="shared" si="10"/>
        <v>40394.130172028417</v>
      </c>
      <c r="M43" s="119">
        <f t="shared" si="10"/>
        <v>41316.019451660104</v>
      </c>
      <c r="N43" s="119">
        <f t="shared" si="10"/>
        <v>42260.055873767866</v>
      </c>
    </row>
    <row r="44" spans="2:14" ht="12.75" customHeight="1">
      <c r="B44" s="37" t="s">
        <v>209</v>
      </c>
      <c r="C44" s="101"/>
      <c r="D44" s="38"/>
      <c r="E44" s="38"/>
      <c r="F44" s="38"/>
      <c r="G44" s="38"/>
      <c r="H44" s="38"/>
      <c r="I44" s="219"/>
      <c r="J44" s="58"/>
      <c r="K44" s="58"/>
      <c r="L44" s="58"/>
      <c r="M44" s="58"/>
      <c r="N44" s="58"/>
    </row>
    <row r="45" spans="2:14" ht="12" customHeight="1">
      <c r="B45" s="60" t="s">
        <v>162</v>
      </c>
      <c r="C45" s="103" t="s">
        <v>205</v>
      </c>
      <c r="D45" s="92">
        <f>SUM('Geographic Revenue'!E7:E9)</f>
        <v>3923</v>
      </c>
      <c r="E45" s="92">
        <f>SUM('Geographic Revenue'!F7:F9)</f>
        <v>4338</v>
      </c>
      <c r="F45" s="92">
        <f>SUM('Geographic Revenue'!G7:G9)</f>
        <v>3951</v>
      </c>
      <c r="G45" s="92">
        <f>SUM('Geographic Revenue'!H7:H9)</f>
        <v>3504</v>
      </c>
      <c r="H45" s="92">
        <f>SUM('Geographic Revenue'!I7:I9)</f>
        <v>3355</v>
      </c>
      <c r="I45" s="231">
        <f>SUM('Geographic Revenue'!J7:J9)</f>
        <v>3290</v>
      </c>
      <c r="J45" s="92">
        <f>SUM('Geographic Revenue'!K7:K9)</f>
        <v>3413</v>
      </c>
      <c r="K45" s="93">
        <f>J51</f>
        <v>3447.13</v>
      </c>
      <c r="L45" s="93">
        <f>K51</f>
        <v>3498.8369499999999</v>
      </c>
      <c r="M45" s="93">
        <f>L51</f>
        <v>3568.8136890000001</v>
      </c>
      <c r="N45" s="93">
        <f>M51</f>
        <v>3640.1899627800003</v>
      </c>
    </row>
    <row r="46" spans="2:14" ht="12" customHeight="1">
      <c r="B46" s="60" t="s">
        <v>154</v>
      </c>
      <c r="C46" s="103" t="s">
        <v>205</v>
      </c>
      <c r="D46" s="92">
        <f t="shared" ref="D46:N46" si="11">D45*(1+D8)</f>
        <v>4511.45</v>
      </c>
      <c r="E46" s="92">
        <f t="shared" si="11"/>
        <v>4481.1539999999995</v>
      </c>
      <c r="F46" s="92">
        <f t="shared" si="11"/>
        <v>3737.6459999999997</v>
      </c>
      <c r="G46" s="92">
        <f t="shared" si="11"/>
        <v>3391.8719999999998</v>
      </c>
      <c r="H46" s="92">
        <f t="shared" si="11"/>
        <v>3338.2249999999999</v>
      </c>
      <c r="I46" s="231">
        <f t="shared" si="11"/>
        <v>3365.6699999999996</v>
      </c>
      <c r="J46" s="93">
        <f t="shared" si="11"/>
        <v>3447.13</v>
      </c>
      <c r="K46" s="93">
        <f t="shared" si="11"/>
        <v>3498.8369499999999</v>
      </c>
      <c r="L46" s="93">
        <f t="shared" si="11"/>
        <v>3568.8136890000001</v>
      </c>
      <c r="M46" s="93">
        <f t="shared" si="11"/>
        <v>3640.1899627800003</v>
      </c>
      <c r="N46" s="93">
        <f t="shared" si="11"/>
        <v>3712.9937620356004</v>
      </c>
    </row>
    <row r="47" spans="2:14" ht="12" customHeight="1">
      <c r="B47" s="89" t="s">
        <v>155</v>
      </c>
      <c r="D47" s="49"/>
      <c r="E47" s="49"/>
      <c r="F47" s="49"/>
      <c r="G47" s="49"/>
      <c r="H47" s="49"/>
      <c r="I47" s="232"/>
      <c r="J47" s="49"/>
      <c r="K47" s="49"/>
      <c r="L47" s="49"/>
      <c r="M47" s="49"/>
      <c r="N47" s="49"/>
    </row>
    <row r="48" spans="2:14" ht="12" customHeight="1">
      <c r="B48" s="89" t="s">
        <v>156</v>
      </c>
      <c r="C48" s="103" t="s">
        <v>203</v>
      </c>
      <c r="D48" s="49">
        <f>'Industry Metrics'!G22</f>
        <v>0</v>
      </c>
      <c r="E48" s="49">
        <f>'Industry Metrics'!F22</f>
        <v>0</v>
      </c>
      <c r="F48" s="49">
        <f>'Industry Metrics'!E25</f>
        <v>0</v>
      </c>
      <c r="G48" s="49">
        <f>'Industry Metrics'!D22</f>
        <v>1</v>
      </c>
      <c r="H48" s="49">
        <f>'Industry Metrics'!C22</f>
        <v>0</v>
      </c>
      <c r="I48" s="232">
        <f>'Industry Metrics'!B22</f>
        <v>0</v>
      </c>
      <c r="J48" s="94">
        <f>J24</f>
        <v>0</v>
      </c>
      <c r="K48" s="94">
        <f>K24</f>
        <v>0</v>
      </c>
      <c r="L48" s="94">
        <f>L24</f>
        <v>0</v>
      </c>
      <c r="M48" s="94">
        <f>M24</f>
        <v>0</v>
      </c>
      <c r="N48" s="94">
        <f>N24</f>
        <v>0</v>
      </c>
    </row>
    <row r="49" spans="2:15" ht="12" customHeight="1">
      <c r="B49" s="89" t="s">
        <v>157</v>
      </c>
      <c r="C49" s="103" t="s">
        <v>205</v>
      </c>
      <c r="D49" s="93">
        <f>SUM('Geographic Revenue'!F7:F9)/D27*50%</f>
        <v>11.123076923076923</v>
      </c>
      <c r="E49" s="93">
        <f>SUM('Geographic Revenue'!G7:G9)/E27*50%</f>
        <v>12.045731707317072</v>
      </c>
      <c r="F49" s="93">
        <f>SUM('Geographic Revenue'!H7:H9)/F27*50%</f>
        <v>10.95</v>
      </c>
      <c r="G49" s="93">
        <f>SUM('Geographic Revenue'!I7:I9)/G27*50%</f>
        <v>10.484375</v>
      </c>
      <c r="H49" s="93">
        <f>SUM('Geographic Revenue'!J7:J9)/H27*50%</f>
        <v>10.28125</v>
      </c>
      <c r="I49" s="233">
        <f>SUM('Geographic Revenue'!K7:K9)/I27*50%</f>
        <v>11.301324503311259</v>
      </c>
      <c r="J49" s="93">
        <f>SUM('Geographic Revenue'!K7:K9)/I27*(1+J8)*50%</f>
        <v>11.414337748344371</v>
      </c>
      <c r="K49" s="93">
        <f>J51/J27*(1+K8)*50%</f>
        <v>12.451377046263344</v>
      </c>
      <c r="L49" s="93">
        <f>K51/K27*(1+L8)*50%</f>
        <v>12.977504323636364</v>
      </c>
      <c r="M49" s="93">
        <f>L51/L27*(1+M8)*50%</f>
        <v>13.482185047333333</v>
      </c>
      <c r="N49" s="93">
        <f>M51/M27*(1+N8)*50%</f>
        <v>13.958623165547371</v>
      </c>
    </row>
    <row r="50" spans="2:15" ht="12" customHeight="1">
      <c r="B50" s="89" t="s">
        <v>163</v>
      </c>
      <c r="C50" s="103" t="s">
        <v>205</v>
      </c>
      <c r="D50" s="93">
        <f t="shared" ref="D50:N50" si="12">D48*D49</f>
        <v>0</v>
      </c>
      <c r="E50" s="93">
        <f t="shared" si="12"/>
        <v>0</v>
      </c>
      <c r="F50" s="93">
        <f t="shared" si="12"/>
        <v>0</v>
      </c>
      <c r="G50" s="93">
        <f t="shared" si="12"/>
        <v>10.484375</v>
      </c>
      <c r="H50" s="93">
        <f t="shared" si="12"/>
        <v>0</v>
      </c>
      <c r="I50" s="233">
        <f t="shared" si="12"/>
        <v>0</v>
      </c>
      <c r="J50" s="93">
        <f t="shared" si="12"/>
        <v>0</v>
      </c>
      <c r="K50" s="93">
        <f t="shared" si="12"/>
        <v>0</v>
      </c>
      <c r="L50" s="93">
        <f t="shared" si="12"/>
        <v>0</v>
      </c>
      <c r="M50" s="93">
        <f t="shared" si="12"/>
        <v>0</v>
      </c>
      <c r="N50" s="93">
        <f t="shared" si="12"/>
        <v>0</v>
      </c>
    </row>
    <row r="51" spans="2:15" ht="12" customHeight="1">
      <c r="B51" s="60" t="s">
        <v>164</v>
      </c>
      <c r="C51" s="103" t="s">
        <v>205</v>
      </c>
      <c r="D51" s="120">
        <f>D50+D46</f>
        <v>4511.45</v>
      </c>
      <c r="E51" s="120">
        <f t="shared" ref="E51:M51" si="13">E50+E46</f>
        <v>4481.1539999999995</v>
      </c>
      <c r="F51" s="120">
        <f t="shared" si="13"/>
        <v>3737.6459999999997</v>
      </c>
      <c r="G51" s="120">
        <f t="shared" si="13"/>
        <v>3402.3563749999998</v>
      </c>
      <c r="H51" s="120">
        <f t="shared" si="13"/>
        <v>3338.2249999999999</v>
      </c>
      <c r="I51" s="233">
        <f t="shared" si="13"/>
        <v>3365.6699999999996</v>
      </c>
      <c r="J51" s="120">
        <f t="shared" si="13"/>
        <v>3447.13</v>
      </c>
      <c r="K51" s="120">
        <f t="shared" si="13"/>
        <v>3498.8369499999999</v>
      </c>
      <c r="L51" s="120">
        <f t="shared" si="13"/>
        <v>3568.8136890000001</v>
      </c>
      <c r="M51" s="120">
        <f t="shared" si="13"/>
        <v>3640.1899627800003</v>
      </c>
      <c r="N51" s="120">
        <f>N50+N46</f>
        <v>3712.9937620356004</v>
      </c>
    </row>
    <row r="52" spans="2:15" ht="12" customHeight="1">
      <c r="B52" s="121" t="s">
        <v>210</v>
      </c>
      <c r="C52" s="122" t="s">
        <v>205</v>
      </c>
      <c r="D52" s="123">
        <f>D43+D51</f>
        <v>48380.877500000002</v>
      </c>
      <c r="E52" s="123">
        <f t="shared" ref="E52:N52" si="14">E43+E51</f>
        <v>52851.214379746838</v>
      </c>
      <c r="F52" s="123">
        <f t="shared" si="14"/>
        <v>46837.458752293584</v>
      </c>
      <c r="G52" s="123">
        <f t="shared" si="14"/>
        <v>43467.532040465783</v>
      </c>
      <c r="H52" s="123">
        <f t="shared" si="14"/>
        <v>42432.799999999996</v>
      </c>
      <c r="I52" s="234">
        <f t="shared" si="14"/>
        <v>41756.621999999996</v>
      </c>
      <c r="J52" s="123">
        <f>J43+J51</f>
        <v>42231.098890069035</v>
      </c>
      <c r="K52" s="123">
        <f t="shared" si="14"/>
        <v>42992.722926616225</v>
      </c>
      <c r="L52" s="123">
        <f t="shared" si="14"/>
        <v>43962.94386102842</v>
      </c>
      <c r="M52" s="123">
        <f t="shared" si="14"/>
        <v>44956.209414440105</v>
      </c>
      <c r="N52" s="123">
        <f t="shared" si="14"/>
        <v>45973.049635803465</v>
      </c>
    </row>
    <row r="53" spans="2:15" ht="12" customHeight="1">
      <c r="B53" s="51"/>
      <c r="C53" s="124"/>
      <c r="D53" s="125"/>
      <c r="E53" s="125"/>
      <c r="F53" s="125"/>
      <c r="G53" s="125"/>
      <c r="H53" s="125"/>
      <c r="I53" s="235"/>
      <c r="J53" s="125"/>
      <c r="K53" s="125"/>
      <c r="L53" s="125"/>
      <c r="M53" s="125"/>
      <c r="N53" s="125"/>
    </row>
    <row r="54" spans="2:15" ht="12" customHeight="1">
      <c r="B54" s="72" t="s">
        <v>166</v>
      </c>
      <c r="C54" s="104"/>
      <c r="D54" s="73"/>
      <c r="E54" s="73"/>
      <c r="F54" s="73"/>
      <c r="G54" s="73"/>
      <c r="H54" s="73"/>
      <c r="I54" s="225"/>
      <c r="J54" s="73"/>
      <c r="K54" s="73"/>
      <c r="L54" s="73"/>
      <c r="M54" s="73"/>
      <c r="N54" s="73"/>
    </row>
    <row r="55" spans="2:15" ht="12" customHeight="1">
      <c r="B55" s="37" t="s">
        <v>167</v>
      </c>
      <c r="C55" s="37"/>
      <c r="D55" s="37"/>
      <c r="E55" s="37"/>
      <c r="F55" s="37"/>
      <c r="G55" s="37"/>
      <c r="H55" s="37"/>
      <c r="I55" s="236"/>
      <c r="J55" s="37"/>
      <c r="K55" s="37"/>
      <c r="L55" s="37"/>
      <c r="M55" s="37"/>
      <c r="N55" s="37"/>
      <c r="O55" s="53"/>
    </row>
    <row r="56" spans="2:15" ht="12" customHeight="1">
      <c r="B56" s="89" t="s">
        <v>74</v>
      </c>
      <c r="C56" s="103" t="s">
        <v>202</v>
      </c>
      <c r="D56" s="54">
        <f>'Business Segment Revenue'!F28/100</f>
        <v>0.11619156</v>
      </c>
      <c r="E56" s="54">
        <f>'Business Segment Revenue'!G28/100</f>
        <v>3.8100960000000003E-2</v>
      </c>
      <c r="F56" s="54">
        <f>'Business Segment Revenue'!H28/100</f>
        <v>-0.1206513</v>
      </c>
      <c r="G56" s="54">
        <f>'Business Segment Revenue'!I28/100</f>
        <v>-6.4960030000000002E-2</v>
      </c>
      <c r="H56" s="54">
        <f>'Business Segment Revenue'!J28/100</f>
        <v>1.0767230000000001E-2</v>
      </c>
      <c r="I56" s="237">
        <f>'Business Segment Revenue'!K28/100</f>
        <v>5.5296830000000005E-2</v>
      </c>
      <c r="J56" s="42">
        <f>Assumptions!B18</f>
        <v>0.02</v>
      </c>
      <c r="K56" s="42">
        <f>Assumptions!C18</f>
        <v>0.04</v>
      </c>
      <c r="L56" s="42">
        <f>Assumptions!D18</f>
        <v>0.03</v>
      </c>
      <c r="M56" s="42">
        <f>Assumptions!E18</f>
        <v>0.02</v>
      </c>
      <c r="N56" s="42">
        <f>Assumptions!F18</f>
        <v>0.02</v>
      </c>
    </row>
    <row r="57" spans="2:15" ht="12" customHeight="1">
      <c r="B57" s="89" t="s">
        <v>77</v>
      </c>
      <c r="C57" s="103" t="s">
        <v>202</v>
      </c>
      <c r="D57" s="54">
        <f>'Business Segment Revenue'!F29/100</f>
        <v>-5.6675099999999997E-3</v>
      </c>
      <c r="E57" s="54">
        <f>'Business Segment Revenue'!G29/100</f>
        <v>0.14017309999999999</v>
      </c>
      <c r="F57" s="54">
        <f>'Business Segment Revenue'!H29/100</f>
        <v>-0.13016109000000001</v>
      </c>
      <c r="G57" s="54">
        <f>'Business Segment Revenue'!I29/100</f>
        <v>-7.9821199999999995E-2</v>
      </c>
      <c r="H57" s="54">
        <f>'Business Segment Revenue'!J29/100</f>
        <v>-6.9704680000000005E-2</v>
      </c>
      <c r="I57" s="237">
        <f>'Business Segment Revenue'!K29/100</f>
        <v>-5.0145049999999997E-2</v>
      </c>
      <c r="J57" s="42">
        <f>Assumptions!B19</f>
        <v>-0.02</v>
      </c>
      <c r="K57" s="42">
        <f>Assumptions!C19</f>
        <v>1.4999999999999999E-2</v>
      </c>
      <c r="L57" s="42">
        <f>Assumptions!D19</f>
        <v>0.02</v>
      </c>
      <c r="M57" s="42">
        <f>Assumptions!E19</f>
        <v>0.02</v>
      </c>
      <c r="N57" s="42">
        <f>Assumptions!F19</f>
        <v>0.02</v>
      </c>
    </row>
    <row r="58" spans="2:15" ht="12" customHeight="1">
      <c r="B58" s="89" t="s">
        <v>80</v>
      </c>
      <c r="C58" s="103" t="s">
        <v>202</v>
      </c>
      <c r="D58" s="54">
        <f>'Business Segment Revenue'!F30/100</f>
        <v>0.22099792000000001</v>
      </c>
      <c r="E58" s="54">
        <f>'Business Segment Revenue'!G30/100</f>
        <v>0.22033032999999999</v>
      </c>
      <c r="F58" s="54">
        <f>'Business Segment Revenue'!H30/100</f>
        <v>-6.0136740000000001E-2</v>
      </c>
      <c r="G58" s="54">
        <f>'Business Segment Revenue'!I30/100</f>
        <v>-0.13836104000000002</v>
      </c>
      <c r="H58" s="54">
        <f>'Business Segment Revenue'!J30/100</f>
        <v>-0.15403171000000002</v>
      </c>
      <c r="I58" s="237">
        <f>'Business Segment Revenue'!K30/100</f>
        <v>-8.9816699999999999E-2</v>
      </c>
      <c r="J58" s="42">
        <f>Assumptions!B20</f>
        <v>-0.05</v>
      </c>
      <c r="K58" s="42">
        <f>Assumptions!C20</f>
        <v>0</v>
      </c>
      <c r="L58" s="42">
        <f>Assumptions!D20</f>
        <v>2.5000000000000001E-2</v>
      </c>
      <c r="M58" s="42">
        <f>Assumptions!E20</f>
        <v>0.03</v>
      </c>
      <c r="N58" s="42">
        <f>Assumptions!F20</f>
        <v>0.03</v>
      </c>
    </row>
    <row r="59" spans="2:15" ht="12" customHeight="1">
      <c r="B59" s="89" t="s">
        <v>83</v>
      </c>
      <c r="C59" s="103" t="s">
        <v>202</v>
      </c>
      <c r="D59" s="54">
        <f>'Business Segment Revenue'!F31/100</f>
        <v>0.18559877</v>
      </c>
      <c r="E59" s="54">
        <f>'Business Segment Revenue'!G31/100</f>
        <v>6.3657030000000003E-2</v>
      </c>
      <c r="F59" s="54">
        <f>'Business Segment Revenue'!H31/100</f>
        <v>-6.7786260000000001E-2</v>
      </c>
      <c r="G59" s="54">
        <f>'Business Segment Revenue'!I31/100</f>
        <v>0.10153947000000001</v>
      </c>
      <c r="H59" s="54">
        <f>'Business Segment Revenue'!J31/100</f>
        <v>-0.13529586999999998</v>
      </c>
      <c r="I59" s="237">
        <f>'Business Segment Revenue'!K31/100</f>
        <v>6.327373E-2</v>
      </c>
      <c r="J59" s="42">
        <f>Assumptions!B21</f>
        <v>0.03</v>
      </c>
      <c r="K59" s="42">
        <f>Assumptions!C21</f>
        <v>2.5000000000000001E-2</v>
      </c>
      <c r="L59" s="42">
        <f>Assumptions!D21</f>
        <v>0.02</v>
      </c>
      <c r="M59" s="42">
        <f>Assumptions!E21</f>
        <v>0.02</v>
      </c>
      <c r="N59" s="42">
        <f>Assumptions!F21</f>
        <v>0.02</v>
      </c>
    </row>
    <row r="60" spans="2:15" ht="12" customHeight="1">
      <c r="B60" s="89" t="s">
        <v>168</v>
      </c>
      <c r="C60" s="103" t="s">
        <v>202</v>
      </c>
      <c r="D60" s="54">
        <f>'Business Segment Revenue'!F32/100</f>
        <v>-3.1397849999999998E-2</v>
      </c>
      <c r="E60" s="54">
        <f>'Business Segment Revenue'!G32/100</f>
        <v>5.6838360000000004E-2</v>
      </c>
      <c r="F60" s="54">
        <f>'Business Segment Revenue'!H32/100</f>
        <v>-2.016807E-2</v>
      </c>
      <c r="G60" s="54">
        <f>'Business Segment Revenue'!I32/100</f>
        <v>8.4905659999999994E-2</v>
      </c>
      <c r="H60" s="54">
        <f>'Business Segment Revenue'!J32/100</f>
        <v>3.9920949999999997E-2</v>
      </c>
      <c r="I60" s="237">
        <f>'Business Segment Revenue'!K32/100</f>
        <v>9.5020899999999995E-3</v>
      </c>
      <c r="J60" s="42">
        <f>Assumptions!B22</f>
        <v>0.04</v>
      </c>
      <c r="K60" s="42">
        <f>Assumptions!C22</f>
        <v>0.05</v>
      </c>
      <c r="L60" s="42">
        <f>Assumptions!D22</f>
        <v>0.05</v>
      </c>
      <c r="M60" s="42">
        <f>Assumptions!E22</f>
        <v>0.04</v>
      </c>
      <c r="N60" s="42">
        <f>Assumptions!F22</f>
        <v>0.04</v>
      </c>
    </row>
    <row r="61" spans="2:15" ht="12" customHeight="1">
      <c r="B61" s="89" t="s">
        <v>169</v>
      </c>
      <c r="C61" s="103" t="s">
        <v>202</v>
      </c>
      <c r="D61" s="54">
        <f>'Business Segment Revenue'!F33/100</f>
        <v>-9.7674420000000012E-2</v>
      </c>
      <c r="E61" s="54">
        <f>'Business Segment Revenue'!G33/100</f>
        <v>0.32989689</v>
      </c>
      <c r="F61" s="54">
        <f>'Business Segment Revenue'!H33/100</f>
        <v>0.22868217000000002</v>
      </c>
      <c r="G61" s="54">
        <f>'Business Segment Revenue'!I33/100</f>
        <v>-4.1009460000000005E-2</v>
      </c>
      <c r="H61" s="54">
        <f>'Business Segment Revenue'!J33/100</f>
        <v>9.5394740000000006E-2</v>
      </c>
      <c r="I61" s="237">
        <f>'Business Segment Revenue'!K33/100</f>
        <v>-9.9099099999999996E-2</v>
      </c>
      <c r="J61" s="42">
        <f>Assumptions!B23</f>
        <v>0.08</v>
      </c>
      <c r="K61" s="42">
        <f>Assumptions!C23</f>
        <v>0.1</v>
      </c>
      <c r="L61" s="42">
        <f>Assumptions!D23</f>
        <v>0.08</v>
      </c>
      <c r="M61" s="42">
        <f>Assumptions!E23</f>
        <v>0.06</v>
      </c>
      <c r="N61" s="42">
        <f>Assumptions!F23</f>
        <v>0.05</v>
      </c>
    </row>
    <row r="62" spans="2:15" ht="12" customHeight="1">
      <c r="B62" s="37" t="s">
        <v>211</v>
      </c>
      <c r="C62" s="37"/>
      <c r="D62" s="37"/>
      <c r="E62" s="37"/>
      <c r="F62" s="37"/>
      <c r="G62" s="37"/>
      <c r="H62" s="37"/>
      <c r="I62" s="236"/>
      <c r="J62" s="37"/>
      <c r="K62" s="37"/>
      <c r="L62" s="37"/>
      <c r="M62" s="37"/>
      <c r="N62" s="37"/>
    </row>
    <row r="63" spans="2:15" ht="12" customHeight="1">
      <c r="B63" s="89" t="s">
        <v>74</v>
      </c>
      <c r="C63" s="103" t="s">
        <v>205</v>
      </c>
      <c r="D63" s="48">
        <f>'Business Segment Revenue'!F5</f>
        <v>21653</v>
      </c>
      <c r="E63" s="48">
        <f>'Business Segment Revenue'!G5</f>
        <v>22478</v>
      </c>
      <c r="F63" s="48">
        <f>'Business Segment Revenue'!H5</f>
        <v>19766</v>
      </c>
      <c r="G63" s="48">
        <f>'Business Segment Revenue'!I5</f>
        <v>18482</v>
      </c>
      <c r="H63" s="48">
        <f>'Business Segment Revenue'!J5</f>
        <v>18681</v>
      </c>
      <c r="I63" s="238">
        <f>'Business Segment Revenue'!K5</f>
        <v>19714</v>
      </c>
      <c r="J63" s="44">
        <f t="shared" ref="J63:N68" si="15">I63*(1+J56)</f>
        <v>20108.28</v>
      </c>
      <c r="K63" s="44">
        <f t="shared" si="15"/>
        <v>20912.611199999999</v>
      </c>
      <c r="L63" s="44">
        <f t="shared" si="15"/>
        <v>21539.989536000001</v>
      </c>
      <c r="M63" s="44">
        <f t="shared" si="15"/>
        <v>21970.789326720002</v>
      </c>
      <c r="N63" s="44">
        <f t="shared" si="15"/>
        <v>22410.2051132544</v>
      </c>
    </row>
    <row r="64" spans="2:15" ht="12" customHeight="1">
      <c r="B64" s="89" t="s">
        <v>77</v>
      </c>
      <c r="C64" s="103" t="s">
        <v>205</v>
      </c>
      <c r="D64" s="48">
        <f>'Business Segment Revenue'!F6</f>
        <v>14211</v>
      </c>
      <c r="E64" s="48">
        <f>'Business Segment Revenue'!G6</f>
        <v>16203</v>
      </c>
      <c r="F64" s="48">
        <f>'Business Segment Revenue'!H6</f>
        <v>14094</v>
      </c>
      <c r="G64" s="48">
        <f>'Business Segment Revenue'!I6</f>
        <v>12969</v>
      </c>
      <c r="H64" s="48">
        <f>'Business Segment Revenue'!J6</f>
        <v>12065</v>
      </c>
      <c r="I64" s="238">
        <f>'Business Segment Revenue'!K6</f>
        <v>11460</v>
      </c>
      <c r="J64" s="44">
        <f t="shared" si="15"/>
        <v>11230.8</v>
      </c>
      <c r="K64" s="44">
        <f t="shared" si="15"/>
        <v>11399.261999999999</v>
      </c>
      <c r="L64" s="44">
        <f t="shared" si="15"/>
        <v>11627.247239999999</v>
      </c>
      <c r="M64" s="44">
        <f t="shared" si="15"/>
        <v>11859.792184799999</v>
      </c>
      <c r="N64" s="44">
        <f t="shared" si="15"/>
        <v>12096.988028495998</v>
      </c>
    </row>
    <row r="65" spans="2:14" ht="12" customHeight="1">
      <c r="B65" s="89" t="s">
        <v>80</v>
      </c>
      <c r="C65" s="103" t="s">
        <v>205</v>
      </c>
      <c r="D65" s="48">
        <f>'Business Segment Revenue'!F7</f>
        <v>5873</v>
      </c>
      <c r="E65" s="48">
        <f>'Business Segment Revenue'!G7</f>
        <v>7167</v>
      </c>
      <c r="F65" s="48">
        <f>'Business Segment Revenue'!H7</f>
        <v>6736</v>
      </c>
      <c r="G65" s="48">
        <f>'Business Segment Revenue'!I7</f>
        <v>5804</v>
      </c>
      <c r="H65" s="48">
        <f>'Business Segment Revenue'!J7</f>
        <v>4910</v>
      </c>
      <c r="I65" s="238">
        <f>'Business Segment Revenue'!K7</f>
        <v>4469</v>
      </c>
      <c r="J65" s="44">
        <f t="shared" si="15"/>
        <v>4245.55</v>
      </c>
      <c r="K65" s="44">
        <f t="shared" si="15"/>
        <v>4245.55</v>
      </c>
      <c r="L65" s="44">
        <f t="shared" si="15"/>
        <v>4351.6887500000003</v>
      </c>
      <c r="M65" s="44">
        <f t="shared" si="15"/>
        <v>4482.2394125000001</v>
      </c>
      <c r="N65" s="44">
        <f t="shared" si="15"/>
        <v>4616.7065948750005</v>
      </c>
    </row>
    <row r="66" spans="2:14" ht="12" customHeight="1">
      <c r="B66" s="89" t="s">
        <v>83</v>
      </c>
      <c r="C66" s="103" t="s">
        <v>205</v>
      </c>
      <c r="D66" s="48">
        <f>'Business Segment Revenue'!F8</f>
        <v>3079</v>
      </c>
      <c r="E66" s="48">
        <f>'Business Segment Revenue'!G8</f>
        <v>3275</v>
      </c>
      <c r="F66" s="48">
        <f>'Business Segment Revenue'!H8</f>
        <v>3053</v>
      </c>
      <c r="G66" s="48">
        <f>'Business Segment Revenue'!I8</f>
        <v>3363</v>
      </c>
      <c r="H66" s="48">
        <f>'Business Segment Revenue'!J8</f>
        <v>2908</v>
      </c>
      <c r="I66" s="238">
        <f>'Business Segment Revenue'!K8</f>
        <v>3092</v>
      </c>
      <c r="J66" s="44">
        <f t="shared" si="15"/>
        <v>3184.76</v>
      </c>
      <c r="K66" s="44">
        <f t="shared" si="15"/>
        <v>3264.3789999999999</v>
      </c>
      <c r="L66" s="44">
        <f t="shared" si="15"/>
        <v>3329.6665800000001</v>
      </c>
      <c r="M66" s="44">
        <f t="shared" si="15"/>
        <v>3396.2599116000001</v>
      </c>
      <c r="N66" s="44">
        <f t="shared" si="15"/>
        <v>3464.1851098320003</v>
      </c>
    </row>
    <row r="67" spans="2:14" ht="12" customHeight="1">
      <c r="B67" s="89" t="s">
        <v>168</v>
      </c>
      <c r="C67" s="103" t="s">
        <v>205</v>
      </c>
      <c r="D67" s="48">
        <f>'Business Segment Revenue'!F9</f>
        <v>2252</v>
      </c>
      <c r="E67" s="48">
        <f>'Business Segment Revenue'!G9</f>
        <v>2380</v>
      </c>
      <c r="F67" s="48">
        <f>'Business Segment Revenue'!H9</f>
        <v>2332</v>
      </c>
      <c r="G67" s="48">
        <f>'Business Segment Revenue'!I9</f>
        <v>2530</v>
      </c>
      <c r="H67" s="48">
        <f>'Business Segment Revenue'!J9</f>
        <v>2631</v>
      </c>
      <c r="I67" s="238">
        <f>'Business Segment Revenue'!K9</f>
        <v>2656</v>
      </c>
      <c r="J67" s="44">
        <f t="shared" si="15"/>
        <v>2762.2400000000002</v>
      </c>
      <c r="K67" s="44">
        <f t="shared" si="15"/>
        <v>2900.3520000000003</v>
      </c>
      <c r="L67" s="44">
        <f t="shared" si="15"/>
        <v>3045.3696000000004</v>
      </c>
      <c r="M67" s="44">
        <f t="shared" si="15"/>
        <v>3167.1843840000006</v>
      </c>
      <c r="N67" s="44">
        <f t="shared" si="15"/>
        <v>3293.8717593600009</v>
      </c>
    </row>
    <row r="68" spans="2:14" ht="12" customHeight="1">
      <c r="B68" s="89" t="s">
        <v>169</v>
      </c>
      <c r="C68" s="103" t="s">
        <v>205</v>
      </c>
      <c r="D68" s="48">
        <f>'Business Segment Revenue'!F10</f>
        <v>194</v>
      </c>
      <c r="E68" s="48">
        <f>'Business Segment Revenue'!G10</f>
        <v>258</v>
      </c>
      <c r="F68" s="48">
        <f>'Business Segment Revenue'!H10</f>
        <v>317</v>
      </c>
      <c r="G68" s="48">
        <f>'Business Segment Revenue'!I10</f>
        <v>304</v>
      </c>
      <c r="H68" s="48">
        <f>'Business Segment Revenue'!J10</f>
        <v>333</v>
      </c>
      <c r="I68" s="238">
        <f>'Business Segment Revenue'!K10</f>
        <v>300</v>
      </c>
      <c r="J68" s="44">
        <f t="shared" si="15"/>
        <v>324</v>
      </c>
      <c r="K68" s="44">
        <f t="shared" si="15"/>
        <v>356.40000000000003</v>
      </c>
      <c r="L68" s="44">
        <f t="shared" si="15"/>
        <v>384.91200000000003</v>
      </c>
      <c r="M68" s="44">
        <f t="shared" si="15"/>
        <v>408.00672000000003</v>
      </c>
      <c r="N68" s="44">
        <f t="shared" si="15"/>
        <v>428.40705600000007</v>
      </c>
    </row>
    <row r="69" spans="2:14" ht="12" customHeight="1">
      <c r="B69" s="121" t="s">
        <v>171</v>
      </c>
      <c r="C69" s="126" t="s">
        <v>205</v>
      </c>
      <c r="D69" s="127">
        <f>SUM(D63:D68)</f>
        <v>47262</v>
      </c>
      <c r="E69" s="127">
        <f t="shared" ref="E69:M69" si="16">SUM(E63:E68)</f>
        <v>51761</v>
      </c>
      <c r="F69" s="127">
        <f t="shared" si="16"/>
        <v>46298</v>
      </c>
      <c r="G69" s="127">
        <f t="shared" si="16"/>
        <v>43452</v>
      </c>
      <c r="H69" s="127">
        <f t="shared" si="16"/>
        <v>41528</v>
      </c>
      <c r="I69" s="239">
        <f t="shared" si="16"/>
        <v>41691</v>
      </c>
      <c r="J69" s="127">
        <f t="shared" si="16"/>
        <v>41855.629999999997</v>
      </c>
      <c r="K69" s="127">
        <f t="shared" si="16"/>
        <v>43078.554199999999</v>
      </c>
      <c r="L69" s="127">
        <f t="shared" si="16"/>
        <v>44278.873705999991</v>
      </c>
      <c r="M69" s="127">
        <f t="shared" si="16"/>
        <v>45284.271939619997</v>
      </c>
      <c r="N69" s="127">
        <f>SUM(N63:N68)</f>
        <v>46310.363661817399</v>
      </c>
    </row>
    <row r="70" spans="2:14">
      <c r="I70" s="220"/>
    </row>
    <row r="71" spans="2:14" ht="12" customHeight="1">
      <c r="B71" s="37" t="s">
        <v>172</v>
      </c>
      <c r="C71" s="37"/>
      <c r="D71" s="37"/>
      <c r="E71" s="37"/>
      <c r="F71" s="37"/>
      <c r="G71" s="37"/>
      <c r="H71" s="37"/>
      <c r="I71" s="236"/>
      <c r="J71" s="37"/>
      <c r="K71" s="37"/>
      <c r="L71" s="37"/>
      <c r="M71" s="37"/>
      <c r="N71" s="37"/>
    </row>
    <row r="72" spans="2:14" ht="12" customHeight="1">
      <c r="B72" s="89" t="s">
        <v>74</v>
      </c>
      <c r="C72" s="103" t="s">
        <v>202</v>
      </c>
      <c r="D72" s="47">
        <f>D63/D69</f>
        <v>0.45814819516736488</v>
      </c>
      <c r="E72" s="47">
        <f t="shared" ref="E72:N72" si="17">E63/E69</f>
        <v>0.43426518034813855</v>
      </c>
      <c r="F72" s="47">
        <f t="shared" si="17"/>
        <v>0.42692988898008555</v>
      </c>
      <c r="G72" s="47">
        <f t="shared" si="17"/>
        <v>0.42534290711589801</v>
      </c>
      <c r="H72" s="47">
        <f t="shared" si="17"/>
        <v>0.44984107108456944</v>
      </c>
      <c r="I72" s="240">
        <f t="shared" si="17"/>
        <v>0.47285984984768897</v>
      </c>
      <c r="J72" s="47">
        <f t="shared" si="17"/>
        <v>0.48041995784079705</v>
      </c>
      <c r="K72" s="47">
        <f t="shared" si="17"/>
        <v>0.48545294957925955</v>
      </c>
      <c r="L72" s="47">
        <f t="shared" si="17"/>
        <v>0.4864620016990458</v>
      </c>
      <c r="M72" s="47">
        <f t="shared" si="17"/>
        <v>0.4851748385402963</v>
      </c>
      <c r="N72" s="47">
        <f t="shared" si="17"/>
        <v>0.48391339089680852</v>
      </c>
    </row>
    <row r="73" spans="2:14" ht="12" customHeight="1">
      <c r="B73" s="89" t="s">
        <v>77</v>
      </c>
      <c r="C73" s="103" t="s">
        <v>202</v>
      </c>
      <c r="D73" s="47">
        <f>D64/D69</f>
        <v>0.30068554018027166</v>
      </c>
      <c r="E73" s="47">
        <f t="shared" ref="E73:N73" si="18">E64/E69</f>
        <v>0.31303491045381659</v>
      </c>
      <c r="F73" s="47">
        <f t="shared" si="18"/>
        <v>0.30441919737353668</v>
      </c>
      <c r="G73" s="47">
        <f t="shared" si="18"/>
        <v>0.29846727423363711</v>
      </c>
      <c r="H73" s="47">
        <f t="shared" si="18"/>
        <v>0.290526873434791</v>
      </c>
      <c r="I73" s="240">
        <f t="shared" si="18"/>
        <v>0.27487947038929267</v>
      </c>
      <c r="J73" s="47">
        <f t="shared" si="18"/>
        <v>0.26832232605267203</v>
      </c>
      <c r="K73" s="47">
        <f t="shared" si="18"/>
        <v>0.26461570523181577</v>
      </c>
      <c r="L73" s="47">
        <f t="shared" si="18"/>
        <v>0.26259130521706231</v>
      </c>
      <c r="M73" s="47">
        <f t="shared" si="18"/>
        <v>0.26189649688115357</v>
      </c>
      <c r="N73" s="47">
        <f t="shared" si="18"/>
        <v>0.26121556973368981</v>
      </c>
    </row>
    <row r="74" spans="2:14" ht="12" customHeight="1">
      <c r="B74" s="89" t="s">
        <v>80</v>
      </c>
      <c r="C74" s="103" t="s">
        <v>202</v>
      </c>
      <c r="D74" s="47">
        <f t="shared" ref="D74:N74" si="19">D65/D69</f>
        <v>0.12426473699801109</v>
      </c>
      <c r="E74" s="47">
        <f t="shared" si="19"/>
        <v>0.13846332180599294</v>
      </c>
      <c r="F74" s="47">
        <f t="shared" si="19"/>
        <v>0.14549224588535142</v>
      </c>
      <c r="G74" s="47">
        <f t="shared" si="19"/>
        <v>0.13357267789745006</v>
      </c>
      <c r="H74" s="47">
        <f t="shared" si="19"/>
        <v>0.11823348102485071</v>
      </c>
      <c r="I74" s="240">
        <f t="shared" si="19"/>
        <v>0.10719339905495191</v>
      </c>
      <c r="J74" s="47">
        <f t="shared" si="19"/>
        <v>0.10143318831899079</v>
      </c>
      <c r="K74" s="47">
        <f t="shared" si="19"/>
        <v>9.8553678944034759E-2</v>
      </c>
      <c r="L74" s="47">
        <f t="shared" si="19"/>
        <v>9.8279120171259601E-2</v>
      </c>
      <c r="M74" s="47">
        <f t="shared" si="19"/>
        <v>9.8980048050157809E-2</v>
      </c>
      <c r="N74" s="47">
        <f t="shared" si="19"/>
        <v>9.9690570961364439E-2</v>
      </c>
    </row>
    <row r="75" spans="2:14" ht="12" customHeight="1">
      <c r="B75" s="89" t="s">
        <v>83</v>
      </c>
      <c r="C75" s="103" t="s">
        <v>202</v>
      </c>
      <c r="D75" s="47">
        <f t="shared" ref="D75:N75" si="20">D66/D69</f>
        <v>6.5147475773348562E-2</v>
      </c>
      <c r="E75" s="47">
        <f t="shared" si="20"/>
        <v>6.3271575124128204E-2</v>
      </c>
      <c r="F75" s="47">
        <f t="shared" si="20"/>
        <v>6.5942373320661801E-2</v>
      </c>
      <c r="G75" s="47">
        <f t="shared" si="20"/>
        <v>7.7395747031206844E-2</v>
      </c>
      <c r="H75" s="47">
        <f t="shared" si="20"/>
        <v>7.0025043344249666E-2</v>
      </c>
      <c r="I75" s="240">
        <f t="shared" si="20"/>
        <v>7.4164687822311767E-2</v>
      </c>
      <c r="J75" s="47">
        <f t="shared" si="20"/>
        <v>7.6089166499226035E-2</v>
      </c>
      <c r="K75" s="47">
        <f t="shared" si="20"/>
        <v>7.5777357449011137E-2</v>
      </c>
      <c r="L75" s="47">
        <f t="shared" si="20"/>
        <v>7.519763492874966E-2</v>
      </c>
      <c r="M75" s="47">
        <f t="shared" si="20"/>
        <v>7.4998664351464447E-2</v>
      </c>
      <c r="N75" s="47">
        <f t="shared" si="20"/>
        <v>7.4803668896433195E-2</v>
      </c>
    </row>
    <row r="76" spans="2:14" ht="12" customHeight="1">
      <c r="B76" s="89" t="s">
        <v>168</v>
      </c>
      <c r="C76" s="103" t="s">
        <v>202</v>
      </c>
      <c r="D76" s="47">
        <f t="shared" ref="D76:N76" si="21">D67/D69</f>
        <v>4.7649274258389406E-2</v>
      </c>
      <c r="E76" s="47">
        <f t="shared" si="21"/>
        <v>4.5980564517687061E-2</v>
      </c>
      <c r="F76" s="47">
        <f t="shared" si="21"/>
        <v>5.0369346408052185E-2</v>
      </c>
      <c r="G76" s="47">
        <f t="shared" si="21"/>
        <v>5.8225168001472892E-2</v>
      </c>
      <c r="H76" s="47">
        <f t="shared" si="21"/>
        <v>6.3354844923906764E-2</v>
      </c>
      <c r="I76" s="240">
        <f t="shared" si="21"/>
        <v>6.3706795231584748E-2</v>
      </c>
      <c r="J76" s="47">
        <f t="shared" si="21"/>
        <v>6.5994467172038759E-2</v>
      </c>
      <c r="K76" s="47">
        <f t="shared" si="21"/>
        <v>6.7327050637182251E-2</v>
      </c>
      <c r="L76" s="47">
        <f t="shared" si="21"/>
        <v>6.8777033946717997E-2</v>
      </c>
      <c r="M76" s="47">
        <f t="shared" si="21"/>
        <v>6.9940053098854746E-2</v>
      </c>
      <c r="N76" s="47">
        <f t="shared" si="21"/>
        <v>7.1126017999201707E-2</v>
      </c>
    </row>
    <row r="77" spans="2:14" ht="12" customHeight="1">
      <c r="B77" s="128" t="s">
        <v>169</v>
      </c>
      <c r="C77" s="106" t="s">
        <v>202</v>
      </c>
      <c r="D77" s="129">
        <f t="shared" ref="D77:N77" si="22">D68/D69</f>
        <v>4.1047776226143624E-3</v>
      </c>
      <c r="E77" s="129">
        <f t="shared" si="22"/>
        <v>4.9844477502366648E-3</v>
      </c>
      <c r="F77" s="129">
        <f t="shared" si="22"/>
        <v>6.8469480323124108E-3</v>
      </c>
      <c r="G77" s="129">
        <f t="shared" si="22"/>
        <v>6.9962257203350824E-3</v>
      </c>
      <c r="H77" s="129">
        <f t="shared" si="22"/>
        <v>8.0186861876324414E-3</v>
      </c>
      <c r="I77" s="241">
        <f t="shared" si="22"/>
        <v>7.195797654169965E-3</v>
      </c>
      <c r="J77" s="129">
        <f t="shared" si="22"/>
        <v>7.7408941162753972E-3</v>
      </c>
      <c r="K77" s="129">
        <f t="shared" si="22"/>
        <v>8.2732581586965163E-3</v>
      </c>
      <c r="L77" s="129">
        <f t="shared" si="22"/>
        <v>8.6929040371648541E-3</v>
      </c>
      <c r="M77" s="129">
        <f t="shared" si="22"/>
        <v>9.0098990780732389E-3</v>
      </c>
      <c r="N77" s="129">
        <f t="shared" si="22"/>
        <v>9.2507815125023301E-3</v>
      </c>
    </row>
    <row r="78" spans="2:14">
      <c r="I78" s="220"/>
    </row>
    <row r="79" spans="2:14">
      <c r="B79" s="72" t="s">
        <v>212</v>
      </c>
      <c r="C79" s="72"/>
      <c r="D79" s="72"/>
      <c r="E79" s="72"/>
      <c r="F79" s="72"/>
      <c r="G79" s="72"/>
      <c r="H79" s="72"/>
      <c r="I79" s="242"/>
      <c r="J79" s="72"/>
      <c r="K79" s="72"/>
      <c r="L79" s="72"/>
      <c r="M79" s="72"/>
      <c r="N79" s="72"/>
    </row>
    <row r="80" spans="2:14" ht="12" customHeight="1">
      <c r="B80" s="37" t="s">
        <v>173</v>
      </c>
      <c r="C80" s="37"/>
      <c r="D80" s="37"/>
      <c r="E80" s="37"/>
      <c r="F80" s="37"/>
      <c r="G80" s="37"/>
      <c r="H80" s="37"/>
      <c r="I80" s="236"/>
      <c r="J80" s="37"/>
      <c r="K80" s="37"/>
      <c r="L80" s="37"/>
      <c r="M80" s="37"/>
      <c r="N80" s="37"/>
    </row>
    <row r="81" spans="2:14" ht="12" customHeight="1">
      <c r="B81" s="50" t="s">
        <v>174</v>
      </c>
      <c r="C81" s="103" t="s">
        <v>205</v>
      </c>
      <c r="D81" s="88">
        <f>D69</f>
        <v>47262</v>
      </c>
      <c r="E81" s="88">
        <f t="shared" ref="E81:N81" si="23">E69</f>
        <v>51761</v>
      </c>
      <c r="F81" s="88">
        <f t="shared" si="23"/>
        <v>46298</v>
      </c>
      <c r="G81" s="88">
        <f t="shared" si="23"/>
        <v>43452</v>
      </c>
      <c r="H81" s="88">
        <f t="shared" si="23"/>
        <v>41528</v>
      </c>
      <c r="I81" s="222">
        <f t="shared" si="23"/>
        <v>41691</v>
      </c>
      <c r="J81" s="88">
        <f t="shared" si="23"/>
        <v>41855.629999999997</v>
      </c>
      <c r="K81" s="88">
        <f t="shared" si="23"/>
        <v>43078.554199999999</v>
      </c>
      <c r="L81" s="88">
        <f t="shared" si="23"/>
        <v>44278.873705999991</v>
      </c>
      <c r="M81" s="88">
        <f t="shared" si="23"/>
        <v>45284.271939619997</v>
      </c>
      <c r="N81" s="88">
        <f t="shared" si="23"/>
        <v>46310.363661817399</v>
      </c>
    </row>
    <row r="82" spans="2:14" ht="12" customHeight="1">
      <c r="B82" s="36" t="s">
        <v>175</v>
      </c>
      <c r="C82" s="103" t="s">
        <v>205</v>
      </c>
      <c r="D82" s="87">
        <f t="shared" ref="D82:N82" si="24">D43+D51</f>
        <v>48380.877500000002</v>
      </c>
      <c r="E82" s="87">
        <f t="shared" si="24"/>
        <v>52851.214379746838</v>
      </c>
      <c r="F82" s="87">
        <f t="shared" si="24"/>
        <v>46837.458752293584</v>
      </c>
      <c r="G82" s="87">
        <f t="shared" si="24"/>
        <v>43467.532040465783</v>
      </c>
      <c r="H82" s="87">
        <f t="shared" si="24"/>
        <v>42432.799999999996</v>
      </c>
      <c r="I82" s="228">
        <f t="shared" si="24"/>
        <v>41756.621999999996</v>
      </c>
      <c r="J82" s="87">
        <f t="shared" si="24"/>
        <v>42231.098890069035</v>
      </c>
      <c r="K82" s="87">
        <f t="shared" si="24"/>
        <v>42992.722926616225</v>
      </c>
      <c r="L82" s="87">
        <f t="shared" si="24"/>
        <v>43962.94386102842</v>
      </c>
      <c r="M82" s="87">
        <f t="shared" si="24"/>
        <v>44956.209414440105</v>
      </c>
      <c r="N82" s="87">
        <f t="shared" si="24"/>
        <v>45973.049635803465</v>
      </c>
    </row>
    <row r="83" spans="2:14" ht="12" customHeight="1">
      <c r="B83" s="50" t="s">
        <v>176</v>
      </c>
      <c r="C83" s="103" t="s">
        <v>205</v>
      </c>
      <c r="D83" s="88">
        <f t="shared" ref="D83:N83" si="25">D82-D81</f>
        <v>1118.8775000000023</v>
      </c>
      <c r="E83" s="88">
        <f t="shared" si="25"/>
        <v>1090.2143797468379</v>
      </c>
      <c r="F83" s="88">
        <f t="shared" si="25"/>
        <v>539.45875229358353</v>
      </c>
      <c r="G83" s="88">
        <f t="shared" si="25"/>
        <v>15.532040465783211</v>
      </c>
      <c r="H83" s="88">
        <f t="shared" si="25"/>
        <v>904.79999999999563</v>
      </c>
      <c r="I83" s="222">
        <f t="shared" si="25"/>
        <v>65.621999999995751</v>
      </c>
      <c r="J83" s="88">
        <f t="shared" si="25"/>
        <v>375.46889006903803</v>
      </c>
      <c r="K83" s="88">
        <f t="shared" si="25"/>
        <v>-85.831273383773805</v>
      </c>
      <c r="L83" s="88">
        <f t="shared" si="25"/>
        <v>-315.92984497157158</v>
      </c>
      <c r="M83" s="88">
        <f t="shared" si="25"/>
        <v>-328.06252517989196</v>
      </c>
      <c r="N83" s="88">
        <f t="shared" si="25"/>
        <v>-337.31402601393347</v>
      </c>
    </row>
    <row r="84" spans="2:14" ht="12" customHeight="1">
      <c r="B84" s="55" t="s">
        <v>177</v>
      </c>
      <c r="C84" s="130" t="s">
        <v>202</v>
      </c>
      <c r="D84" s="131">
        <f t="shared" ref="D84:N84" si="26">IFERROR(D83/D81,0)</f>
        <v>2.3673934662096448E-2</v>
      </c>
      <c r="E84" s="131">
        <f t="shared" si="26"/>
        <v>2.1062467489941037E-2</v>
      </c>
      <c r="F84" s="131">
        <f t="shared" si="26"/>
        <v>1.1651880260347823E-2</v>
      </c>
      <c r="G84" s="131">
        <f t="shared" si="26"/>
        <v>3.5745283222367698E-4</v>
      </c>
      <c r="H84" s="131">
        <f t="shared" si="26"/>
        <v>2.1787709497206598E-2</v>
      </c>
      <c r="I84" s="243">
        <f t="shared" si="26"/>
        <v>1.5740087788730362E-3</v>
      </c>
      <c r="J84" s="131">
        <f t="shared" si="26"/>
        <v>8.9705707468514528E-3</v>
      </c>
      <c r="K84" s="131">
        <f t="shared" si="26"/>
        <v>-1.9924362592413512E-3</v>
      </c>
      <c r="L84" s="131">
        <f t="shared" si="26"/>
        <v>-7.1350018311048778E-3</v>
      </c>
      <c r="M84" s="131">
        <f t="shared" si="26"/>
        <v>-7.2445136275419361E-3</v>
      </c>
      <c r="N84" s="131">
        <f t="shared" si="26"/>
        <v>-7.2837697513493454E-3</v>
      </c>
    </row>
    <row r="85" spans="2:14">
      <c r="I85" s="220"/>
    </row>
    <row r="86" spans="2:14">
      <c r="B86" s="36" t="s">
        <v>213</v>
      </c>
      <c r="D86" s="191">
        <f t="shared" ref="D86:N86" si="27">D51/D52</f>
        <v>9.324861873371354E-2</v>
      </c>
      <c r="E86" s="192">
        <f t="shared" si="27"/>
        <v>8.4788099054867255E-2</v>
      </c>
      <c r="F86" s="192">
        <f t="shared" si="27"/>
        <v>7.9800358507216645E-2</v>
      </c>
      <c r="G86" s="192">
        <f t="shared" si="27"/>
        <v>7.8273511636975407E-2</v>
      </c>
      <c r="H86" s="192">
        <f t="shared" si="27"/>
        <v>7.8670863105899214E-2</v>
      </c>
      <c r="I86" s="244">
        <f t="shared" si="27"/>
        <v>8.0602065942977863E-2</v>
      </c>
      <c r="J86" s="192">
        <f t="shared" si="27"/>
        <v>8.1625391964655195E-2</v>
      </c>
      <c r="K86" s="192">
        <f t="shared" si="27"/>
        <v>8.138207379821287E-2</v>
      </c>
      <c r="L86" s="192">
        <f t="shared" si="27"/>
        <v>8.1177768719979324E-2</v>
      </c>
      <c r="M86" s="192">
        <f t="shared" si="27"/>
        <v>8.0971905999057778E-2</v>
      </c>
      <c r="N86" s="192">
        <f t="shared" si="27"/>
        <v>8.0764573841626303E-2</v>
      </c>
    </row>
    <row r="87" spans="2:14">
      <c r="B87" s="36" t="s">
        <v>214</v>
      </c>
      <c r="D87" s="192">
        <f t="shared" ref="D87:N87" si="28">D43/D52</f>
        <v>0.90675138126628652</v>
      </c>
      <c r="E87" s="192">
        <f t="shared" si="28"/>
        <v>0.91521190094513272</v>
      </c>
      <c r="F87" s="192">
        <f t="shared" si="28"/>
        <v>0.92019964149278333</v>
      </c>
      <c r="G87" s="192">
        <f t="shared" si="28"/>
        <v>0.92172648836302451</v>
      </c>
      <c r="H87" s="192">
        <f t="shared" si="28"/>
        <v>0.92132913689410079</v>
      </c>
      <c r="I87" s="244">
        <f t="shared" si="28"/>
        <v>0.91939793405702219</v>
      </c>
      <c r="J87" s="192">
        <f t="shared" si="28"/>
        <v>0.91837460803534487</v>
      </c>
      <c r="K87" s="192">
        <f t="shared" si="28"/>
        <v>0.91861792620178717</v>
      </c>
      <c r="L87" s="192">
        <f t="shared" si="28"/>
        <v>0.91882223128002061</v>
      </c>
      <c r="M87" s="192">
        <f t="shared" si="28"/>
        <v>0.91902809400094221</v>
      </c>
      <c r="N87" s="192">
        <f t="shared" si="28"/>
        <v>0.91923542615837373</v>
      </c>
    </row>
  </sheetData>
  <mergeCells count="1">
    <mergeCell ref="B1:M1"/>
  </mergeCells>
  <pageMargins left="0.7" right="0.7" top="0.75" bottom="0.75" header="0.511811023622047" footer="0.511811023622047"/>
  <pageSetup paperSize="9" orientation="portrait" horizontalDpi="300" verticalDpi="300"/>
  <legacy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2"/>
  </sheetPr>
  <dimension ref="A1:K33"/>
  <sheetViews>
    <sheetView showGridLines="0" zoomScaleNormal="100" workbookViewId="0">
      <selection activeCell="A6" sqref="A6"/>
    </sheetView>
  </sheetViews>
  <sheetFormatPr baseColWidth="10" defaultColWidth="8.5" defaultRowHeight="13"/>
  <cols>
    <col min="1" max="1" width="28.5" customWidth="1"/>
  </cols>
  <sheetData>
    <row r="1" spans="1:11" ht="12.75" customHeight="1">
      <c r="A1" s="1" t="s">
        <v>180</v>
      </c>
    </row>
    <row r="2" spans="1:11" ht="12.75" customHeight="1">
      <c r="A2" s="2"/>
      <c r="B2" s="2" t="s">
        <v>181</v>
      </c>
      <c r="C2" s="2" t="s">
        <v>182</v>
      </c>
      <c r="D2" s="2" t="s">
        <v>183</v>
      </c>
      <c r="E2" s="2" t="s">
        <v>184</v>
      </c>
      <c r="F2" s="2" t="s">
        <v>185</v>
      </c>
      <c r="G2" s="2" t="s">
        <v>186</v>
      </c>
      <c r="H2" s="2" t="s">
        <v>187</v>
      </c>
      <c r="I2" s="2" t="s">
        <v>188</v>
      </c>
      <c r="J2" s="2" t="s">
        <v>189</v>
      </c>
      <c r="K2" s="2" t="s">
        <v>190</v>
      </c>
    </row>
    <row r="3" spans="1:11" ht="12.75" customHeight="1">
      <c r="A3" s="3"/>
      <c r="B3" s="2" t="s">
        <v>191</v>
      </c>
      <c r="C3" s="2" t="s">
        <v>192</v>
      </c>
      <c r="D3" s="2" t="s">
        <v>191</v>
      </c>
      <c r="E3" s="2" t="s">
        <v>191</v>
      </c>
      <c r="F3" s="2" t="s">
        <v>191</v>
      </c>
      <c r="G3" s="2" t="s">
        <v>191</v>
      </c>
      <c r="H3" s="2" t="s">
        <v>191</v>
      </c>
      <c r="I3" s="2" t="s">
        <v>192</v>
      </c>
      <c r="J3" s="2" t="s">
        <v>191</v>
      </c>
      <c r="K3" s="2" t="s">
        <v>191</v>
      </c>
    </row>
    <row r="4" spans="1:11" ht="12" customHeight="1">
      <c r="A4" s="4" t="s">
        <v>193</v>
      </c>
      <c r="B4" s="5">
        <v>39403</v>
      </c>
      <c r="C4" s="5">
        <v>42151</v>
      </c>
      <c r="D4" s="5">
        <v>42879</v>
      </c>
      <c r="E4" s="5">
        <v>43638</v>
      </c>
      <c r="F4" s="5">
        <v>47262</v>
      </c>
      <c r="G4" s="5">
        <v>51761</v>
      </c>
      <c r="H4" s="5">
        <v>46298</v>
      </c>
      <c r="I4" s="5">
        <v>43452</v>
      </c>
      <c r="J4" s="5">
        <v>41528</v>
      </c>
      <c r="K4" s="5">
        <v>41691</v>
      </c>
    </row>
    <row r="5" spans="1:11" ht="12" customHeight="1">
      <c r="A5" s="3" t="s">
        <v>74</v>
      </c>
      <c r="B5" s="6">
        <v>17826</v>
      </c>
      <c r="C5" s="6">
        <v>19002.84</v>
      </c>
      <c r="D5" s="6">
        <v>19064</v>
      </c>
      <c r="E5" s="6">
        <v>19399</v>
      </c>
      <c r="F5" s="6">
        <v>21653</v>
      </c>
      <c r="G5" s="6">
        <v>22478</v>
      </c>
      <c r="H5" s="6">
        <v>19766</v>
      </c>
      <c r="I5" s="6">
        <v>18482</v>
      </c>
      <c r="J5" s="6">
        <v>18681</v>
      </c>
      <c r="K5" s="6">
        <v>19714</v>
      </c>
    </row>
    <row r="6" spans="1:11" ht="12" customHeight="1">
      <c r="A6" s="4" t="s">
        <v>77</v>
      </c>
      <c r="B6" s="5">
        <v>13302.37</v>
      </c>
      <c r="C6" s="5">
        <v>13874.94</v>
      </c>
      <c r="D6" s="5">
        <v>14062</v>
      </c>
      <c r="E6" s="5">
        <v>14292</v>
      </c>
      <c r="F6" s="5">
        <v>14211</v>
      </c>
      <c r="G6" s="5">
        <v>16203</v>
      </c>
      <c r="H6" s="5">
        <v>14094</v>
      </c>
      <c r="I6" s="5">
        <v>12969</v>
      </c>
      <c r="J6" s="5">
        <v>12065</v>
      </c>
      <c r="K6" s="5">
        <v>11460</v>
      </c>
    </row>
    <row r="7" spans="1:11" ht="12" customHeight="1">
      <c r="A7" s="3" t="s">
        <v>80</v>
      </c>
      <c r="B7" s="6">
        <v>3451.62</v>
      </c>
      <c r="C7" s="6">
        <v>4145.32</v>
      </c>
      <c r="D7" s="6">
        <v>4344</v>
      </c>
      <c r="E7" s="6">
        <v>4810</v>
      </c>
      <c r="F7" s="6">
        <v>5873</v>
      </c>
      <c r="G7" s="6">
        <v>7167</v>
      </c>
      <c r="H7" s="6">
        <v>6736</v>
      </c>
      <c r="I7" s="6">
        <v>5804</v>
      </c>
      <c r="J7" s="6">
        <v>4910</v>
      </c>
      <c r="K7" s="6">
        <v>4469</v>
      </c>
    </row>
    <row r="8" spans="1:11" ht="12" customHeight="1">
      <c r="A8" s="4" t="s">
        <v>83</v>
      </c>
      <c r="B8" s="5">
        <v>2758.21</v>
      </c>
      <c r="C8" s="5">
        <v>3337.19</v>
      </c>
      <c r="D8" s="5">
        <v>3210</v>
      </c>
      <c r="E8" s="5">
        <v>2597</v>
      </c>
      <c r="F8" s="5">
        <v>3079</v>
      </c>
      <c r="G8" s="5">
        <v>3275</v>
      </c>
      <c r="H8" s="5">
        <v>3053</v>
      </c>
      <c r="I8" s="5">
        <v>3363</v>
      </c>
      <c r="J8" s="5">
        <v>2908</v>
      </c>
      <c r="K8" s="5">
        <v>3092</v>
      </c>
    </row>
    <row r="9" spans="1:11" ht="12" customHeight="1">
      <c r="A9" s="3" t="s">
        <v>168</v>
      </c>
      <c r="B9" s="6">
        <v>2033.25</v>
      </c>
      <c r="C9" s="6">
        <v>1720.93</v>
      </c>
      <c r="D9" s="6">
        <v>1967</v>
      </c>
      <c r="E9" s="6">
        <v>2325</v>
      </c>
      <c r="F9" s="6">
        <v>2252</v>
      </c>
      <c r="G9" s="6">
        <v>2380</v>
      </c>
      <c r="H9" s="6">
        <v>2332</v>
      </c>
      <c r="I9" s="6">
        <v>2530</v>
      </c>
      <c r="J9" s="6">
        <v>2631</v>
      </c>
      <c r="K9" s="6">
        <v>2656</v>
      </c>
    </row>
    <row r="10" spans="1:11" ht="12" customHeight="1">
      <c r="A10" s="4" t="s">
        <v>169</v>
      </c>
      <c r="B10" s="5">
        <v>31.55</v>
      </c>
      <c r="C10" s="5">
        <v>69.78</v>
      </c>
      <c r="D10" s="5">
        <v>232</v>
      </c>
      <c r="E10" s="5">
        <v>215</v>
      </c>
      <c r="F10" s="5">
        <v>194</v>
      </c>
      <c r="G10" s="5">
        <v>258</v>
      </c>
      <c r="H10" s="5">
        <v>317</v>
      </c>
      <c r="I10" s="5">
        <v>304</v>
      </c>
      <c r="J10" s="5">
        <v>333</v>
      </c>
      <c r="K10" s="5">
        <v>300</v>
      </c>
    </row>
    <row r="11" spans="1:11" ht="12" customHeight="1">
      <c r="A11" s="10" t="s">
        <v>197</v>
      </c>
    </row>
    <row r="14" spans="1:11" ht="12.75" customHeight="1">
      <c r="A14" s="1" t="s">
        <v>198</v>
      </c>
    </row>
    <row r="15" spans="1:11" ht="12.75" customHeight="1">
      <c r="A15" s="2"/>
      <c r="B15" s="2" t="s">
        <v>181</v>
      </c>
      <c r="C15" s="2" t="s">
        <v>182</v>
      </c>
      <c r="D15" s="2" t="s">
        <v>183</v>
      </c>
      <c r="E15" s="2" t="s">
        <v>184</v>
      </c>
      <c r="F15" s="2" t="s">
        <v>185</v>
      </c>
      <c r="G15" s="2" t="s">
        <v>186</v>
      </c>
      <c r="H15" s="2" t="s">
        <v>187</v>
      </c>
      <c r="I15" s="2" t="s">
        <v>188</v>
      </c>
      <c r="J15" s="2" t="s">
        <v>189</v>
      </c>
      <c r="K15" s="2" t="s">
        <v>190</v>
      </c>
    </row>
    <row r="16" spans="1:11" ht="12" customHeight="1">
      <c r="A16" s="3" t="s">
        <v>193</v>
      </c>
      <c r="B16" s="11">
        <v>100.00000199999999</v>
      </c>
      <c r="C16" s="11">
        <v>100.000004</v>
      </c>
      <c r="D16" s="11">
        <v>99.999994999999998</v>
      </c>
      <c r="E16" s="11">
        <v>100</v>
      </c>
      <c r="F16" s="11">
        <v>100.00000199999999</v>
      </c>
      <c r="G16" s="11">
        <v>99.999999000000003</v>
      </c>
      <c r="H16" s="11">
        <v>99.999999000000003</v>
      </c>
      <c r="I16" s="11">
        <v>99.999999000000003</v>
      </c>
      <c r="J16" s="11">
        <v>100</v>
      </c>
      <c r="K16" s="11">
        <v>100.000001</v>
      </c>
    </row>
    <row r="17" spans="1:11" ht="12" customHeight="1">
      <c r="A17" s="4" t="s">
        <v>74</v>
      </c>
      <c r="B17" s="12">
        <v>45.240211000000002</v>
      </c>
      <c r="C17" s="12">
        <v>45.082774999999998</v>
      </c>
      <c r="D17" s="12">
        <v>44.459991000000002</v>
      </c>
      <c r="E17" s="12">
        <v>44.454376000000003</v>
      </c>
      <c r="F17" s="12">
        <v>45.814819</v>
      </c>
      <c r="G17" s="12">
        <v>43.426516999999997</v>
      </c>
      <c r="H17" s="12">
        <v>42.692988999999997</v>
      </c>
      <c r="I17" s="12">
        <v>42.534289999999999</v>
      </c>
      <c r="J17" s="12">
        <v>44.984107999999999</v>
      </c>
      <c r="K17" s="12">
        <v>47.285988000000003</v>
      </c>
    </row>
    <row r="18" spans="1:11" ht="12" customHeight="1">
      <c r="A18" s="3" t="s">
        <v>77</v>
      </c>
      <c r="B18" s="11">
        <v>33.759791999999997</v>
      </c>
      <c r="C18" s="11">
        <v>32.917228999999999</v>
      </c>
      <c r="D18" s="11">
        <v>32.794604999999997</v>
      </c>
      <c r="E18" s="11">
        <v>32.751269999999998</v>
      </c>
      <c r="F18" s="11">
        <v>30.068556000000001</v>
      </c>
      <c r="G18" s="11">
        <v>31.303491999999999</v>
      </c>
      <c r="H18" s="11">
        <v>30.441918999999999</v>
      </c>
      <c r="I18" s="11">
        <v>29.846727000000001</v>
      </c>
      <c r="J18" s="11">
        <v>29.052686999999999</v>
      </c>
      <c r="K18" s="11">
        <v>27.487946000000001</v>
      </c>
    </row>
    <row r="19" spans="1:11" ht="12" customHeight="1">
      <c r="A19" s="4" t="s">
        <v>80</v>
      </c>
      <c r="B19" s="12">
        <v>8.7597889999999996</v>
      </c>
      <c r="C19" s="12">
        <v>9.8344520000000006</v>
      </c>
      <c r="D19" s="12">
        <v>10.130833000000001</v>
      </c>
      <c r="E19" s="12">
        <v>11.022504</v>
      </c>
      <c r="F19" s="12">
        <v>12.426474000000001</v>
      </c>
      <c r="G19" s="12">
        <v>13.846332</v>
      </c>
      <c r="H19" s="12">
        <v>14.549224000000001</v>
      </c>
      <c r="I19" s="12">
        <v>13.357267999999999</v>
      </c>
      <c r="J19" s="12">
        <v>11.823347999999999</v>
      </c>
      <c r="K19" s="12">
        <v>10.719339</v>
      </c>
    </row>
    <row r="20" spans="1:11" ht="12" customHeight="1">
      <c r="A20" s="3" t="s">
        <v>83</v>
      </c>
      <c r="B20" s="11">
        <v>7</v>
      </c>
      <c r="C20" s="11">
        <v>7.9172260000000003</v>
      </c>
      <c r="D20" s="11">
        <v>7.4861820000000003</v>
      </c>
      <c r="E20" s="11">
        <v>5.9512349999999996</v>
      </c>
      <c r="F20" s="11">
        <v>6.514748</v>
      </c>
      <c r="G20" s="11">
        <v>6.3271569999999997</v>
      </c>
      <c r="H20" s="11">
        <v>6.5942379999999998</v>
      </c>
      <c r="I20" s="11">
        <v>7.7395740000000002</v>
      </c>
      <c r="J20" s="11">
        <v>7.0025040000000001</v>
      </c>
      <c r="K20" s="11">
        <v>7.4164690000000002</v>
      </c>
    </row>
    <row r="21" spans="1:11" ht="12" customHeight="1">
      <c r="A21" s="4" t="s">
        <v>168</v>
      </c>
      <c r="B21" s="12">
        <v>5.1601400000000002</v>
      </c>
      <c r="C21" s="12">
        <v>4.0827739999999997</v>
      </c>
      <c r="D21" s="12">
        <v>4.5873270000000002</v>
      </c>
      <c r="E21" s="12">
        <v>5.3279249999999996</v>
      </c>
      <c r="F21" s="12">
        <v>4.7649270000000001</v>
      </c>
      <c r="G21" s="12">
        <v>4.5980559999999997</v>
      </c>
      <c r="H21" s="12">
        <v>5.0369339999999996</v>
      </c>
      <c r="I21" s="12">
        <v>5.8225170000000004</v>
      </c>
      <c r="J21" s="12">
        <v>6.3354840000000001</v>
      </c>
      <c r="K21" s="12">
        <v>6.370679</v>
      </c>
    </row>
    <row r="22" spans="1:11" ht="12" customHeight="1">
      <c r="A22" s="3" t="s">
        <v>169</v>
      </c>
      <c r="B22" s="11">
        <v>8.0070000000000002E-2</v>
      </c>
      <c r="C22" s="11">
        <v>0.165548</v>
      </c>
      <c r="D22" s="11">
        <v>0.54105700000000001</v>
      </c>
      <c r="E22" s="11">
        <v>0.49269000000000002</v>
      </c>
      <c r="F22" s="11">
        <v>0.41047800000000001</v>
      </c>
      <c r="G22" s="11">
        <v>0.49844500000000003</v>
      </c>
      <c r="H22" s="11">
        <v>0.68469500000000005</v>
      </c>
      <c r="I22" s="11">
        <v>0.69962299999999999</v>
      </c>
      <c r="J22" s="11">
        <v>0.80186900000000005</v>
      </c>
      <c r="K22" s="11">
        <v>0.71958</v>
      </c>
    </row>
    <row r="25" spans="1:11" ht="12.75" customHeight="1">
      <c r="A25" s="1" t="s">
        <v>199</v>
      </c>
    </row>
    <row r="26" spans="1:11" ht="12.75" customHeight="1">
      <c r="A26" s="2"/>
      <c r="B26" s="2" t="s">
        <v>181</v>
      </c>
      <c r="C26" s="2" t="s">
        <v>182</v>
      </c>
      <c r="D26" s="2" t="s">
        <v>183</v>
      </c>
      <c r="E26" s="2" t="s">
        <v>184</v>
      </c>
      <c r="F26" s="2" t="s">
        <v>185</v>
      </c>
      <c r="G26" s="2" t="s">
        <v>186</v>
      </c>
      <c r="H26" s="2" t="s">
        <v>187</v>
      </c>
      <c r="I26" s="2" t="s">
        <v>188</v>
      </c>
      <c r="J26" s="2" t="s">
        <v>189</v>
      </c>
      <c r="K26" s="2" t="s">
        <v>190</v>
      </c>
    </row>
    <row r="27" spans="1:11" ht="12" customHeight="1">
      <c r="A27" s="3" t="s">
        <v>193</v>
      </c>
      <c r="B27" s="16">
        <v>-0.31623200000000001</v>
      </c>
      <c r="C27" s="11">
        <v>6.9740900000000003</v>
      </c>
      <c r="D27" s="11">
        <v>1.72712</v>
      </c>
      <c r="E27" s="11">
        <v>1.7701</v>
      </c>
      <c r="F27" s="11">
        <v>8.3046900000000008</v>
      </c>
      <c r="G27" s="11">
        <v>9.5192800000000002</v>
      </c>
      <c r="H27" s="16">
        <v>-10.5543</v>
      </c>
      <c r="I27" s="16">
        <v>-6.1471299999999998</v>
      </c>
      <c r="J27" s="16">
        <v>-4.4278700000000004</v>
      </c>
      <c r="K27" s="11">
        <v>0.39250600000000002</v>
      </c>
    </row>
    <row r="28" spans="1:11" ht="12" customHeight="1">
      <c r="A28" s="4" t="s">
        <v>74</v>
      </c>
      <c r="B28" s="17">
        <v>-2.3026279999999999</v>
      </c>
      <c r="C28" s="12">
        <v>6.6018169999999996</v>
      </c>
      <c r="D28" s="12">
        <v>0.32184699999999999</v>
      </c>
      <c r="E28" s="12">
        <v>1.757239</v>
      </c>
      <c r="F28" s="12">
        <v>11.619156</v>
      </c>
      <c r="G28" s="12">
        <v>3.8100960000000001</v>
      </c>
      <c r="H28" s="17">
        <v>-12.06513</v>
      </c>
      <c r="I28" s="17">
        <v>-6.496003</v>
      </c>
      <c r="J28" s="12">
        <v>1.0767230000000001</v>
      </c>
      <c r="K28" s="12">
        <v>5.5296830000000003</v>
      </c>
    </row>
    <row r="29" spans="1:11" ht="12" customHeight="1">
      <c r="A29" s="3" t="s">
        <v>77</v>
      </c>
      <c r="B29" s="11">
        <v>5.4293579999999997</v>
      </c>
      <c r="C29" s="11">
        <v>4.3042730000000002</v>
      </c>
      <c r="D29" s="11">
        <v>1.3481829999999999</v>
      </c>
      <c r="E29" s="11">
        <v>1.6356139999999999</v>
      </c>
      <c r="F29" s="16">
        <v>-0.566751</v>
      </c>
      <c r="G29" s="11">
        <v>14.01731</v>
      </c>
      <c r="H29" s="16">
        <v>-13.016109</v>
      </c>
      <c r="I29" s="16">
        <v>-7.9821200000000001</v>
      </c>
      <c r="J29" s="16">
        <v>-6.9704680000000003</v>
      </c>
      <c r="K29" s="16">
        <v>-5.0145049999999998</v>
      </c>
    </row>
    <row r="30" spans="1:11" ht="12" customHeight="1">
      <c r="A30" s="4" t="s">
        <v>80</v>
      </c>
      <c r="B30" s="12">
        <v>12.527752</v>
      </c>
      <c r="C30" s="12">
        <v>20.097801</v>
      </c>
      <c r="D30" s="12">
        <v>4.7928790000000001</v>
      </c>
      <c r="E30" s="12">
        <v>10.72744</v>
      </c>
      <c r="F30" s="12">
        <v>22.099792000000001</v>
      </c>
      <c r="G30" s="12">
        <v>22.033033</v>
      </c>
      <c r="H30" s="17">
        <v>-6.013674</v>
      </c>
      <c r="I30" s="17">
        <v>-13.836104000000001</v>
      </c>
      <c r="J30" s="17">
        <v>-15.403171</v>
      </c>
      <c r="K30" s="17">
        <v>-8.9816699999999994</v>
      </c>
    </row>
    <row r="31" spans="1:11" ht="12" customHeight="1">
      <c r="A31" s="3" t="s">
        <v>83</v>
      </c>
      <c r="B31" s="16">
        <v>-13.640511</v>
      </c>
      <c r="C31" s="11">
        <v>20.991150000000001</v>
      </c>
      <c r="D31" s="16">
        <v>-3.8112889999999999</v>
      </c>
      <c r="E31" s="16">
        <v>-19.096572999999999</v>
      </c>
      <c r="F31" s="11">
        <v>18.559877</v>
      </c>
      <c r="G31" s="11">
        <v>6.3657029999999999</v>
      </c>
      <c r="H31" s="16">
        <v>-6.778626</v>
      </c>
      <c r="I31" s="11">
        <v>10.153947000000001</v>
      </c>
      <c r="J31" s="16">
        <v>-13.529586999999999</v>
      </c>
      <c r="K31" s="11">
        <v>6.3273729999999997</v>
      </c>
    </row>
    <row r="32" spans="1:11" ht="12" customHeight="1">
      <c r="A32" s="4" t="s">
        <v>168</v>
      </c>
      <c r="B32" s="12">
        <v>1.2559560000000001</v>
      </c>
      <c r="C32" s="17">
        <v>-15.360626</v>
      </c>
      <c r="D32" s="12">
        <v>14.29866</v>
      </c>
      <c r="E32" s="12">
        <v>18.200306000000001</v>
      </c>
      <c r="F32" s="17">
        <v>-3.1397849999999998</v>
      </c>
      <c r="G32" s="12">
        <v>5.6838360000000003</v>
      </c>
      <c r="H32" s="17">
        <v>-2.016807</v>
      </c>
      <c r="I32" s="12">
        <v>8.4905659999999994</v>
      </c>
      <c r="J32" s="12">
        <v>3.9920949999999999</v>
      </c>
      <c r="K32" s="12">
        <v>0.95020899999999997</v>
      </c>
    </row>
    <row r="33" spans="1:11" ht="12" customHeight="1">
      <c r="A33" s="3" t="s">
        <v>169</v>
      </c>
      <c r="B33" s="16">
        <v>-92.018317999999994</v>
      </c>
      <c r="C33" s="11">
        <v>121.17274500000001</v>
      </c>
      <c r="D33" s="11">
        <v>232.47349500000001</v>
      </c>
      <c r="E33" s="16">
        <v>-7.3275860000000002</v>
      </c>
      <c r="F33" s="16">
        <v>-9.7674420000000008</v>
      </c>
      <c r="G33" s="11">
        <v>32.989688999999998</v>
      </c>
      <c r="H33" s="11">
        <v>22.868217000000001</v>
      </c>
      <c r="I33" s="16">
        <v>-4.1009460000000004</v>
      </c>
      <c r="J33" s="11">
        <v>9.5394740000000002</v>
      </c>
      <c r="K33" s="16">
        <v>-9.90991</v>
      </c>
    </row>
  </sheetData>
  <conditionalFormatting sqref="B4:K4">
    <cfRule type="colorScale" priority="8">
      <colorScale>
        <cfvo type="min"/>
        <cfvo type="max"/>
        <color rgb="FFFCFCFF"/>
        <color rgb="FF63BE7B"/>
      </colorScale>
    </cfRule>
  </conditionalFormatting>
  <conditionalFormatting sqref="B5:K5">
    <cfRule type="colorScale" priority="7">
      <colorScale>
        <cfvo type="min"/>
        <cfvo type="max"/>
        <color rgb="FFFCFCFF"/>
        <color rgb="FF63BE7B"/>
      </colorScale>
    </cfRule>
  </conditionalFormatting>
  <conditionalFormatting sqref="B6:K6">
    <cfRule type="colorScale" priority="6">
      <colorScale>
        <cfvo type="min"/>
        <cfvo type="max"/>
        <color rgb="FFFCFCFF"/>
        <color rgb="FF63BE7B"/>
      </colorScale>
    </cfRule>
  </conditionalFormatting>
  <conditionalFormatting sqref="B7:K7">
    <cfRule type="colorScale" priority="5">
      <colorScale>
        <cfvo type="min"/>
        <cfvo type="max"/>
        <color rgb="FFFCFCFF"/>
        <color rgb="FF63BE7B"/>
      </colorScale>
    </cfRule>
  </conditionalFormatting>
  <conditionalFormatting sqref="B8:K8">
    <cfRule type="colorScale" priority="4">
      <colorScale>
        <cfvo type="min"/>
        <cfvo type="max"/>
        <color rgb="FFFCFCFF"/>
        <color rgb="FF63BE7B"/>
      </colorScale>
    </cfRule>
  </conditionalFormatting>
  <conditionalFormatting sqref="B9:K9">
    <cfRule type="colorScale" priority="3">
      <colorScale>
        <cfvo type="min"/>
        <cfvo type="max"/>
        <color rgb="FFFCFCFF"/>
        <color rgb="FF63BE7B"/>
      </colorScale>
    </cfRule>
  </conditionalFormatting>
  <conditionalFormatting sqref="B10:K10">
    <cfRule type="colorScale" priority="2">
      <colorScale>
        <cfvo type="min"/>
        <cfvo type="max"/>
        <color rgb="FFFCFCFF"/>
        <color rgb="FF63BE7B"/>
      </colorScale>
    </cfRule>
  </conditionalFormatting>
  <pageMargins left="0.7" right="0.7" top="0.75" bottom="0.75" header="0.511811023622047" footer="0.511811023622047"/>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2"/>
  </sheetPr>
  <dimension ref="A1:M37"/>
  <sheetViews>
    <sheetView showGridLines="0" zoomScaleNormal="100" workbookViewId="0"/>
  </sheetViews>
  <sheetFormatPr baseColWidth="10" defaultColWidth="8.5" defaultRowHeight="13"/>
  <cols>
    <col min="1" max="1" width="48.5" customWidth="1"/>
  </cols>
  <sheetData>
    <row r="1" spans="1:13" ht="12.75" customHeight="1">
      <c r="A1" s="18" t="s">
        <v>215</v>
      </c>
      <c r="B1" s="18"/>
      <c r="C1" s="18"/>
      <c r="D1" s="18"/>
      <c r="E1" s="18"/>
      <c r="F1" s="18"/>
      <c r="G1" s="18"/>
      <c r="H1" s="18"/>
      <c r="I1" s="18"/>
      <c r="J1" s="18"/>
      <c r="K1" s="18"/>
    </row>
    <row r="2" spans="1:13" ht="12.75" customHeight="1">
      <c r="A2" s="2"/>
      <c r="B2" s="2" t="s">
        <v>190</v>
      </c>
      <c r="C2" s="2" t="s">
        <v>189</v>
      </c>
      <c r="D2" s="2" t="s">
        <v>188</v>
      </c>
      <c r="E2" s="2" t="s">
        <v>187</v>
      </c>
      <c r="F2" s="2" t="s">
        <v>186</v>
      </c>
      <c r="G2" s="2" t="s">
        <v>185</v>
      </c>
      <c r="H2" s="18"/>
      <c r="I2" s="18"/>
      <c r="J2" s="18"/>
      <c r="K2" s="18"/>
    </row>
    <row r="3" spans="1:13" ht="12" customHeight="1">
      <c r="A3" s="4" t="s">
        <v>216</v>
      </c>
      <c r="B3" s="19">
        <v>5.0000000000000001E-3</v>
      </c>
      <c r="C3" s="19">
        <v>-2.3E-2</v>
      </c>
      <c r="D3" s="19">
        <v>-6.8000000000000005E-2</v>
      </c>
      <c r="E3" s="19">
        <v>-9.9000000000000005E-2</v>
      </c>
      <c r="F3" s="19">
        <v>0.104</v>
      </c>
      <c r="G3" s="19">
        <v>9.7000000000000003E-2</v>
      </c>
      <c r="H3" s="20"/>
      <c r="I3" s="20"/>
      <c r="J3" s="20"/>
      <c r="K3" s="20"/>
      <c r="L3" s="20"/>
      <c r="M3" s="20"/>
    </row>
    <row r="4" spans="1:13" ht="12" customHeight="1">
      <c r="A4" s="3" t="s">
        <v>217</v>
      </c>
      <c r="B4" s="19">
        <v>4.0000000000000001E-3</v>
      </c>
      <c r="C4" s="19">
        <v>-2.5000000000000001E-2</v>
      </c>
      <c r="D4" s="19">
        <v>-7.0999999999999994E-2</v>
      </c>
      <c r="E4" s="19">
        <v>-0.10299999999999999</v>
      </c>
      <c r="F4" s="19">
        <v>0.11</v>
      </c>
      <c r="G4" s="19">
        <v>9.1999999999999998E-2</v>
      </c>
      <c r="H4" s="20"/>
      <c r="I4" s="20"/>
      <c r="J4" s="20"/>
      <c r="K4" s="20"/>
      <c r="L4" s="20"/>
      <c r="M4" s="20"/>
    </row>
    <row r="5" spans="1:13" ht="12" customHeight="1">
      <c r="A5" s="4" t="s">
        <v>218</v>
      </c>
      <c r="B5" s="19">
        <v>2.3E-2</v>
      </c>
      <c r="C5" s="19">
        <v>-5.0000000000000001E-3</v>
      </c>
      <c r="D5" s="19">
        <v>-3.2000000000000001E-2</v>
      </c>
      <c r="E5" s="19">
        <v>-5.3999999999999999E-2</v>
      </c>
      <c r="F5" s="19">
        <v>3.3000000000000002E-2</v>
      </c>
      <c r="G5" s="19">
        <v>0.15</v>
      </c>
      <c r="H5" s="20"/>
      <c r="I5" s="20"/>
      <c r="J5" s="20"/>
      <c r="K5" s="20"/>
      <c r="L5" s="20"/>
      <c r="M5" s="20"/>
    </row>
    <row r="6" spans="1:13" ht="12.75" customHeight="1">
      <c r="A6" s="7" t="s">
        <v>219</v>
      </c>
      <c r="B6" s="21">
        <v>39529</v>
      </c>
      <c r="C6" s="21">
        <v>40142</v>
      </c>
      <c r="D6" s="21">
        <v>40394</v>
      </c>
      <c r="E6" s="21">
        <v>41009</v>
      </c>
      <c r="F6" s="21">
        <v>41310</v>
      </c>
      <c r="G6" s="21">
        <v>42108</v>
      </c>
      <c r="H6" s="22"/>
      <c r="I6" s="22"/>
      <c r="J6" s="22"/>
      <c r="K6" s="22"/>
    </row>
    <row r="7" spans="1:13" ht="12" customHeight="1">
      <c r="A7" s="9" t="s">
        <v>220</v>
      </c>
      <c r="B7" s="23">
        <v>35954</v>
      </c>
      <c r="C7" s="23">
        <v>36539</v>
      </c>
      <c r="D7" s="23">
        <v>36771</v>
      </c>
      <c r="E7" s="23">
        <v>37388</v>
      </c>
      <c r="F7" s="23">
        <v>37705</v>
      </c>
      <c r="G7" s="23">
        <v>38186</v>
      </c>
      <c r="H7" s="23"/>
      <c r="I7" s="23"/>
      <c r="J7" s="23"/>
      <c r="K7" s="23"/>
    </row>
    <row r="8" spans="1:13" ht="12" customHeight="1">
      <c r="A8" s="15" t="s">
        <v>221</v>
      </c>
      <c r="B8" s="24">
        <v>3575</v>
      </c>
      <c r="C8" s="24">
        <v>3603</v>
      </c>
      <c r="D8" s="24">
        <v>3623</v>
      </c>
      <c r="E8" s="24">
        <v>3621</v>
      </c>
      <c r="F8" s="24">
        <v>3605</v>
      </c>
      <c r="G8" s="24">
        <v>3922</v>
      </c>
      <c r="H8" s="23"/>
      <c r="I8" s="23"/>
      <c r="J8" s="23"/>
      <c r="K8" s="23"/>
    </row>
    <row r="9" spans="1:13" ht="12" customHeight="1">
      <c r="A9" s="15" t="s">
        <v>222</v>
      </c>
      <c r="B9" s="25">
        <v>0.39</v>
      </c>
      <c r="C9" s="19">
        <v>0.39500000000000002</v>
      </c>
      <c r="D9" s="25">
        <v>0.38</v>
      </c>
      <c r="E9" s="25">
        <v>0.34</v>
      </c>
      <c r="F9" s="25">
        <v>0.36</v>
      </c>
      <c r="G9" s="25">
        <v>0.33</v>
      </c>
    </row>
    <row r="11" spans="1:13" ht="12.75" customHeight="1">
      <c r="A11" s="2"/>
      <c r="B11" s="2" t="s">
        <v>190</v>
      </c>
      <c r="C11" s="2" t="s">
        <v>189</v>
      </c>
      <c r="D11" s="2" t="s">
        <v>188</v>
      </c>
      <c r="E11" s="2" t="s">
        <v>187</v>
      </c>
      <c r="F11" s="2" t="s">
        <v>186</v>
      </c>
      <c r="G11" s="2" t="s">
        <v>185</v>
      </c>
      <c r="H11" s="18"/>
      <c r="I11" s="18"/>
      <c r="J11" s="18"/>
      <c r="K11" s="18"/>
    </row>
    <row r="12" spans="1:13" ht="12.75" customHeight="1">
      <c r="A12" s="13" t="s">
        <v>223</v>
      </c>
      <c r="B12" s="22">
        <v>1117</v>
      </c>
      <c r="C12" s="22">
        <v>1125</v>
      </c>
      <c r="D12" s="22">
        <v>1138</v>
      </c>
      <c r="E12" s="22">
        <v>1144</v>
      </c>
      <c r="F12" s="22">
        <v>1159</v>
      </c>
      <c r="G12" s="22">
        <v>1231</v>
      </c>
      <c r="H12" s="22"/>
      <c r="I12" s="22"/>
      <c r="J12" s="22"/>
      <c r="K12" s="22"/>
    </row>
    <row r="13" spans="1:13" ht="12" customHeight="1">
      <c r="A13" s="15" t="s">
        <v>224</v>
      </c>
      <c r="B13" s="24">
        <v>957</v>
      </c>
      <c r="C13" s="24">
        <v>965</v>
      </c>
      <c r="D13" s="24">
        <v>978</v>
      </c>
      <c r="E13" s="24">
        <v>984</v>
      </c>
      <c r="F13" s="24">
        <v>991</v>
      </c>
      <c r="G13" s="24">
        <v>1009</v>
      </c>
      <c r="H13" s="23"/>
      <c r="I13" s="23"/>
      <c r="J13" s="23"/>
      <c r="K13" s="23"/>
    </row>
    <row r="14" spans="1:13" ht="12" customHeight="1">
      <c r="A14" s="9" t="s">
        <v>225</v>
      </c>
      <c r="B14" s="23">
        <v>160</v>
      </c>
      <c r="C14" s="23">
        <v>160</v>
      </c>
      <c r="D14" s="23">
        <v>160</v>
      </c>
      <c r="E14" s="23">
        <v>160</v>
      </c>
      <c r="F14" s="23">
        <v>168</v>
      </c>
      <c r="G14" s="23">
        <v>222</v>
      </c>
      <c r="H14" s="23"/>
      <c r="I14" s="23"/>
      <c r="J14" s="23"/>
      <c r="K14" s="23"/>
    </row>
    <row r="15" spans="1:13" ht="12.75" customHeight="1">
      <c r="A15" s="7" t="s">
        <v>226</v>
      </c>
      <c r="B15" s="21">
        <v>1068</v>
      </c>
      <c r="C15" s="21">
        <v>1117</v>
      </c>
      <c r="D15" s="21">
        <v>1125</v>
      </c>
      <c r="E15" s="21">
        <v>1138</v>
      </c>
      <c r="F15" s="21">
        <v>1144</v>
      </c>
      <c r="G15" s="21">
        <v>1159</v>
      </c>
      <c r="H15" s="22"/>
      <c r="I15" s="22"/>
      <c r="J15" s="22"/>
      <c r="K15" s="22"/>
    </row>
    <row r="16" spans="1:13" ht="12" customHeight="1">
      <c r="A16" s="9" t="s">
        <v>224</v>
      </c>
      <c r="B16" s="23">
        <v>926</v>
      </c>
      <c r="C16" s="23">
        <v>957</v>
      </c>
      <c r="D16" s="23">
        <v>965</v>
      </c>
      <c r="E16" s="23">
        <v>978</v>
      </c>
      <c r="F16" s="23">
        <v>984</v>
      </c>
      <c r="G16" s="23">
        <v>991</v>
      </c>
      <c r="H16" s="23"/>
      <c r="I16" s="23"/>
      <c r="J16" s="23"/>
      <c r="K16" s="23"/>
    </row>
    <row r="17" spans="1:11" ht="12" customHeight="1">
      <c r="A17" s="15" t="s">
        <v>225</v>
      </c>
      <c r="B17" s="24">
        <v>142</v>
      </c>
      <c r="C17" s="24">
        <v>160</v>
      </c>
      <c r="D17" s="24">
        <v>160</v>
      </c>
      <c r="E17" s="24">
        <v>160</v>
      </c>
      <c r="F17" s="24">
        <v>160</v>
      </c>
      <c r="G17" s="24">
        <v>168</v>
      </c>
      <c r="H17" s="23"/>
      <c r="I17" s="23"/>
      <c r="J17" s="23"/>
      <c r="K17" s="23"/>
    </row>
    <row r="18" spans="1:11" ht="12.75" customHeight="1">
      <c r="A18" s="13" t="s">
        <v>227</v>
      </c>
      <c r="B18" s="22">
        <v>-49</v>
      </c>
      <c r="C18" s="22">
        <v>-8</v>
      </c>
      <c r="D18" s="22">
        <v>-13</v>
      </c>
      <c r="E18" s="22">
        <v>-6</v>
      </c>
      <c r="F18" s="22">
        <v>-15</v>
      </c>
      <c r="G18" s="22">
        <v>-72</v>
      </c>
      <c r="H18" s="22"/>
      <c r="I18" s="22"/>
      <c r="J18" s="22"/>
      <c r="K18" s="22"/>
    </row>
    <row r="19" spans="1:11" ht="12.75" customHeight="1">
      <c r="A19" s="26" t="s">
        <v>228</v>
      </c>
      <c r="B19" s="7"/>
      <c r="C19" s="7"/>
      <c r="D19" s="21">
        <v>15</v>
      </c>
      <c r="E19" s="21">
        <v>9</v>
      </c>
      <c r="F19" s="21">
        <v>13</v>
      </c>
      <c r="G19" s="21">
        <v>3</v>
      </c>
      <c r="H19" s="22"/>
      <c r="I19" s="22"/>
      <c r="J19" s="22"/>
      <c r="K19" s="22"/>
    </row>
    <row r="20" spans="1:11" ht="12.75" customHeight="1">
      <c r="A20" s="27" t="s">
        <v>229</v>
      </c>
      <c r="B20" s="13"/>
      <c r="C20" s="13"/>
      <c r="D20" s="22">
        <v>15</v>
      </c>
      <c r="E20" s="22">
        <v>9</v>
      </c>
      <c r="F20" s="22">
        <v>13</v>
      </c>
      <c r="G20" s="22">
        <v>3</v>
      </c>
      <c r="H20" s="22"/>
      <c r="I20" s="22"/>
      <c r="J20" s="22"/>
      <c r="K20" s="22"/>
    </row>
    <row r="21" spans="1:11" ht="12" customHeight="1">
      <c r="A21" s="28" t="s">
        <v>224</v>
      </c>
      <c r="B21" s="3"/>
      <c r="C21" s="3"/>
      <c r="D21" s="24">
        <v>14</v>
      </c>
      <c r="E21" s="24">
        <v>9</v>
      </c>
      <c r="F21" s="24">
        <v>13</v>
      </c>
      <c r="G21" s="24">
        <v>3</v>
      </c>
      <c r="H21" s="23"/>
      <c r="I21" s="23"/>
      <c r="J21" s="4"/>
      <c r="K21" s="4"/>
    </row>
    <row r="22" spans="1:11" ht="12" customHeight="1">
      <c r="A22" s="29" t="s">
        <v>225</v>
      </c>
      <c r="B22" s="4"/>
      <c r="C22" s="4"/>
      <c r="D22" s="23">
        <v>1</v>
      </c>
      <c r="E22" s="4"/>
      <c r="F22" s="4"/>
      <c r="G22" s="4"/>
      <c r="H22" s="23"/>
      <c r="I22" s="23"/>
      <c r="J22" s="23"/>
      <c r="K22" s="23"/>
    </row>
    <row r="23" spans="1:11" ht="12.75" customHeight="1">
      <c r="A23" s="26" t="s">
        <v>230</v>
      </c>
      <c r="B23" s="21">
        <v>49</v>
      </c>
      <c r="C23" s="21">
        <v>8</v>
      </c>
      <c r="D23" s="21">
        <v>28</v>
      </c>
      <c r="E23" s="21">
        <v>15</v>
      </c>
      <c r="F23" s="21">
        <v>28</v>
      </c>
      <c r="G23" s="21">
        <v>75</v>
      </c>
      <c r="H23" s="22"/>
      <c r="I23" s="22"/>
      <c r="J23" s="22"/>
      <c r="K23" s="22"/>
    </row>
    <row r="24" spans="1:11" ht="12" customHeight="1">
      <c r="A24" s="30" t="s">
        <v>224</v>
      </c>
      <c r="B24" s="23">
        <v>31</v>
      </c>
      <c r="C24" s="23">
        <v>8</v>
      </c>
      <c r="D24" s="23">
        <v>27</v>
      </c>
      <c r="E24" s="23">
        <v>15</v>
      </c>
      <c r="F24" s="23">
        <v>20</v>
      </c>
      <c r="G24" s="23">
        <v>21</v>
      </c>
      <c r="H24" s="23"/>
      <c r="I24" s="23"/>
      <c r="J24" s="23"/>
      <c r="K24" s="23"/>
    </row>
    <row r="25" spans="1:11" ht="12" customHeight="1">
      <c r="A25" s="31" t="s">
        <v>225</v>
      </c>
      <c r="B25" s="34">
        <v>18</v>
      </c>
      <c r="C25" s="3"/>
      <c r="D25" s="24">
        <v>1</v>
      </c>
      <c r="E25" s="3"/>
      <c r="F25" s="24">
        <v>8</v>
      </c>
      <c r="G25" s="24">
        <v>54</v>
      </c>
      <c r="H25" s="23"/>
      <c r="I25" s="23"/>
      <c r="J25" s="23"/>
      <c r="K25" s="23"/>
    </row>
    <row r="26" spans="1:11" ht="12" customHeight="1">
      <c r="A26" s="4" t="s">
        <v>231</v>
      </c>
      <c r="B26" s="23">
        <v>26</v>
      </c>
      <c r="C26" s="23">
        <v>27</v>
      </c>
      <c r="D26" s="23">
        <v>26</v>
      </c>
      <c r="E26" s="23">
        <v>27</v>
      </c>
      <c r="F26" s="23">
        <v>27</v>
      </c>
      <c r="G26" s="23">
        <v>27</v>
      </c>
      <c r="H26" s="23"/>
      <c r="I26" s="23"/>
      <c r="J26" s="23"/>
      <c r="K26" s="23"/>
    </row>
    <row r="27" spans="1:11" ht="12" customHeight="1">
      <c r="A27" s="3" t="s">
        <v>232</v>
      </c>
      <c r="B27" s="24">
        <v>1006</v>
      </c>
      <c r="C27" s="24">
        <v>1054</v>
      </c>
      <c r="D27" s="24">
        <v>1063</v>
      </c>
      <c r="E27" s="24">
        <v>1075</v>
      </c>
      <c r="F27" s="24">
        <v>1080</v>
      </c>
      <c r="G27" s="24">
        <v>1099</v>
      </c>
      <c r="H27" s="23"/>
      <c r="I27" s="23"/>
      <c r="J27" s="23"/>
      <c r="K27" s="23"/>
    </row>
    <row r="28" spans="1:11" ht="12" customHeight="1">
      <c r="A28" s="4" t="s">
        <v>233</v>
      </c>
      <c r="B28" s="23">
        <v>36</v>
      </c>
      <c r="C28" s="23">
        <v>36</v>
      </c>
      <c r="D28" s="23">
        <v>36</v>
      </c>
      <c r="E28" s="23">
        <v>36</v>
      </c>
      <c r="F28" s="23">
        <v>37</v>
      </c>
      <c r="G28" s="23">
        <v>33</v>
      </c>
      <c r="H28" s="23"/>
      <c r="I28" s="23"/>
      <c r="J28" s="23"/>
      <c r="K28" s="23"/>
    </row>
    <row r="29" spans="1:11" ht="12" customHeight="1">
      <c r="A29" s="10" t="s">
        <v>234</v>
      </c>
    </row>
    <row r="31" spans="1:11" ht="12.75" customHeight="1">
      <c r="A31" s="2"/>
      <c r="B31" s="2" t="s">
        <v>190</v>
      </c>
      <c r="C31" s="2" t="s">
        <v>189</v>
      </c>
      <c r="D31" s="2" t="s">
        <v>188</v>
      </c>
      <c r="E31" s="2" t="s">
        <v>187</v>
      </c>
      <c r="F31" s="2" t="s">
        <v>186</v>
      </c>
      <c r="G31" s="2" t="s">
        <v>185</v>
      </c>
      <c r="H31" s="18"/>
      <c r="I31" s="18"/>
      <c r="J31" s="18"/>
      <c r="K31" s="18"/>
    </row>
    <row r="32" spans="1:11" ht="12.75" customHeight="1">
      <c r="A32" s="13" t="s">
        <v>235</v>
      </c>
      <c r="B32" s="13"/>
      <c r="C32" s="13"/>
      <c r="D32" s="13"/>
      <c r="E32" s="13"/>
      <c r="F32" s="13"/>
      <c r="G32" s="13"/>
      <c r="H32" s="13"/>
      <c r="I32" s="13"/>
      <c r="J32" s="13"/>
      <c r="K32" s="13"/>
    </row>
    <row r="33" spans="1:11" ht="12" customHeight="1">
      <c r="A33" s="15" t="s">
        <v>236</v>
      </c>
      <c r="B33" s="32">
        <v>22.5</v>
      </c>
      <c r="C33" s="32">
        <v>22.6</v>
      </c>
      <c r="D33" s="32">
        <v>22.1</v>
      </c>
      <c r="E33" s="32">
        <v>21.4</v>
      </c>
      <c r="F33" s="32">
        <v>22.5</v>
      </c>
      <c r="G33" s="32">
        <v>22.4</v>
      </c>
      <c r="H33" s="33"/>
      <c r="I33" s="33"/>
      <c r="J33" s="33"/>
      <c r="K33" s="33"/>
    </row>
    <row r="34" spans="1:11" ht="12" customHeight="1">
      <c r="A34" s="9" t="s">
        <v>237</v>
      </c>
      <c r="B34" s="5">
        <v>3584</v>
      </c>
      <c r="C34" s="5">
        <v>3594</v>
      </c>
      <c r="D34" s="5">
        <v>3644</v>
      </c>
      <c r="E34" s="5">
        <v>3849</v>
      </c>
      <c r="F34" s="5">
        <v>4861</v>
      </c>
      <c r="G34" s="5">
        <v>4420</v>
      </c>
      <c r="H34" s="5"/>
      <c r="I34" s="5"/>
      <c r="J34" s="5"/>
      <c r="K34" s="5"/>
    </row>
    <row r="35" spans="1:11" ht="12" customHeight="1">
      <c r="A35" s="9" t="s">
        <v>238</v>
      </c>
      <c r="B35" s="23">
        <v>1068</v>
      </c>
      <c r="C35" s="23">
        <v>1117</v>
      </c>
      <c r="D35" s="23">
        <v>1125</v>
      </c>
      <c r="E35" s="23">
        <v>1138</v>
      </c>
      <c r="F35" s="23">
        <v>1144</v>
      </c>
      <c r="G35" s="23">
        <v>1159</v>
      </c>
      <c r="H35" s="23"/>
      <c r="I35" s="23"/>
      <c r="J35" s="23"/>
      <c r="K35" s="23"/>
    </row>
    <row r="36" spans="1:11" ht="12" customHeight="1">
      <c r="A36" s="15" t="s">
        <v>239</v>
      </c>
      <c r="B36" s="3"/>
      <c r="C36" s="3"/>
      <c r="D36" s="24">
        <v>28</v>
      </c>
      <c r="E36" s="24">
        <v>15</v>
      </c>
      <c r="F36" s="24">
        <v>28</v>
      </c>
      <c r="G36" s="24">
        <v>75</v>
      </c>
      <c r="H36" s="23"/>
      <c r="I36" s="23"/>
      <c r="J36" s="23"/>
      <c r="K36" s="23"/>
    </row>
    <row r="37" spans="1:11" ht="12" customHeight="1">
      <c r="A37" s="9" t="s">
        <v>240</v>
      </c>
      <c r="B37" s="4"/>
      <c r="C37" s="4"/>
      <c r="D37" s="23">
        <v>15</v>
      </c>
      <c r="E37" s="23">
        <v>9</v>
      </c>
      <c r="F37" s="23">
        <v>13</v>
      </c>
      <c r="G37" s="23">
        <v>3</v>
      </c>
      <c r="H37" s="23"/>
      <c r="I37" s="23"/>
      <c r="J37" s="23"/>
      <c r="K37" s="23"/>
    </row>
  </sheetData>
  <conditionalFormatting sqref="B3:G3">
    <cfRule type="colorScale" priority="4">
      <colorScale>
        <cfvo type="min"/>
        <cfvo type="max"/>
        <color rgb="FFFCFCFF"/>
        <color rgb="FF63BE7B"/>
      </colorScale>
    </cfRule>
  </conditionalFormatting>
  <conditionalFormatting sqref="B4:G4">
    <cfRule type="colorScale" priority="3">
      <colorScale>
        <cfvo type="min"/>
        <cfvo type="max"/>
        <color rgb="FFFCFCFF"/>
        <color rgb="FF63BE7B"/>
      </colorScale>
    </cfRule>
  </conditionalFormatting>
  <conditionalFormatting sqref="B5:G5">
    <cfRule type="colorScale" priority="2">
      <colorScale>
        <cfvo type="min"/>
        <cfvo type="max"/>
        <color rgb="FFFCFCFF"/>
        <color rgb="FF63BE7B"/>
      </colorScale>
    </cfRule>
  </conditionalFormatting>
  <conditionalFormatting sqref="B9:G9">
    <cfRule type="colorScale" priority="5">
      <colorScale>
        <cfvo type="min"/>
        <cfvo type="max"/>
        <color rgb="FFFCFCFF"/>
        <color rgb="FF63BE7B"/>
      </colorScale>
    </cfRule>
  </conditionalFormatting>
  <conditionalFormatting sqref="B6:K6">
    <cfRule type="colorScale" priority="8">
      <colorScale>
        <cfvo type="min"/>
        <cfvo type="max"/>
        <color rgb="FFFCFCFF"/>
        <color rgb="FF63BE7B"/>
      </colorScale>
    </cfRule>
  </conditionalFormatting>
  <conditionalFormatting sqref="B7:K7">
    <cfRule type="colorScale" priority="7">
      <colorScale>
        <cfvo type="min"/>
        <cfvo type="max"/>
        <color rgb="FFFCFCFF"/>
        <color rgb="FF63BE7B"/>
      </colorScale>
    </cfRule>
  </conditionalFormatting>
  <conditionalFormatting sqref="B8:K8">
    <cfRule type="colorScale" priority="6">
      <colorScale>
        <cfvo type="min"/>
        <cfvo type="max"/>
        <color rgb="FFFCFCFF"/>
        <color rgb="FF63BE7B"/>
      </colorScale>
    </cfRule>
  </conditionalFormatting>
  <conditionalFormatting sqref="H3:M5">
    <cfRule type="colorScale" priority="9">
      <colorScale>
        <cfvo type="min"/>
        <cfvo type="max"/>
        <color rgb="FFFCFCFF"/>
        <color rgb="FF63BE7B"/>
      </colorScale>
    </cfRule>
  </conditionalFormatting>
  <pageMargins left="0.7" right="0.7" top="0.75" bottom="0.75" header="0.511811023622047" footer="0.511811023622047"/>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D58B64-AD53-EA4C-A6F6-28E242D60BC3}">
  <sheetPr>
    <tabColor theme="2"/>
    <outlinePr summaryBelow="0" summaryRight="0"/>
    <pageSetUpPr autoPageBreaks="0"/>
  </sheetPr>
  <dimension ref="A1:IU87"/>
  <sheetViews>
    <sheetView topLeftCell="A50" workbookViewId="0">
      <selection activeCell="K33" sqref="K33"/>
    </sheetView>
  </sheetViews>
  <sheetFormatPr baseColWidth="10" defaultColWidth="10.83203125" defaultRowHeight="16"/>
  <cols>
    <col min="1" max="1" width="45.83203125" style="135" customWidth="1"/>
    <col min="2" max="7" width="14.83203125" style="135" customWidth="1"/>
    <col min="8" max="256" width="8.83203125" style="135" customWidth="1"/>
    <col min="257" max="16384" width="10.83203125" style="135"/>
  </cols>
  <sheetData>
    <row r="1" spans="1:255">
      <c r="A1" s="134" t="s">
        <v>241</v>
      </c>
    </row>
    <row r="3" spans="1:255" ht="34">
      <c r="A3" s="136" t="s">
        <v>242</v>
      </c>
      <c r="B3" s="137" t="s">
        <v>243</v>
      </c>
      <c r="C3" s="135" t="s">
        <v>244</v>
      </c>
      <c r="D3" s="138" t="s">
        <v>245</v>
      </c>
      <c r="E3" s="137" t="s">
        <v>246</v>
      </c>
      <c r="F3" s="135" t="s">
        <v>247</v>
      </c>
    </row>
    <row r="4" spans="1:255">
      <c r="A4" s="138"/>
      <c r="B4" s="137" t="s">
        <v>248</v>
      </c>
      <c r="C4" s="135" t="s">
        <v>249</v>
      </c>
      <c r="D4" s="138" t="s">
        <v>245</v>
      </c>
      <c r="E4" s="137" t="s">
        <v>250</v>
      </c>
      <c r="F4" s="135" t="s">
        <v>251</v>
      </c>
    </row>
    <row r="5" spans="1:255">
      <c r="A5" s="138"/>
      <c r="B5" s="137" t="s">
        <v>9</v>
      </c>
      <c r="C5" s="135" t="s">
        <v>252</v>
      </c>
      <c r="D5" s="138" t="s">
        <v>245</v>
      </c>
      <c r="E5" s="137" t="s">
        <v>253</v>
      </c>
      <c r="F5" s="135" t="s">
        <v>254</v>
      </c>
    </row>
    <row r="6" spans="1:255">
      <c r="A6" s="138"/>
      <c r="B6" s="137" t="s">
        <v>255</v>
      </c>
      <c r="C6" s="135" t="s">
        <v>256</v>
      </c>
      <c r="D6" s="138" t="s">
        <v>245</v>
      </c>
      <c r="E6" s="137" t="s">
        <v>257</v>
      </c>
      <c r="F6" s="139" t="s">
        <v>258</v>
      </c>
    </row>
    <row r="7" spans="1:255">
      <c r="A7" s="138"/>
      <c r="B7" s="137" t="s">
        <v>259</v>
      </c>
      <c r="C7" s="135" t="s">
        <v>260</v>
      </c>
      <c r="D7" s="138" t="s">
        <v>245</v>
      </c>
      <c r="E7" s="140"/>
      <c r="F7" s="140"/>
    </row>
    <row r="10" spans="1:255">
      <c r="A10" s="141" t="s">
        <v>261</v>
      </c>
      <c r="B10" s="141"/>
      <c r="C10" s="141"/>
      <c r="D10" s="141"/>
      <c r="E10" s="141"/>
      <c r="F10" s="141"/>
      <c r="G10" s="141"/>
      <c r="H10" s="142"/>
      <c r="I10" s="142"/>
      <c r="J10" s="142"/>
      <c r="K10" s="142"/>
      <c r="L10" s="142"/>
      <c r="M10" s="142"/>
      <c r="N10" s="142"/>
      <c r="O10" s="142"/>
      <c r="P10" s="142"/>
      <c r="Q10" s="142"/>
      <c r="R10" s="142"/>
      <c r="S10" s="142"/>
      <c r="T10" s="142"/>
      <c r="U10" s="142"/>
      <c r="V10" s="142"/>
      <c r="W10" s="142"/>
      <c r="X10" s="142"/>
      <c r="Y10" s="142"/>
      <c r="Z10" s="142"/>
      <c r="AA10" s="142"/>
      <c r="AB10" s="142"/>
      <c r="AC10" s="142"/>
      <c r="AD10" s="142"/>
      <c r="AE10" s="142"/>
      <c r="AF10" s="142"/>
      <c r="AG10" s="142"/>
      <c r="AH10" s="142"/>
      <c r="AI10" s="142"/>
      <c r="AJ10" s="142"/>
      <c r="AK10" s="142"/>
      <c r="AL10" s="142"/>
      <c r="AM10" s="142"/>
      <c r="AN10" s="142"/>
      <c r="AO10" s="142"/>
      <c r="AP10" s="142"/>
      <c r="AQ10" s="142"/>
      <c r="AR10" s="142"/>
      <c r="AS10" s="142"/>
      <c r="AT10" s="142"/>
      <c r="AU10" s="142"/>
      <c r="AV10" s="142"/>
      <c r="AW10" s="142"/>
      <c r="AX10" s="142"/>
      <c r="AY10" s="142"/>
      <c r="AZ10" s="142"/>
      <c r="BA10" s="142"/>
      <c r="BB10" s="142"/>
      <c r="BC10" s="142"/>
      <c r="BD10" s="142"/>
      <c r="BE10" s="142"/>
      <c r="BF10" s="142"/>
      <c r="BG10" s="142"/>
      <c r="BH10" s="142"/>
      <c r="BI10" s="142"/>
      <c r="BJ10" s="142"/>
      <c r="BK10" s="142"/>
      <c r="BL10" s="142"/>
      <c r="BM10" s="142"/>
      <c r="BN10" s="142"/>
      <c r="BO10" s="142"/>
      <c r="BP10" s="142"/>
      <c r="BQ10" s="142"/>
      <c r="BR10" s="142"/>
      <c r="BS10" s="142"/>
      <c r="BT10" s="142"/>
      <c r="BU10" s="142"/>
      <c r="BV10" s="142"/>
      <c r="BW10" s="142"/>
      <c r="BX10" s="142"/>
      <c r="BY10" s="142"/>
      <c r="BZ10" s="142"/>
      <c r="CA10" s="142"/>
      <c r="CB10" s="142"/>
      <c r="CC10" s="142"/>
      <c r="CD10" s="142"/>
      <c r="CE10" s="142"/>
      <c r="CF10" s="142"/>
      <c r="CG10" s="142"/>
      <c r="CH10" s="142"/>
      <c r="CI10" s="142"/>
      <c r="CJ10" s="142"/>
      <c r="CK10" s="142"/>
      <c r="CL10" s="142"/>
      <c r="CM10" s="142"/>
      <c r="CN10" s="142"/>
      <c r="CO10" s="142"/>
      <c r="CP10" s="142"/>
      <c r="CQ10" s="142"/>
      <c r="CR10" s="142"/>
      <c r="CS10" s="142"/>
      <c r="CT10" s="142"/>
      <c r="CU10" s="142"/>
      <c r="CV10" s="142"/>
      <c r="CW10" s="142"/>
      <c r="CX10" s="142"/>
      <c r="CY10" s="142"/>
      <c r="CZ10" s="142"/>
      <c r="DA10" s="142"/>
      <c r="DB10" s="142"/>
      <c r="DC10" s="142"/>
      <c r="DD10" s="142"/>
      <c r="DE10" s="142"/>
      <c r="DF10" s="142"/>
      <c r="DG10" s="142"/>
      <c r="DH10" s="142"/>
      <c r="DI10" s="142"/>
      <c r="DJ10" s="142"/>
      <c r="DK10" s="142"/>
      <c r="DL10" s="142"/>
      <c r="DM10" s="142"/>
      <c r="DN10" s="142"/>
      <c r="DO10" s="142"/>
      <c r="DP10" s="142"/>
      <c r="DQ10" s="142"/>
      <c r="DR10" s="142"/>
      <c r="DS10" s="142"/>
      <c r="DT10" s="142"/>
      <c r="DU10" s="142"/>
      <c r="DV10" s="142"/>
      <c r="DW10" s="142"/>
      <c r="DX10" s="142"/>
      <c r="DY10" s="142"/>
      <c r="DZ10" s="142"/>
      <c r="EA10" s="142"/>
      <c r="EB10" s="142"/>
      <c r="EC10" s="142"/>
      <c r="ED10" s="142"/>
      <c r="EE10" s="142"/>
      <c r="EF10" s="142"/>
      <c r="EG10" s="142"/>
      <c r="EH10" s="142"/>
      <c r="EI10" s="142"/>
      <c r="EJ10" s="142"/>
      <c r="EK10" s="142"/>
      <c r="EL10" s="142"/>
      <c r="EM10" s="142"/>
      <c r="EN10" s="142"/>
      <c r="EO10" s="142"/>
      <c r="EP10" s="142"/>
      <c r="EQ10" s="142"/>
      <c r="ER10" s="142"/>
      <c r="ES10" s="142"/>
      <c r="ET10" s="142"/>
      <c r="EU10" s="142"/>
      <c r="EV10" s="142"/>
      <c r="EW10" s="142"/>
      <c r="EX10" s="142"/>
      <c r="EY10" s="142"/>
      <c r="EZ10" s="142"/>
      <c r="FA10" s="142"/>
      <c r="FB10" s="142"/>
      <c r="FC10" s="142"/>
      <c r="FD10" s="142"/>
      <c r="FE10" s="142"/>
      <c r="FF10" s="142"/>
      <c r="FG10" s="142"/>
      <c r="FH10" s="142"/>
      <c r="FI10" s="142"/>
      <c r="FJ10" s="142"/>
      <c r="FK10" s="142"/>
      <c r="FL10" s="142"/>
      <c r="FM10" s="142"/>
      <c r="FN10" s="142"/>
      <c r="FO10" s="142"/>
      <c r="FP10" s="142"/>
      <c r="FQ10" s="142"/>
      <c r="FR10" s="142"/>
      <c r="FS10" s="142"/>
      <c r="FT10" s="142"/>
      <c r="FU10" s="142"/>
      <c r="FV10" s="142"/>
      <c r="FW10" s="142"/>
      <c r="FX10" s="142"/>
      <c r="FY10" s="142"/>
      <c r="FZ10" s="142"/>
      <c r="GA10" s="142"/>
      <c r="GB10" s="142"/>
      <c r="GC10" s="142"/>
      <c r="GD10" s="142"/>
      <c r="GE10" s="142"/>
      <c r="GF10" s="142"/>
      <c r="GG10" s="142"/>
      <c r="GH10" s="142"/>
      <c r="GI10" s="142"/>
      <c r="GJ10" s="142"/>
      <c r="GK10" s="142"/>
      <c r="GL10" s="142"/>
      <c r="GM10" s="142"/>
      <c r="GN10" s="142"/>
      <c r="GO10" s="142"/>
      <c r="GP10" s="142"/>
      <c r="GQ10" s="142"/>
      <c r="GR10" s="142"/>
      <c r="GS10" s="142"/>
      <c r="GT10" s="142"/>
      <c r="GU10" s="142"/>
      <c r="GV10" s="142"/>
      <c r="GW10" s="142"/>
      <c r="GX10" s="142"/>
      <c r="GY10" s="142"/>
      <c r="GZ10" s="142"/>
      <c r="HA10" s="142"/>
      <c r="HB10" s="142"/>
      <c r="HC10" s="142"/>
      <c r="HD10" s="142"/>
      <c r="HE10" s="142"/>
      <c r="HF10" s="142"/>
      <c r="HG10" s="142"/>
      <c r="HH10" s="142"/>
      <c r="HI10" s="142"/>
      <c r="HJ10" s="142"/>
      <c r="HK10" s="142"/>
      <c r="HL10" s="142"/>
      <c r="HM10" s="142"/>
      <c r="HN10" s="142"/>
      <c r="HO10" s="142"/>
      <c r="HP10" s="142"/>
      <c r="HQ10" s="142"/>
      <c r="HR10" s="142"/>
      <c r="HS10" s="142"/>
      <c r="HT10" s="142"/>
      <c r="HU10" s="142"/>
      <c r="HV10" s="142"/>
      <c r="HW10" s="142"/>
      <c r="HX10" s="142"/>
      <c r="HY10" s="142"/>
      <c r="HZ10" s="142"/>
      <c r="IA10" s="142"/>
      <c r="IB10" s="142"/>
      <c r="IC10" s="142"/>
      <c r="ID10" s="142"/>
      <c r="IE10" s="142"/>
      <c r="IF10" s="142"/>
      <c r="IG10" s="142"/>
      <c r="IH10" s="142"/>
      <c r="II10" s="142"/>
      <c r="IJ10" s="142"/>
      <c r="IK10" s="142"/>
      <c r="IL10" s="142"/>
      <c r="IM10" s="142"/>
      <c r="IN10" s="142"/>
      <c r="IO10" s="142"/>
      <c r="IP10" s="142"/>
      <c r="IQ10" s="142"/>
      <c r="IR10" s="142"/>
      <c r="IS10" s="142"/>
      <c r="IT10" s="142"/>
      <c r="IU10" s="142"/>
    </row>
    <row r="11" spans="1:255" ht="34">
      <c r="A11" s="143" t="s">
        <v>262</v>
      </c>
      <c r="B11" s="160">
        <v>44226</v>
      </c>
      <c r="C11" s="160">
        <v>44590</v>
      </c>
      <c r="D11" s="160">
        <v>44954</v>
      </c>
      <c r="E11" s="160">
        <v>45325</v>
      </c>
      <c r="F11" s="160">
        <v>45689</v>
      </c>
      <c r="G11" s="160">
        <v>46053</v>
      </c>
    </row>
    <row r="12" spans="1:255" ht="17">
      <c r="A12" s="145" t="s">
        <v>263</v>
      </c>
      <c r="B12" s="146" t="s">
        <v>264</v>
      </c>
      <c r="C12" s="146" t="s">
        <v>264</v>
      </c>
      <c r="D12" s="146" t="s">
        <v>264</v>
      </c>
      <c r="E12" s="146" t="s">
        <v>264</v>
      </c>
      <c r="F12" s="146" t="s">
        <v>264</v>
      </c>
      <c r="G12" s="146" t="s">
        <v>264</v>
      </c>
    </row>
    <row r="13" spans="1:255">
      <c r="A13" s="147" t="s">
        <v>265</v>
      </c>
      <c r="B13" s="138"/>
      <c r="C13" s="138"/>
      <c r="D13" s="138"/>
      <c r="E13" s="138"/>
      <c r="F13" s="138"/>
      <c r="G13" s="138"/>
    </row>
    <row r="14" spans="1:255">
      <c r="A14" s="138" t="s">
        <v>266</v>
      </c>
      <c r="B14" s="148">
        <v>5494</v>
      </c>
      <c r="C14" s="148">
        <v>2936</v>
      </c>
      <c r="D14" s="148">
        <v>1874</v>
      </c>
      <c r="E14" s="148">
        <v>1447</v>
      </c>
      <c r="F14" s="148">
        <v>1578</v>
      </c>
      <c r="G14" s="148">
        <v>1738</v>
      </c>
    </row>
    <row r="15" spans="1:255" ht="17">
      <c r="A15" s="138" t="s">
        <v>267</v>
      </c>
      <c r="B15" s="148">
        <v>65</v>
      </c>
      <c r="C15" s="148" t="s">
        <v>99</v>
      </c>
      <c r="D15" s="148">
        <v>178</v>
      </c>
      <c r="E15" s="148" t="s">
        <v>99</v>
      </c>
      <c r="F15" s="148">
        <v>190</v>
      </c>
      <c r="G15" s="148">
        <v>153</v>
      </c>
    </row>
    <row r="16" spans="1:255">
      <c r="A16" s="147" t="s">
        <v>268</v>
      </c>
      <c r="B16" s="149">
        <v>5559</v>
      </c>
      <c r="C16" s="149">
        <v>2936</v>
      </c>
      <c r="D16" s="149">
        <v>2052</v>
      </c>
      <c r="E16" s="149">
        <v>1447</v>
      </c>
      <c r="F16" s="149">
        <v>1768</v>
      </c>
      <c r="G16" s="149">
        <v>1891</v>
      </c>
    </row>
    <row r="17" spans="1:7">
      <c r="A17" s="138"/>
      <c r="B17" s="138"/>
      <c r="C17" s="138"/>
      <c r="D17" s="138"/>
      <c r="E17" s="138"/>
      <c r="F17" s="138"/>
      <c r="G17" s="138"/>
    </row>
    <row r="18" spans="1:7">
      <c r="A18" s="138" t="s">
        <v>269</v>
      </c>
      <c r="B18" s="148">
        <v>1061</v>
      </c>
      <c r="C18" s="148">
        <v>1042</v>
      </c>
      <c r="D18" s="148">
        <v>1141</v>
      </c>
      <c r="E18" s="148">
        <v>939</v>
      </c>
      <c r="F18" s="148">
        <v>1044</v>
      </c>
      <c r="G18" s="148">
        <v>1043</v>
      </c>
    </row>
    <row r="19" spans="1:7">
      <c r="A19" s="147" t="s">
        <v>270</v>
      </c>
      <c r="B19" s="149">
        <v>1061</v>
      </c>
      <c r="C19" s="149">
        <v>1042</v>
      </c>
      <c r="D19" s="149">
        <v>1141</v>
      </c>
      <c r="E19" s="149">
        <v>939</v>
      </c>
      <c r="F19" s="149">
        <v>1044</v>
      </c>
      <c r="G19" s="149">
        <v>1043</v>
      </c>
    </row>
    <row r="20" spans="1:7">
      <c r="A20" s="138"/>
      <c r="B20" s="138"/>
      <c r="C20" s="138"/>
      <c r="D20" s="138"/>
      <c r="E20" s="138"/>
      <c r="F20" s="138"/>
      <c r="G20" s="138"/>
    </row>
    <row r="21" spans="1:7">
      <c r="A21" s="138" t="s">
        <v>271</v>
      </c>
      <c r="B21" s="148">
        <v>5612</v>
      </c>
      <c r="C21" s="148">
        <v>5965</v>
      </c>
      <c r="D21" s="148">
        <v>5140</v>
      </c>
      <c r="E21" s="148">
        <v>4958</v>
      </c>
      <c r="F21" s="148">
        <v>5085</v>
      </c>
      <c r="G21" s="148">
        <v>5230</v>
      </c>
    </row>
    <row r="22" spans="1:7" ht="17">
      <c r="A22" s="138" t="s">
        <v>272</v>
      </c>
      <c r="B22" s="148">
        <v>131</v>
      </c>
      <c r="C22" s="148">
        <v>269</v>
      </c>
      <c r="D22" s="148">
        <v>379</v>
      </c>
      <c r="E22" s="148" t="s">
        <v>99</v>
      </c>
      <c r="F22" s="148">
        <v>290</v>
      </c>
      <c r="G22" s="148">
        <v>285</v>
      </c>
    </row>
    <row r="23" spans="1:7">
      <c r="A23" s="138" t="s">
        <v>273</v>
      </c>
      <c r="B23" s="148">
        <v>177</v>
      </c>
      <c r="C23" s="148">
        <v>327</v>
      </c>
      <c r="D23" s="148">
        <v>90</v>
      </c>
      <c r="E23" s="148">
        <v>553</v>
      </c>
      <c r="F23" s="148">
        <v>37</v>
      </c>
      <c r="G23" s="148">
        <v>55</v>
      </c>
    </row>
    <row r="24" spans="1:7">
      <c r="A24" s="147" t="s">
        <v>274</v>
      </c>
      <c r="B24" s="149">
        <v>12540</v>
      </c>
      <c r="C24" s="149">
        <v>10539</v>
      </c>
      <c r="D24" s="149">
        <v>8802</v>
      </c>
      <c r="E24" s="149">
        <v>7897</v>
      </c>
      <c r="F24" s="149">
        <v>8224</v>
      </c>
      <c r="G24" s="149">
        <v>8504</v>
      </c>
    </row>
    <row r="25" spans="1:7">
      <c r="A25" s="138"/>
      <c r="B25" s="138"/>
      <c r="C25" s="138"/>
      <c r="D25" s="138"/>
      <c r="E25" s="138"/>
      <c r="F25" s="138"/>
      <c r="G25" s="138"/>
    </row>
    <row r="26" spans="1:7">
      <c r="A26" s="138" t="s">
        <v>275</v>
      </c>
      <c r="B26" s="148">
        <v>11868</v>
      </c>
      <c r="C26" s="148">
        <v>10995</v>
      </c>
      <c r="D26" s="148">
        <v>9722</v>
      </c>
      <c r="E26" s="148">
        <v>9834</v>
      </c>
      <c r="F26" s="148">
        <v>9885</v>
      </c>
      <c r="G26" s="148">
        <v>9810</v>
      </c>
    </row>
    <row r="27" spans="1:7">
      <c r="A27" s="138" t="s">
        <v>276</v>
      </c>
      <c r="B27" s="148">
        <v>-6996</v>
      </c>
      <c r="C27" s="148">
        <v>-6091</v>
      </c>
      <c r="D27" s="148">
        <v>-4624</v>
      </c>
      <c r="E27" s="148">
        <v>-4816</v>
      </c>
      <c r="F27" s="148">
        <v>-4930</v>
      </c>
      <c r="G27" s="148">
        <v>-4955</v>
      </c>
    </row>
    <row r="28" spans="1:7">
      <c r="A28" s="147" t="s">
        <v>277</v>
      </c>
      <c r="B28" s="149">
        <v>4872</v>
      </c>
      <c r="C28" s="149">
        <v>4904</v>
      </c>
      <c r="D28" s="149">
        <v>5098</v>
      </c>
      <c r="E28" s="149">
        <v>5018</v>
      </c>
      <c r="F28" s="149">
        <v>4955</v>
      </c>
      <c r="G28" s="149">
        <v>4855</v>
      </c>
    </row>
    <row r="29" spans="1:7">
      <c r="A29" s="138"/>
      <c r="B29" s="138"/>
      <c r="C29" s="138"/>
      <c r="D29" s="138"/>
      <c r="E29" s="138"/>
      <c r="F29" s="138"/>
      <c r="G29" s="138"/>
    </row>
    <row r="30" spans="1:7" ht="17">
      <c r="A30" s="138" t="s">
        <v>278</v>
      </c>
      <c r="B30" s="148">
        <v>91</v>
      </c>
      <c r="C30" s="148">
        <v>50</v>
      </c>
      <c r="D30" s="148" t="s">
        <v>99</v>
      </c>
      <c r="E30" s="148" t="s">
        <v>99</v>
      </c>
      <c r="F30" s="148" t="s">
        <v>99</v>
      </c>
      <c r="G30" s="148" t="s">
        <v>99</v>
      </c>
    </row>
    <row r="31" spans="1:7">
      <c r="A31" s="138" t="s">
        <v>279</v>
      </c>
      <c r="B31" s="148">
        <v>986</v>
      </c>
      <c r="C31" s="148">
        <v>1384</v>
      </c>
      <c r="D31" s="148">
        <v>1383</v>
      </c>
      <c r="E31" s="148">
        <v>1383</v>
      </c>
      <c r="F31" s="148">
        <v>908</v>
      </c>
      <c r="G31" s="148">
        <v>790</v>
      </c>
    </row>
    <row r="32" spans="1:7">
      <c r="A32" s="138" t="s">
        <v>280</v>
      </c>
      <c r="B32" s="148">
        <v>301</v>
      </c>
      <c r="C32" s="148">
        <v>275</v>
      </c>
      <c r="D32" s="148">
        <v>189</v>
      </c>
      <c r="E32" s="148">
        <v>128</v>
      </c>
      <c r="F32" s="148">
        <v>91</v>
      </c>
      <c r="G32" s="148">
        <v>5</v>
      </c>
    </row>
    <row r="33" spans="1:9">
      <c r="A33" s="138" t="s">
        <v>281</v>
      </c>
      <c r="B33" s="148">
        <v>17</v>
      </c>
      <c r="C33" s="148">
        <v>25</v>
      </c>
      <c r="D33" s="148">
        <v>4</v>
      </c>
      <c r="E33" s="148">
        <v>167</v>
      </c>
      <c r="F33" s="148">
        <v>223</v>
      </c>
      <c r="G33" s="148">
        <v>164</v>
      </c>
    </row>
    <row r="34" spans="1:9">
      <c r="A34" s="138" t="s">
        <v>282</v>
      </c>
      <c r="B34" s="148">
        <v>260</v>
      </c>
      <c r="C34" s="148">
        <v>327</v>
      </c>
      <c r="D34" s="148">
        <v>327</v>
      </c>
      <c r="E34" s="148">
        <v>374</v>
      </c>
      <c r="F34" s="148">
        <v>381</v>
      </c>
      <c r="G34" s="148">
        <v>352</v>
      </c>
    </row>
    <row r="35" spans="1:9">
      <c r="A35" s="147" t="s">
        <v>283</v>
      </c>
      <c r="B35" s="151">
        <v>19067</v>
      </c>
      <c r="C35" s="151">
        <v>17504</v>
      </c>
      <c r="D35" s="151">
        <v>15803</v>
      </c>
      <c r="E35" s="151">
        <v>14967</v>
      </c>
      <c r="F35" s="151">
        <v>14782</v>
      </c>
      <c r="G35" s="151">
        <v>14670</v>
      </c>
    </row>
    <row r="36" spans="1:9">
      <c r="A36" s="138"/>
      <c r="B36" s="138"/>
      <c r="C36" s="138"/>
      <c r="D36" s="138"/>
      <c r="E36" s="138"/>
      <c r="F36" s="138"/>
      <c r="G36" s="138"/>
    </row>
    <row r="37" spans="1:9">
      <c r="A37" s="147" t="s">
        <v>284</v>
      </c>
      <c r="B37" s="138"/>
      <c r="C37" s="138"/>
      <c r="D37" s="138"/>
      <c r="E37" s="138"/>
      <c r="F37" s="138"/>
      <c r="G37" s="138"/>
    </row>
    <row r="38" spans="1:9">
      <c r="A38" s="138" t="s">
        <v>285</v>
      </c>
      <c r="B38" s="148">
        <v>6979</v>
      </c>
      <c r="C38" s="148">
        <v>6803</v>
      </c>
      <c r="D38" s="148">
        <v>5687</v>
      </c>
      <c r="E38" s="148">
        <v>4637</v>
      </c>
      <c r="F38" s="148">
        <v>4980</v>
      </c>
      <c r="G38" s="148">
        <v>4745</v>
      </c>
    </row>
    <row r="39" spans="1:9">
      <c r="A39" s="138" t="s">
        <v>286</v>
      </c>
      <c r="B39" s="148">
        <v>1626</v>
      </c>
      <c r="C39" s="148">
        <v>1708</v>
      </c>
      <c r="D39" s="148">
        <v>1182</v>
      </c>
      <c r="E39" s="148">
        <v>1335</v>
      </c>
      <c r="F39" s="148">
        <v>1155</v>
      </c>
      <c r="G39" s="148">
        <v>1108</v>
      </c>
    </row>
    <row r="40" spans="1:9" ht="17">
      <c r="A40" s="138" t="s">
        <v>287</v>
      </c>
      <c r="B40" s="148">
        <v>110</v>
      </c>
      <c r="C40" s="148" t="s">
        <v>99</v>
      </c>
      <c r="D40" s="148" t="s">
        <v>99</v>
      </c>
      <c r="E40" s="148" t="s">
        <v>99</v>
      </c>
      <c r="F40" s="148" t="s">
        <v>99</v>
      </c>
      <c r="G40" s="148" t="s">
        <v>99</v>
      </c>
    </row>
    <row r="41" spans="1:9">
      <c r="A41" s="138" t="s">
        <v>288</v>
      </c>
      <c r="B41" s="148">
        <v>707</v>
      </c>
      <c r="C41" s="148">
        <v>661</v>
      </c>
      <c r="D41" s="148">
        <v>654</v>
      </c>
      <c r="E41" s="148">
        <v>631</v>
      </c>
      <c r="F41" s="148">
        <v>627</v>
      </c>
      <c r="G41" s="148">
        <v>634</v>
      </c>
      <c r="I41" s="260"/>
    </row>
    <row r="42" spans="1:9">
      <c r="A42" s="138" t="s">
        <v>289</v>
      </c>
      <c r="B42" s="148">
        <v>1099</v>
      </c>
      <c r="C42" s="148">
        <v>1502</v>
      </c>
      <c r="D42" s="148">
        <v>1456</v>
      </c>
      <c r="E42" s="148">
        <v>1306</v>
      </c>
      <c r="F42" s="148">
        <v>1254</v>
      </c>
      <c r="G42" s="148">
        <v>1192</v>
      </c>
    </row>
    <row r="43" spans="1:9" ht="17">
      <c r="A43" s="138" t="s">
        <v>290</v>
      </c>
      <c r="B43" s="148" t="s">
        <v>99</v>
      </c>
      <c r="C43" s="148" t="s">
        <v>99</v>
      </c>
      <c r="D43" s="148" t="s">
        <v>99</v>
      </c>
      <c r="E43" s="148" t="s">
        <v>99</v>
      </c>
      <c r="F43" s="148" t="s">
        <v>99</v>
      </c>
      <c r="G43" s="148" t="s">
        <v>99</v>
      </c>
    </row>
    <row r="44" spans="1:9">
      <c r="A44" s="147" t="s">
        <v>291</v>
      </c>
      <c r="B44" s="149">
        <v>10521</v>
      </c>
      <c r="C44" s="149">
        <v>10674</v>
      </c>
      <c r="D44" s="149">
        <v>8979</v>
      </c>
      <c r="E44" s="149">
        <v>7909</v>
      </c>
      <c r="F44" s="149">
        <v>8016</v>
      </c>
      <c r="G44" s="149">
        <v>7679</v>
      </c>
    </row>
    <row r="45" spans="1:9">
      <c r="A45" s="138"/>
      <c r="B45" s="138"/>
      <c r="C45" s="138"/>
      <c r="D45" s="138"/>
      <c r="E45" s="138"/>
      <c r="F45" s="138"/>
      <c r="G45" s="138"/>
    </row>
    <row r="46" spans="1:9">
      <c r="A46" s="138" t="s">
        <v>292</v>
      </c>
      <c r="B46" s="148">
        <v>1229</v>
      </c>
      <c r="C46" s="148">
        <v>1189</v>
      </c>
      <c r="D46" s="148">
        <v>1134</v>
      </c>
      <c r="E46" s="148">
        <v>1142</v>
      </c>
      <c r="F46" s="148">
        <v>1143</v>
      </c>
      <c r="G46" s="148">
        <v>1145</v>
      </c>
    </row>
    <row r="47" spans="1:9">
      <c r="A47" s="138" t="s">
        <v>293</v>
      </c>
      <c r="B47" s="148">
        <v>2036</v>
      </c>
      <c r="C47" s="148">
        <v>2088</v>
      </c>
      <c r="D47" s="148">
        <v>2190</v>
      </c>
      <c r="E47" s="148">
        <v>2220</v>
      </c>
      <c r="F47" s="148">
        <v>2297</v>
      </c>
      <c r="G47" s="148">
        <v>2355</v>
      </c>
    </row>
    <row r="48" spans="1:9" ht="17">
      <c r="A48" s="138" t="s">
        <v>294</v>
      </c>
      <c r="B48" s="148" t="s">
        <v>99</v>
      </c>
      <c r="C48" s="148">
        <v>6</v>
      </c>
      <c r="D48" s="148">
        <v>265</v>
      </c>
      <c r="E48" s="148">
        <v>245</v>
      </c>
      <c r="F48" s="148">
        <v>229</v>
      </c>
      <c r="G48" s="148">
        <v>205</v>
      </c>
    </row>
    <row r="49" spans="1:7" ht="17">
      <c r="A49" s="138" t="s">
        <v>295</v>
      </c>
      <c r="B49" s="148" t="s">
        <v>99</v>
      </c>
      <c r="C49" s="148">
        <v>22</v>
      </c>
      <c r="D49" s="148">
        <v>51</v>
      </c>
      <c r="E49" s="148" t="s">
        <v>99</v>
      </c>
      <c r="F49" s="148" t="s">
        <v>99</v>
      </c>
      <c r="G49" s="148" t="s">
        <v>99</v>
      </c>
    </row>
    <row r="50" spans="1:7">
      <c r="A50" s="138" t="s">
        <v>296</v>
      </c>
      <c r="B50" s="148">
        <v>694</v>
      </c>
      <c r="C50" s="148">
        <v>505</v>
      </c>
      <c r="D50" s="148">
        <v>389</v>
      </c>
      <c r="E50" s="148">
        <v>398</v>
      </c>
      <c r="F50" s="148">
        <v>289</v>
      </c>
      <c r="G50" s="148">
        <v>322</v>
      </c>
    </row>
    <row r="51" spans="1:7">
      <c r="A51" s="147" t="s">
        <v>297</v>
      </c>
      <c r="B51" s="149">
        <v>14480</v>
      </c>
      <c r="C51" s="149">
        <v>14484</v>
      </c>
      <c r="D51" s="149">
        <v>13008</v>
      </c>
      <c r="E51" s="149">
        <v>11914</v>
      </c>
      <c r="F51" s="149">
        <v>11974</v>
      </c>
      <c r="G51" s="149">
        <v>11706</v>
      </c>
    </row>
    <row r="52" spans="1:7">
      <c r="A52" s="138"/>
      <c r="B52" s="138"/>
      <c r="C52" s="138"/>
      <c r="D52" s="138"/>
      <c r="E52" s="138"/>
      <c r="F52" s="138"/>
      <c r="G52" s="138"/>
    </row>
    <row r="53" spans="1:7">
      <c r="A53" s="138" t="s">
        <v>298</v>
      </c>
      <c r="B53" s="148">
        <v>26</v>
      </c>
      <c r="C53" s="148">
        <v>23</v>
      </c>
      <c r="D53" s="148">
        <v>22</v>
      </c>
      <c r="E53" s="148">
        <v>22</v>
      </c>
      <c r="F53" s="148">
        <v>22</v>
      </c>
      <c r="G53" s="148">
        <v>22</v>
      </c>
    </row>
    <row r="54" spans="1:7" ht="17">
      <c r="A54" s="138" t="s">
        <v>299</v>
      </c>
      <c r="B54" s="148" t="s">
        <v>99</v>
      </c>
      <c r="C54" s="148" t="s">
        <v>99</v>
      </c>
      <c r="D54" s="148">
        <v>21</v>
      </c>
      <c r="E54" s="148">
        <v>31</v>
      </c>
      <c r="F54" s="148" t="s">
        <v>99</v>
      </c>
      <c r="G54" s="148">
        <v>14</v>
      </c>
    </row>
    <row r="55" spans="1:7">
      <c r="A55" s="138" t="s">
        <v>300</v>
      </c>
      <c r="B55" s="148">
        <v>4233</v>
      </c>
      <c r="C55" s="148">
        <v>2668</v>
      </c>
      <c r="D55" s="148">
        <v>2430</v>
      </c>
      <c r="E55" s="148">
        <v>2683</v>
      </c>
      <c r="F55" s="148">
        <v>2486</v>
      </c>
      <c r="G55" s="148">
        <v>2610</v>
      </c>
    </row>
    <row r="56" spans="1:7" ht="17">
      <c r="A56" s="138" t="s">
        <v>301</v>
      </c>
      <c r="B56" s="148" t="s">
        <v>99</v>
      </c>
      <c r="C56" s="148" t="s">
        <v>99</v>
      </c>
      <c r="D56" s="148" t="s">
        <v>99</v>
      </c>
      <c r="E56" s="148" t="s">
        <v>99</v>
      </c>
      <c r="F56" s="148" t="s">
        <v>99</v>
      </c>
      <c r="G56" s="148" t="s">
        <v>99</v>
      </c>
    </row>
    <row r="57" spans="1:7">
      <c r="A57" s="138" t="s">
        <v>302</v>
      </c>
      <c r="B57" s="148">
        <v>328</v>
      </c>
      <c r="C57" s="148">
        <v>329</v>
      </c>
      <c r="D57" s="148">
        <v>322</v>
      </c>
      <c r="E57" s="148">
        <v>317</v>
      </c>
      <c r="F57" s="148">
        <v>300</v>
      </c>
      <c r="G57" s="148">
        <v>318</v>
      </c>
    </row>
    <row r="58" spans="1:7">
      <c r="A58" s="147" t="s">
        <v>303</v>
      </c>
      <c r="B58" s="149">
        <v>4587</v>
      </c>
      <c r="C58" s="149">
        <v>3020</v>
      </c>
      <c r="D58" s="149">
        <v>2795</v>
      </c>
      <c r="E58" s="149">
        <v>3053</v>
      </c>
      <c r="F58" s="149">
        <v>2808</v>
      </c>
      <c r="G58" s="149">
        <v>2964</v>
      </c>
    </row>
    <row r="59" spans="1:7">
      <c r="A59" s="138"/>
      <c r="B59" s="138"/>
      <c r="C59" s="138"/>
      <c r="D59" s="138"/>
      <c r="E59" s="138"/>
      <c r="F59" s="138"/>
      <c r="G59" s="138"/>
    </row>
    <row r="60" spans="1:7">
      <c r="A60" s="147" t="s">
        <v>304</v>
      </c>
      <c r="B60" s="161">
        <v>4587</v>
      </c>
      <c r="C60" s="161">
        <v>3020</v>
      </c>
      <c r="D60" s="161">
        <v>2795</v>
      </c>
      <c r="E60" s="161">
        <v>3053</v>
      </c>
      <c r="F60" s="161">
        <v>2808</v>
      </c>
      <c r="G60" s="161">
        <v>2964</v>
      </c>
    </row>
    <row r="61" spans="1:7">
      <c r="A61" s="138"/>
      <c r="B61" s="138"/>
      <c r="C61" s="138"/>
      <c r="D61" s="138"/>
      <c r="E61" s="138"/>
      <c r="F61" s="138"/>
      <c r="G61" s="138"/>
    </row>
    <row r="62" spans="1:7">
      <c r="A62" s="147" t="s">
        <v>305</v>
      </c>
      <c r="B62" s="162">
        <v>19067</v>
      </c>
      <c r="C62" s="162">
        <v>17504</v>
      </c>
      <c r="D62" s="162">
        <v>15803</v>
      </c>
      <c r="E62" s="162">
        <v>14967</v>
      </c>
      <c r="F62" s="162">
        <v>14782</v>
      </c>
      <c r="G62" s="162">
        <v>14670</v>
      </c>
    </row>
    <row r="63" spans="1:7">
      <c r="A63" s="138"/>
      <c r="B63" s="138"/>
      <c r="C63" s="138"/>
      <c r="D63" s="138"/>
      <c r="E63" s="138"/>
      <c r="F63" s="138"/>
      <c r="G63" s="138"/>
    </row>
    <row r="64" spans="1:7">
      <c r="A64" s="147" t="s">
        <v>306</v>
      </c>
      <c r="B64" s="138"/>
      <c r="C64" s="138"/>
      <c r="D64" s="138"/>
      <c r="E64" s="138"/>
      <c r="F64" s="138"/>
      <c r="G64" s="138"/>
    </row>
    <row r="65" spans="1:7">
      <c r="A65" s="138" t="s">
        <v>307</v>
      </c>
      <c r="B65" s="148">
        <v>250.04487599999999</v>
      </c>
      <c r="C65" s="148">
        <v>225.227756</v>
      </c>
      <c r="D65" s="148">
        <v>218.045737</v>
      </c>
      <c r="E65" s="148">
        <v>215.381395</v>
      </c>
      <c r="F65" s="148">
        <v>211.36965699999999</v>
      </c>
      <c r="G65" s="148">
        <v>209.11257699999999</v>
      </c>
    </row>
    <row r="66" spans="1:7">
      <c r="A66" s="138" t="s">
        <v>308</v>
      </c>
      <c r="B66" s="148">
        <v>257</v>
      </c>
      <c r="C66" s="148">
        <v>227.4</v>
      </c>
      <c r="D66" s="148">
        <v>218.1</v>
      </c>
      <c r="E66" s="148">
        <v>215.4</v>
      </c>
      <c r="F66" s="148">
        <v>211.4</v>
      </c>
      <c r="G66" s="148">
        <v>209.1</v>
      </c>
    </row>
    <row r="67" spans="1:7">
      <c r="A67" s="138" t="s">
        <v>309</v>
      </c>
      <c r="B67" s="152">
        <v>17.850000000000001</v>
      </c>
      <c r="C67" s="152">
        <v>13.28</v>
      </c>
      <c r="D67" s="152">
        <v>12.82</v>
      </c>
      <c r="E67" s="152">
        <v>14.17</v>
      </c>
      <c r="F67" s="152">
        <v>13.28</v>
      </c>
      <c r="G67" s="152">
        <v>14.18</v>
      </c>
    </row>
    <row r="68" spans="1:7">
      <c r="A68" s="138" t="s">
        <v>310</v>
      </c>
      <c r="B68" s="148">
        <v>3300</v>
      </c>
      <c r="C68" s="148">
        <v>1361</v>
      </c>
      <c r="D68" s="148">
        <v>1223</v>
      </c>
      <c r="E68" s="148">
        <v>1542</v>
      </c>
      <c r="F68" s="148">
        <v>1809</v>
      </c>
      <c r="G68" s="148">
        <v>2169</v>
      </c>
    </row>
    <row r="69" spans="1:7">
      <c r="A69" s="138" t="s">
        <v>311</v>
      </c>
      <c r="B69" s="152">
        <v>12.84</v>
      </c>
      <c r="C69" s="152">
        <v>5.99</v>
      </c>
      <c r="D69" s="152">
        <v>5.61</v>
      </c>
      <c r="E69" s="152">
        <v>7.16</v>
      </c>
      <c r="F69" s="152">
        <v>8.56</v>
      </c>
      <c r="G69" s="152">
        <v>10.37</v>
      </c>
    </row>
    <row r="70" spans="1:7">
      <c r="A70" s="138" t="s">
        <v>312</v>
      </c>
      <c r="B70" s="148">
        <v>4082</v>
      </c>
      <c r="C70" s="148">
        <v>3938</v>
      </c>
      <c r="D70" s="148">
        <v>3978</v>
      </c>
      <c r="E70" s="148">
        <v>3993</v>
      </c>
      <c r="F70" s="148">
        <v>4067</v>
      </c>
      <c r="G70" s="148">
        <v>4134</v>
      </c>
    </row>
    <row r="71" spans="1:7">
      <c r="A71" s="138" t="s">
        <v>313</v>
      </c>
      <c r="B71" s="148">
        <v>-1477</v>
      </c>
      <c r="C71" s="148">
        <v>1002</v>
      </c>
      <c r="D71" s="148">
        <v>1926</v>
      </c>
      <c r="E71" s="148">
        <v>2546</v>
      </c>
      <c r="F71" s="148">
        <v>2299</v>
      </c>
      <c r="G71" s="148">
        <v>2243</v>
      </c>
    </row>
    <row r="72" spans="1:7">
      <c r="A72" s="138" t="s">
        <v>314</v>
      </c>
      <c r="B72" s="148">
        <v>8080</v>
      </c>
      <c r="C72" s="148">
        <v>7960</v>
      </c>
      <c r="D72" s="148">
        <v>8008</v>
      </c>
      <c r="E72" s="148">
        <v>8040</v>
      </c>
      <c r="F72" s="148">
        <v>8056</v>
      </c>
      <c r="G72" s="148">
        <v>8136</v>
      </c>
    </row>
    <row r="73" spans="1:7" ht="17">
      <c r="A73" s="138" t="s">
        <v>315</v>
      </c>
      <c r="B73" s="157" t="s">
        <v>316</v>
      </c>
      <c r="C73" s="157" t="s">
        <v>316</v>
      </c>
      <c r="D73" s="157" t="s">
        <v>316</v>
      </c>
      <c r="E73" s="157" t="s">
        <v>316</v>
      </c>
      <c r="F73" s="157" t="s">
        <v>316</v>
      </c>
      <c r="G73" s="157" t="s">
        <v>316</v>
      </c>
    </row>
    <row r="74" spans="1:7">
      <c r="A74" s="138" t="s">
        <v>317</v>
      </c>
      <c r="B74" s="148">
        <v>5612</v>
      </c>
      <c r="C74" s="148">
        <v>5965</v>
      </c>
      <c r="D74" s="148">
        <v>5140</v>
      </c>
      <c r="E74" s="148">
        <v>4958</v>
      </c>
      <c r="F74" s="148">
        <v>5085</v>
      </c>
      <c r="G74" s="148">
        <v>5230</v>
      </c>
    </row>
    <row r="75" spans="1:7">
      <c r="A75" s="138" t="s">
        <v>318</v>
      </c>
      <c r="B75" s="148">
        <v>658</v>
      </c>
      <c r="C75" s="148">
        <v>671</v>
      </c>
      <c r="D75" s="148">
        <v>688</v>
      </c>
      <c r="E75" s="148">
        <v>702</v>
      </c>
      <c r="F75" s="148">
        <v>722</v>
      </c>
      <c r="G75" s="148">
        <v>734</v>
      </c>
    </row>
    <row r="76" spans="1:7">
      <c r="A76" s="138" t="s">
        <v>319</v>
      </c>
      <c r="B76" s="148">
        <v>6333</v>
      </c>
      <c r="C76" s="148">
        <v>5419</v>
      </c>
      <c r="D76" s="148">
        <v>3928</v>
      </c>
      <c r="E76" s="148">
        <v>4002</v>
      </c>
      <c r="F76" s="148">
        <v>3872</v>
      </c>
      <c r="G76" s="148">
        <v>3732</v>
      </c>
    </row>
    <row r="77" spans="1:7">
      <c r="A77" s="138" t="s">
        <v>320</v>
      </c>
      <c r="B77" s="148">
        <v>2192</v>
      </c>
      <c r="C77" s="148">
        <v>2160</v>
      </c>
      <c r="D77" s="148">
        <v>2260</v>
      </c>
      <c r="E77" s="148">
        <v>2275</v>
      </c>
      <c r="F77" s="148">
        <v>2370</v>
      </c>
      <c r="G77" s="148">
        <v>2395</v>
      </c>
    </row>
    <row r="78" spans="1:7">
      <c r="A78" s="138" t="s">
        <v>321</v>
      </c>
      <c r="B78" s="163">
        <v>61200</v>
      </c>
      <c r="C78" s="163">
        <v>57750</v>
      </c>
      <c r="D78" s="163">
        <v>52200</v>
      </c>
      <c r="E78" s="163">
        <v>85000</v>
      </c>
      <c r="F78" s="163">
        <v>85000</v>
      </c>
      <c r="G78" s="163">
        <v>82000</v>
      </c>
    </row>
    <row r="79" spans="1:7" ht="17">
      <c r="A79" s="138" t="s">
        <v>322</v>
      </c>
      <c r="B79" s="163">
        <v>35700</v>
      </c>
      <c r="C79" s="163">
        <v>36750</v>
      </c>
      <c r="D79" s="163">
        <v>28800</v>
      </c>
      <c r="E79" s="163" t="s">
        <v>323</v>
      </c>
      <c r="F79" s="163" t="s">
        <v>323</v>
      </c>
      <c r="G79" s="163" t="s">
        <v>323</v>
      </c>
    </row>
    <row r="80" spans="1:7">
      <c r="A80" s="138" t="s">
        <v>324</v>
      </c>
      <c r="B80" s="148">
        <v>38</v>
      </c>
      <c r="C80" s="148">
        <v>39</v>
      </c>
      <c r="D80" s="148">
        <v>30</v>
      </c>
      <c r="E80" s="148">
        <v>32</v>
      </c>
      <c r="F80" s="148">
        <v>26</v>
      </c>
      <c r="G80" s="148">
        <v>24</v>
      </c>
    </row>
    <row r="81" spans="1:7">
      <c r="A81" s="138" t="s">
        <v>325</v>
      </c>
      <c r="B81" s="156">
        <v>45002</v>
      </c>
      <c r="C81" s="156">
        <v>45366</v>
      </c>
      <c r="D81" s="156">
        <v>45735</v>
      </c>
      <c r="E81" s="156">
        <v>46099</v>
      </c>
      <c r="F81" s="156">
        <v>46099</v>
      </c>
      <c r="G81" s="156">
        <v>46099</v>
      </c>
    </row>
    <row r="82" spans="1:7" ht="17">
      <c r="A82" s="138" t="s">
        <v>326</v>
      </c>
      <c r="B82" s="157" t="s">
        <v>327</v>
      </c>
      <c r="C82" s="157" t="s">
        <v>327</v>
      </c>
      <c r="D82" s="157" t="s">
        <v>327</v>
      </c>
      <c r="E82" s="157" t="s">
        <v>327</v>
      </c>
      <c r="F82" s="157" t="s">
        <v>327</v>
      </c>
      <c r="G82" s="157" t="s">
        <v>328</v>
      </c>
    </row>
    <row r="83" spans="1:7" ht="17">
      <c r="A83" s="138" t="s">
        <v>329</v>
      </c>
      <c r="B83" s="157" t="s">
        <v>330</v>
      </c>
      <c r="C83" s="157" t="s">
        <v>330</v>
      </c>
      <c r="D83" s="157" t="s">
        <v>330</v>
      </c>
      <c r="E83" s="157" t="s">
        <v>330</v>
      </c>
      <c r="F83" s="157" t="s">
        <v>331</v>
      </c>
      <c r="G83" s="157" t="s">
        <v>331</v>
      </c>
    </row>
    <row r="84" spans="1:7">
      <c r="A84" s="138"/>
      <c r="B84" s="138"/>
      <c r="C84" s="138"/>
      <c r="D84" s="138"/>
      <c r="E84" s="138"/>
      <c r="F84" s="138"/>
      <c r="G84" s="138"/>
    </row>
    <row r="85" spans="1:7">
      <c r="A85" s="158"/>
      <c r="B85" s="158"/>
      <c r="C85" s="158"/>
      <c r="D85" s="158"/>
      <c r="E85" s="158"/>
      <c r="F85" s="158"/>
      <c r="G85" s="158"/>
    </row>
    <row r="86" spans="1:7">
      <c r="A86" s="135" t="s">
        <v>332</v>
      </c>
    </row>
    <row r="87" spans="1:7">
      <c r="A87" s="159" t="s">
        <v>333</v>
      </c>
    </row>
  </sheetData>
  <pageMargins left="0.2" right="0.2" top="0.5" bottom="0.5" header="0.5" footer="0.5"/>
  <pageSetup fitToWidth="0" fitToHeight="0" orientation="landscape" horizontalDpi="0" verticalDpi="0"/>
  <headerFooter alignWithMargin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C55967-7FE3-0E49-A45B-511DA1443CAF}">
  <sheetPr>
    <tabColor theme="2"/>
    <outlinePr summaryBelow="0" summaryRight="0"/>
    <pageSetUpPr autoPageBreaks="0"/>
  </sheetPr>
  <dimension ref="A1:IU110"/>
  <sheetViews>
    <sheetView topLeftCell="A24" workbookViewId="0">
      <selection activeCell="G67" sqref="G67:G68"/>
    </sheetView>
  </sheetViews>
  <sheetFormatPr baseColWidth="10" defaultColWidth="10.83203125" defaultRowHeight="16"/>
  <cols>
    <col min="1" max="1" width="45.83203125" style="135" customWidth="1"/>
    <col min="2" max="7" width="14.83203125" style="135" customWidth="1"/>
    <col min="8" max="256" width="8.83203125" style="135" customWidth="1"/>
    <col min="257" max="16384" width="10.83203125" style="135"/>
  </cols>
  <sheetData>
    <row r="1" spans="1:255">
      <c r="A1" s="134" t="s">
        <v>334</v>
      </c>
    </row>
    <row r="3" spans="1:255" ht="34">
      <c r="A3" s="136" t="s">
        <v>242</v>
      </c>
      <c r="B3" s="137" t="s">
        <v>243</v>
      </c>
      <c r="C3" s="135" t="s">
        <v>244</v>
      </c>
      <c r="D3" s="138" t="s">
        <v>245</v>
      </c>
      <c r="E3" s="137" t="s">
        <v>246</v>
      </c>
      <c r="F3" s="135" t="s">
        <v>247</v>
      </c>
    </row>
    <row r="4" spans="1:255">
      <c r="A4" s="138"/>
      <c r="B4" s="137" t="s">
        <v>248</v>
      </c>
      <c r="C4" s="135" t="s">
        <v>249</v>
      </c>
      <c r="D4" s="138" t="s">
        <v>245</v>
      </c>
      <c r="E4" s="137" t="s">
        <v>250</v>
      </c>
      <c r="F4" s="135" t="s">
        <v>251</v>
      </c>
    </row>
    <row r="5" spans="1:255">
      <c r="A5" s="138"/>
      <c r="B5" s="137" t="s">
        <v>9</v>
      </c>
      <c r="C5" s="135" t="s">
        <v>252</v>
      </c>
      <c r="D5" s="138" t="s">
        <v>245</v>
      </c>
      <c r="E5" s="137" t="s">
        <v>253</v>
      </c>
      <c r="F5" s="135" t="s">
        <v>254</v>
      </c>
    </row>
    <row r="6" spans="1:255">
      <c r="A6" s="138"/>
      <c r="B6" s="137" t="s">
        <v>255</v>
      </c>
      <c r="C6" s="135" t="s">
        <v>256</v>
      </c>
      <c r="D6" s="138" t="s">
        <v>245</v>
      </c>
      <c r="E6" s="137" t="s">
        <v>257</v>
      </c>
      <c r="F6" s="139" t="s">
        <v>258</v>
      </c>
    </row>
    <row r="7" spans="1:255">
      <c r="A7" s="138"/>
      <c r="B7" s="137" t="s">
        <v>259</v>
      </c>
      <c r="C7" s="135" t="s">
        <v>260</v>
      </c>
      <c r="D7" s="138" t="s">
        <v>245</v>
      </c>
      <c r="E7" s="140"/>
      <c r="F7" s="140"/>
    </row>
    <row r="10" spans="1:255">
      <c r="A10" s="141" t="s">
        <v>335</v>
      </c>
      <c r="B10" s="141"/>
      <c r="C10" s="141"/>
      <c r="D10" s="141"/>
      <c r="E10" s="141"/>
      <c r="F10" s="141"/>
      <c r="G10" s="141"/>
      <c r="H10" s="142"/>
      <c r="I10" s="142"/>
      <c r="J10" s="142"/>
      <c r="K10" s="142"/>
      <c r="L10" s="142"/>
      <c r="M10" s="142"/>
      <c r="N10" s="142"/>
      <c r="O10" s="142"/>
      <c r="P10" s="142"/>
      <c r="Q10" s="142"/>
      <c r="R10" s="142"/>
      <c r="S10" s="142"/>
      <c r="T10" s="142"/>
      <c r="U10" s="142"/>
      <c r="V10" s="142"/>
      <c r="W10" s="142"/>
      <c r="X10" s="142"/>
      <c r="Y10" s="142"/>
      <c r="Z10" s="142"/>
      <c r="AA10" s="142"/>
      <c r="AB10" s="142"/>
      <c r="AC10" s="142"/>
      <c r="AD10" s="142"/>
      <c r="AE10" s="142"/>
      <c r="AF10" s="142"/>
      <c r="AG10" s="142"/>
      <c r="AH10" s="142"/>
      <c r="AI10" s="142"/>
      <c r="AJ10" s="142"/>
      <c r="AK10" s="142"/>
      <c r="AL10" s="142"/>
      <c r="AM10" s="142"/>
      <c r="AN10" s="142"/>
      <c r="AO10" s="142"/>
      <c r="AP10" s="142"/>
      <c r="AQ10" s="142"/>
      <c r="AR10" s="142"/>
      <c r="AS10" s="142"/>
      <c r="AT10" s="142"/>
      <c r="AU10" s="142"/>
      <c r="AV10" s="142"/>
      <c r="AW10" s="142"/>
      <c r="AX10" s="142"/>
      <c r="AY10" s="142"/>
      <c r="AZ10" s="142"/>
      <c r="BA10" s="142"/>
      <c r="BB10" s="142"/>
      <c r="BC10" s="142"/>
      <c r="BD10" s="142"/>
      <c r="BE10" s="142"/>
      <c r="BF10" s="142"/>
      <c r="BG10" s="142"/>
      <c r="BH10" s="142"/>
      <c r="BI10" s="142"/>
      <c r="BJ10" s="142"/>
      <c r="BK10" s="142"/>
      <c r="BL10" s="142"/>
      <c r="BM10" s="142"/>
      <c r="BN10" s="142"/>
      <c r="BO10" s="142"/>
      <c r="BP10" s="142"/>
      <c r="BQ10" s="142"/>
      <c r="BR10" s="142"/>
      <c r="BS10" s="142"/>
      <c r="BT10" s="142"/>
      <c r="BU10" s="142"/>
      <c r="BV10" s="142"/>
      <c r="BW10" s="142"/>
      <c r="BX10" s="142"/>
      <c r="BY10" s="142"/>
      <c r="BZ10" s="142"/>
      <c r="CA10" s="142"/>
      <c r="CB10" s="142"/>
      <c r="CC10" s="142"/>
      <c r="CD10" s="142"/>
      <c r="CE10" s="142"/>
      <c r="CF10" s="142"/>
      <c r="CG10" s="142"/>
      <c r="CH10" s="142"/>
      <c r="CI10" s="142"/>
      <c r="CJ10" s="142"/>
      <c r="CK10" s="142"/>
      <c r="CL10" s="142"/>
      <c r="CM10" s="142"/>
      <c r="CN10" s="142"/>
      <c r="CO10" s="142"/>
      <c r="CP10" s="142"/>
      <c r="CQ10" s="142"/>
      <c r="CR10" s="142"/>
      <c r="CS10" s="142"/>
      <c r="CT10" s="142"/>
      <c r="CU10" s="142"/>
      <c r="CV10" s="142"/>
      <c r="CW10" s="142"/>
      <c r="CX10" s="142"/>
      <c r="CY10" s="142"/>
      <c r="CZ10" s="142"/>
      <c r="DA10" s="142"/>
      <c r="DB10" s="142"/>
      <c r="DC10" s="142"/>
      <c r="DD10" s="142"/>
      <c r="DE10" s="142"/>
      <c r="DF10" s="142"/>
      <c r="DG10" s="142"/>
      <c r="DH10" s="142"/>
      <c r="DI10" s="142"/>
      <c r="DJ10" s="142"/>
      <c r="DK10" s="142"/>
      <c r="DL10" s="142"/>
      <c r="DM10" s="142"/>
      <c r="DN10" s="142"/>
      <c r="DO10" s="142"/>
      <c r="DP10" s="142"/>
      <c r="DQ10" s="142"/>
      <c r="DR10" s="142"/>
      <c r="DS10" s="142"/>
      <c r="DT10" s="142"/>
      <c r="DU10" s="142"/>
      <c r="DV10" s="142"/>
      <c r="DW10" s="142"/>
      <c r="DX10" s="142"/>
      <c r="DY10" s="142"/>
      <c r="DZ10" s="142"/>
      <c r="EA10" s="142"/>
      <c r="EB10" s="142"/>
      <c r="EC10" s="142"/>
      <c r="ED10" s="142"/>
      <c r="EE10" s="142"/>
      <c r="EF10" s="142"/>
      <c r="EG10" s="142"/>
      <c r="EH10" s="142"/>
      <c r="EI10" s="142"/>
      <c r="EJ10" s="142"/>
      <c r="EK10" s="142"/>
      <c r="EL10" s="142"/>
      <c r="EM10" s="142"/>
      <c r="EN10" s="142"/>
      <c r="EO10" s="142"/>
      <c r="EP10" s="142"/>
      <c r="EQ10" s="142"/>
      <c r="ER10" s="142"/>
      <c r="ES10" s="142"/>
      <c r="ET10" s="142"/>
      <c r="EU10" s="142"/>
      <c r="EV10" s="142"/>
      <c r="EW10" s="142"/>
      <c r="EX10" s="142"/>
      <c r="EY10" s="142"/>
      <c r="EZ10" s="142"/>
      <c r="FA10" s="142"/>
      <c r="FB10" s="142"/>
      <c r="FC10" s="142"/>
      <c r="FD10" s="142"/>
      <c r="FE10" s="142"/>
      <c r="FF10" s="142"/>
      <c r="FG10" s="142"/>
      <c r="FH10" s="142"/>
      <c r="FI10" s="142"/>
      <c r="FJ10" s="142"/>
      <c r="FK10" s="142"/>
      <c r="FL10" s="142"/>
      <c r="FM10" s="142"/>
      <c r="FN10" s="142"/>
      <c r="FO10" s="142"/>
      <c r="FP10" s="142"/>
      <c r="FQ10" s="142"/>
      <c r="FR10" s="142"/>
      <c r="FS10" s="142"/>
      <c r="FT10" s="142"/>
      <c r="FU10" s="142"/>
      <c r="FV10" s="142"/>
      <c r="FW10" s="142"/>
      <c r="FX10" s="142"/>
      <c r="FY10" s="142"/>
      <c r="FZ10" s="142"/>
      <c r="GA10" s="142"/>
      <c r="GB10" s="142"/>
      <c r="GC10" s="142"/>
      <c r="GD10" s="142"/>
      <c r="GE10" s="142"/>
      <c r="GF10" s="142"/>
      <c r="GG10" s="142"/>
      <c r="GH10" s="142"/>
      <c r="GI10" s="142"/>
      <c r="GJ10" s="142"/>
      <c r="GK10" s="142"/>
      <c r="GL10" s="142"/>
      <c r="GM10" s="142"/>
      <c r="GN10" s="142"/>
      <c r="GO10" s="142"/>
      <c r="GP10" s="142"/>
      <c r="GQ10" s="142"/>
      <c r="GR10" s="142"/>
      <c r="GS10" s="142"/>
      <c r="GT10" s="142"/>
      <c r="GU10" s="142"/>
      <c r="GV10" s="142"/>
      <c r="GW10" s="142"/>
      <c r="GX10" s="142"/>
      <c r="GY10" s="142"/>
      <c r="GZ10" s="142"/>
      <c r="HA10" s="142"/>
      <c r="HB10" s="142"/>
      <c r="HC10" s="142"/>
      <c r="HD10" s="142"/>
      <c r="HE10" s="142"/>
      <c r="HF10" s="142"/>
      <c r="HG10" s="142"/>
      <c r="HH10" s="142"/>
      <c r="HI10" s="142"/>
      <c r="HJ10" s="142"/>
      <c r="HK10" s="142"/>
      <c r="HL10" s="142"/>
      <c r="HM10" s="142"/>
      <c r="HN10" s="142"/>
      <c r="HO10" s="142"/>
      <c r="HP10" s="142"/>
      <c r="HQ10" s="142"/>
      <c r="HR10" s="142"/>
      <c r="HS10" s="142"/>
      <c r="HT10" s="142"/>
      <c r="HU10" s="142"/>
      <c r="HV10" s="142"/>
      <c r="HW10" s="142"/>
      <c r="HX10" s="142"/>
      <c r="HY10" s="142"/>
      <c r="HZ10" s="142"/>
      <c r="IA10" s="142"/>
      <c r="IB10" s="142"/>
      <c r="IC10" s="142"/>
      <c r="ID10" s="142"/>
      <c r="IE10" s="142"/>
      <c r="IF10" s="142"/>
      <c r="IG10" s="142"/>
      <c r="IH10" s="142"/>
      <c r="II10" s="142"/>
      <c r="IJ10" s="142"/>
      <c r="IK10" s="142"/>
      <c r="IL10" s="142"/>
      <c r="IM10" s="142"/>
      <c r="IN10" s="142"/>
      <c r="IO10" s="142"/>
      <c r="IP10" s="142"/>
      <c r="IQ10" s="142"/>
      <c r="IR10" s="142"/>
      <c r="IS10" s="142"/>
      <c r="IT10" s="142"/>
      <c r="IU10" s="142"/>
    </row>
    <row r="11" spans="1:255" ht="51">
      <c r="A11" s="143" t="s">
        <v>336</v>
      </c>
      <c r="B11" s="144" t="s">
        <v>337</v>
      </c>
      <c r="C11" s="144" t="s">
        <v>338</v>
      </c>
      <c r="D11" s="144" t="s">
        <v>339</v>
      </c>
      <c r="E11" s="144" t="s">
        <v>340</v>
      </c>
      <c r="F11" s="144" t="s">
        <v>341</v>
      </c>
      <c r="G11" s="144" t="s">
        <v>342</v>
      </c>
    </row>
    <row r="12" spans="1:255" ht="17">
      <c r="A12" s="145" t="s">
        <v>263</v>
      </c>
      <c r="B12" s="146" t="s">
        <v>264</v>
      </c>
      <c r="C12" s="146"/>
      <c r="D12" s="146" t="s">
        <v>264</v>
      </c>
      <c r="E12" s="146" t="s">
        <v>264</v>
      </c>
      <c r="F12" s="146" t="s">
        <v>264</v>
      </c>
      <c r="G12" s="146" t="s">
        <v>264</v>
      </c>
    </row>
    <row r="13" spans="1:255">
      <c r="A13" s="147" t="s">
        <v>343</v>
      </c>
      <c r="B13" s="138"/>
      <c r="C13" s="138"/>
      <c r="D13" s="138"/>
      <c r="E13" s="138"/>
      <c r="F13" s="138"/>
      <c r="G13" s="138"/>
    </row>
    <row r="14" spans="1:255">
      <c r="A14" s="138" t="s">
        <v>344</v>
      </c>
      <c r="B14" s="148">
        <v>47262</v>
      </c>
      <c r="C14" s="148">
        <v>51761</v>
      </c>
      <c r="D14" s="148">
        <v>46298</v>
      </c>
      <c r="E14" s="148">
        <v>43452</v>
      </c>
      <c r="F14" s="148">
        <v>41528</v>
      </c>
      <c r="G14" s="148">
        <v>41691</v>
      </c>
    </row>
    <row r="15" spans="1:255" ht="17">
      <c r="A15" s="138" t="s">
        <v>345</v>
      </c>
      <c r="B15" s="148" t="s">
        <v>99</v>
      </c>
      <c r="C15" s="148" t="s">
        <v>99</v>
      </c>
      <c r="D15" s="148" t="s">
        <v>99</v>
      </c>
      <c r="E15" s="148" t="s">
        <v>99</v>
      </c>
      <c r="F15" s="148" t="s">
        <v>99</v>
      </c>
      <c r="G15" s="148" t="s">
        <v>99</v>
      </c>
    </row>
    <row r="16" spans="1:255">
      <c r="A16" s="147" t="s">
        <v>346</v>
      </c>
      <c r="B16" s="149">
        <v>47262</v>
      </c>
      <c r="C16" s="149">
        <v>51761</v>
      </c>
      <c r="D16" s="149">
        <v>46298</v>
      </c>
      <c r="E16" s="149">
        <v>43452</v>
      </c>
      <c r="F16" s="149">
        <v>41528</v>
      </c>
      <c r="G16" s="149">
        <v>41691</v>
      </c>
    </row>
    <row r="17" spans="1:7">
      <c r="A17" s="138"/>
      <c r="B17" s="138"/>
      <c r="C17" s="138"/>
      <c r="D17" s="138"/>
      <c r="E17" s="138"/>
      <c r="F17" s="138"/>
      <c r="G17" s="138"/>
    </row>
    <row r="18" spans="1:7">
      <c r="A18" s="138" t="s">
        <v>347</v>
      </c>
      <c r="B18" s="148">
        <v>36666</v>
      </c>
      <c r="C18" s="148">
        <v>40127</v>
      </c>
      <c r="D18" s="148">
        <v>36386</v>
      </c>
      <c r="E18" s="148">
        <v>33849</v>
      </c>
      <c r="F18" s="148">
        <v>32143</v>
      </c>
      <c r="G18" s="148">
        <v>32318</v>
      </c>
    </row>
    <row r="19" spans="1:7">
      <c r="A19" s="147" t="s">
        <v>348</v>
      </c>
      <c r="B19" s="149">
        <v>10596</v>
      </c>
      <c r="C19" s="149">
        <v>11634</v>
      </c>
      <c r="D19" s="149">
        <v>9912</v>
      </c>
      <c r="E19" s="149">
        <v>9603</v>
      </c>
      <c r="F19" s="149">
        <v>9385</v>
      </c>
      <c r="G19" s="149">
        <v>9373</v>
      </c>
    </row>
    <row r="20" spans="1:7">
      <c r="A20" s="138"/>
      <c r="B20" s="138"/>
      <c r="C20" s="138"/>
      <c r="D20" s="138"/>
      <c r="E20" s="138"/>
      <c r="F20" s="138"/>
      <c r="G20" s="138"/>
    </row>
    <row r="21" spans="1:7">
      <c r="A21" s="138" t="s">
        <v>349</v>
      </c>
      <c r="B21" s="148">
        <v>7848</v>
      </c>
      <c r="C21" s="148">
        <v>8542</v>
      </c>
      <c r="D21" s="148">
        <v>7884</v>
      </c>
      <c r="E21" s="148">
        <v>7813</v>
      </c>
      <c r="F21" s="148">
        <v>7628</v>
      </c>
      <c r="G21" s="148">
        <v>7588</v>
      </c>
    </row>
    <row r="22" spans="1:7" ht="17">
      <c r="A22" s="138" t="s">
        <v>350</v>
      </c>
      <c r="B22" s="148" t="s">
        <v>99</v>
      </c>
      <c r="C22" s="148" t="s">
        <v>99</v>
      </c>
      <c r="D22" s="148" t="s">
        <v>99</v>
      </c>
      <c r="E22" s="148" t="s">
        <v>99</v>
      </c>
      <c r="F22" s="148" t="s">
        <v>99</v>
      </c>
      <c r="G22" s="148" t="s">
        <v>99</v>
      </c>
    </row>
    <row r="23" spans="1:7" ht="17">
      <c r="A23" s="138" t="s">
        <v>351</v>
      </c>
      <c r="B23" s="148" t="s">
        <v>99</v>
      </c>
      <c r="C23" s="148" t="s">
        <v>99</v>
      </c>
      <c r="D23" s="148" t="s">
        <v>99</v>
      </c>
      <c r="E23" s="148" t="s">
        <v>99</v>
      </c>
      <c r="F23" s="148" t="s">
        <v>99</v>
      </c>
      <c r="G23" s="148" t="s">
        <v>99</v>
      </c>
    </row>
    <row r="24" spans="1:7">
      <c r="A24" s="138" t="s">
        <v>352</v>
      </c>
      <c r="B24" s="148">
        <v>80</v>
      </c>
      <c r="C24" s="148">
        <v>82</v>
      </c>
      <c r="D24" s="148">
        <v>86</v>
      </c>
      <c r="E24" s="148">
        <v>61</v>
      </c>
      <c r="F24" s="148">
        <v>21</v>
      </c>
      <c r="G24" s="148">
        <v>14</v>
      </c>
    </row>
    <row r="25" spans="1:7" ht="17">
      <c r="A25" s="138" t="s">
        <v>353</v>
      </c>
      <c r="B25" s="148" t="s">
        <v>99</v>
      </c>
      <c r="C25" s="148" t="s">
        <v>99</v>
      </c>
      <c r="D25" s="148" t="s">
        <v>99</v>
      </c>
      <c r="E25" s="148" t="s">
        <v>99</v>
      </c>
      <c r="F25" s="148" t="s">
        <v>99</v>
      </c>
      <c r="G25" s="148" t="s">
        <v>99</v>
      </c>
    </row>
    <row r="26" spans="1:7">
      <c r="A26" s="138"/>
      <c r="B26" s="138"/>
      <c r="C26" s="138"/>
      <c r="D26" s="138"/>
      <c r="E26" s="138"/>
      <c r="F26" s="138"/>
      <c r="G26" s="138"/>
    </row>
    <row r="27" spans="1:7">
      <c r="A27" s="147" t="s">
        <v>354</v>
      </c>
      <c r="B27" s="149">
        <v>7928</v>
      </c>
      <c r="C27" s="149">
        <v>8624</v>
      </c>
      <c r="D27" s="149">
        <v>7970</v>
      </c>
      <c r="E27" s="149">
        <v>7874</v>
      </c>
      <c r="F27" s="149">
        <v>7649</v>
      </c>
      <c r="G27" s="149">
        <v>7602</v>
      </c>
    </row>
    <row r="28" spans="1:7">
      <c r="A28" s="138"/>
      <c r="B28" s="138"/>
      <c r="C28" s="138"/>
      <c r="D28" s="138"/>
      <c r="E28" s="138"/>
      <c r="F28" s="138"/>
      <c r="G28" s="138"/>
    </row>
    <row r="29" spans="1:7">
      <c r="A29" s="147" t="s">
        <v>355</v>
      </c>
      <c r="B29" s="150">
        <v>2668</v>
      </c>
      <c r="C29" s="150">
        <v>3010</v>
      </c>
      <c r="D29" s="150">
        <v>1942</v>
      </c>
      <c r="E29" s="150">
        <v>1729</v>
      </c>
      <c r="F29" s="150">
        <v>1736</v>
      </c>
      <c r="G29" s="150">
        <v>1771</v>
      </c>
    </row>
    <row r="30" spans="1:7">
      <c r="A30" s="138"/>
      <c r="B30" s="138"/>
      <c r="C30" s="138"/>
      <c r="D30" s="138"/>
      <c r="E30" s="138"/>
      <c r="F30" s="138"/>
      <c r="G30" s="138"/>
    </row>
    <row r="31" spans="1:7">
      <c r="A31" s="138" t="s">
        <v>356</v>
      </c>
      <c r="B31" s="148">
        <v>-52</v>
      </c>
      <c r="C31" s="148">
        <v>-25</v>
      </c>
      <c r="D31" s="148">
        <v>-35</v>
      </c>
      <c r="E31" s="148">
        <v>-52</v>
      </c>
      <c r="F31" s="148">
        <v>-51</v>
      </c>
      <c r="G31" s="148">
        <v>-47</v>
      </c>
    </row>
    <row r="32" spans="1:7">
      <c r="A32" s="138" t="s">
        <v>357</v>
      </c>
      <c r="B32" s="148">
        <v>38</v>
      </c>
      <c r="C32" s="148">
        <v>10</v>
      </c>
      <c r="D32" s="148">
        <v>28</v>
      </c>
      <c r="E32" s="148">
        <v>78</v>
      </c>
      <c r="F32" s="148">
        <v>84</v>
      </c>
      <c r="G32" s="148">
        <v>68</v>
      </c>
    </row>
    <row r="33" spans="1:7">
      <c r="A33" s="147" t="s">
        <v>358</v>
      </c>
      <c r="B33" s="149">
        <v>-14</v>
      </c>
      <c r="C33" s="149">
        <v>-15</v>
      </c>
      <c r="D33" s="149">
        <v>-7</v>
      </c>
      <c r="E33" s="149">
        <v>26</v>
      </c>
      <c r="F33" s="149">
        <v>33</v>
      </c>
      <c r="G33" s="149">
        <v>21</v>
      </c>
    </row>
    <row r="34" spans="1:7">
      <c r="A34" s="138"/>
      <c r="B34" s="138"/>
      <c r="C34" s="138"/>
      <c r="D34" s="138"/>
      <c r="E34" s="138"/>
      <c r="F34" s="138"/>
      <c r="G34" s="138"/>
    </row>
    <row r="35" spans="1:7" ht="17">
      <c r="A35" s="138" t="s">
        <v>359</v>
      </c>
      <c r="B35" s="148" t="s">
        <v>99</v>
      </c>
      <c r="C35" s="148">
        <v>4</v>
      </c>
      <c r="D35" s="148">
        <v>1</v>
      </c>
      <c r="E35" s="148">
        <v>1</v>
      </c>
      <c r="F35" s="148">
        <v>4</v>
      </c>
      <c r="G35" s="148">
        <v>2</v>
      </c>
    </row>
    <row r="36" spans="1:7" ht="17">
      <c r="A36" s="138" t="s">
        <v>360</v>
      </c>
      <c r="B36" s="148" t="s">
        <v>99</v>
      </c>
      <c r="C36" s="148" t="s">
        <v>99</v>
      </c>
      <c r="D36" s="148" t="s">
        <v>99</v>
      </c>
      <c r="E36" s="148" t="s">
        <v>99</v>
      </c>
      <c r="F36" s="148" t="s">
        <v>99</v>
      </c>
      <c r="G36" s="148" t="s">
        <v>99</v>
      </c>
    </row>
    <row r="37" spans="1:7">
      <c r="A37" s="147" t="s">
        <v>361</v>
      </c>
      <c r="B37" s="149">
        <v>2654</v>
      </c>
      <c r="C37" s="149">
        <v>2999</v>
      </c>
      <c r="D37" s="149">
        <v>1936</v>
      </c>
      <c r="E37" s="149">
        <v>1756</v>
      </c>
      <c r="F37" s="149">
        <v>1773</v>
      </c>
      <c r="G37" s="149">
        <v>1794</v>
      </c>
    </row>
    <row r="38" spans="1:7">
      <c r="A38" s="138"/>
      <c r="B38" s="138"/>
      <c r="C38" s="138"/>
      <c r="D38" s="138"/>
      <c r="E38" s="138"/>
      <c r="F38" s="138"/>
      <c r="G38" s="138"/>
    </row>
    <row r="39" spans="1:7">
      <c r="A39" s="138" t="s">
        <v>362</v>
      </c>
      <c r="B39" s="148">
        <v>-277</v>
      </c>
      <c r="C39" s="148">
        <v>40</v>
      </c>
      <c r="D39" s="148">
        <v>-147</v>
      </c>
      <c r="E39" s="148">
        <v>-153</v>
      </c>
      <c r="F39" s="148">
        <v>3</v>
      </c>
      <c r="G39" s="148">
        <v>-190</v>
      </c>
    </row>
    <row r="40" spans="1:7" ht="17">
      <c r="A40" s="138" t="s">
        <v>363</v>
      </c>
      <c r="B40" s="148" t="s">
        <v>99</v>
      </c>
      <c r="C40" s="148">
        <v>-11</v>
      </c>
      <c r="D40" s="148" t="s">
        <v>99</v>
      </c>
      <c r="E40" s="148" t="s">
        <v>99</v>
      </c>
      <c r="F40" s="148" t="s">
        <v>99</v>
      </c>
      <c r="G40" s="148" t="s">
        <v>99</v>
      </c>
    </row>
    <row r="41" spans="1:7" ht="17">
      <c r="A41" s="138" t="s">
        <v>364</v>
      </c>
      <c r="B41" s="148" t="s">
        <v>99</v>
      </c>
      <c r="C41" s="148" t="s">
        <v>99</v>
      </c>
      <c r="D41" s="148" t="s">
        <v>99</v>
      </c>
      <c r="E41" s="148" t="s">
        <v>99</v>
      </c>
      <c r="F41" s="148">
        <v>-475</v>
      </c>
      <c r="G41" s="148">
        <v>-118</v>
      </c>
    </row>
    <row r="42" spans="1:7" ht="17">
      <c r="A42" s="138" t="s">
        <v>365</v>
      </c>
      <c r="B42" s="148" t="s">
        <v>99</v>
      </c>
      <c r="C42" s="148" t="s">
        <v>99</v>
      </c>
      <c r="D42" s="148" t="s">
        <v>99</v>
      </c>
      <c r="E42" s="148">
        <v>21</v>
      </c>
      <c r="F42" s="148" t="s">
        <v>99</v>
      </c>
      <c r="G42" s="148">
        <v>-6</v>
      </c>
    </row>
    <row r="43" spans="1:7" ht="17">
      <c r="A43" s="138" t="s">
        <v>366</v>
      </c>
      <c r="B43" s="148" t="s">
        <v>99</v>
      </c>
      <c r="C43" s="148" t="s">
        <v>99</v>
      </c>
      <c r="D43" s="148" t="s">
        <v>99</v>
      </c>
      <c r="E43" s="148">
        <v>-2</v>
      </c>
      <c r="F43" s="148">
        <v>-2</v>
      </c>
      <c r="G43" s="148">
        <v>-74</v>
      </c>
    </row>
    <row r="44" spans="1:7" ht="17">
      <c r="A44" s="138" t="s">
        <v>367</v>
      </c>
      <c r="B44" s="148" t="s">
        <v>99</v>
      </c>
      <c r="C44" s="148" t="s">
        <v>99</v>
      </c>
      <c r="D44" s="148" t="s">
        <v>99</v>
      </c>
      <c r="E44" s="148" t="s">
        <v>99</v>
      </c>
      <c r="F44" s="148" t="s">
        <v>99</v>
      </c>
      <c r="G44" s="148" t="s">
        <v>99</v>
      </c>
    </row>
    <row r="45" spans="1:7">
      <c r="A45" s="147" t="s">
        <v>368</v>
      </c>
      <c r="B45" s="149">
        <v>2377</v>
      </c>
      <c r="C45" s="149">
        <v>3028</v>
      </c>
      <c r="D45" s="149">
        <v>1789</v>
      </c>
      <c r="E45" s="149">
        <v>1622</v>
      </c>
      <c r="F45" s="149">
        <v>1299</v>
      </c>
      <c r="G45" s="149">
        <v>1406</v>
      </c>
    </row>
    <row r="46" spans="1:7">
      <c r="A46" s="138"/>
      <c r="B46" s="138"/>
      <c r="C46" s="138"/>
      <c r="D46" s="138"/>
      <c r="E46" s="138"/>
      <c r="F46" s="138"/>
      <c r="G46" s="138"/>
    </row>
    <row r="47" spans="1:7">
      <c r="A47" s="138" t="s">
        <v>369</v>
      </c>
      <c r="B47" s="148">
        <v>579</v>
      </c>
      <c r="C47" s="148">
        <v>574</v>
      </c>
      <c r="D47" s="148">
        <v>370</v>
      </c>
      <c r="E47" s="148">
        <v>381</v>
      </c>
      <c r="F47" s="148">
        <v>372</v>
      </c>
      <c r="G47" s="148">
        <v>337</v>
      </c>
    </row>
    <row r="48" spans="1:7">
      <c r="A48" s="147" t="s">
        <v>370</v>
      </c>
      <c r="B48" s="149">
        <v>1798</v>
      </c>
      <c r="C48" s="149">
        <v>2454</v>
      </c>
      <c r="D48" s="149">
        <v>1419</v>
      </c>
      <c r="E48" s="149">
        <v>1241</v>
      </c>
      <c r="F48" s="149">
        <v>927</v>
      </c>
      <c r="G48" s="149">
        <v>1069</v>
      </c>
    </row>
    <row r="49" spans="1:7">
      <c r="A49" s="138"/>
      <c r="B49" s="138"/>
      <c r="C49" s="138"/>
      <c r="D49" s="138"/>
      <c r="E49" s="138"/>
      <c r="F49" s="138"/>
      <c r="G49" s="138"/>
    </row>
    <row r="50" spans="1:7" ht="17">
      <c r="A50" s="138" t="s">
        <v>371</v>
      </c>
      <c r="B50" s="148" t="s">
        <v>99</v>
      </c>
      <c r="C50" s="148" t="s">
        <v>99</v>
      </c>
      <c r="D50" s="148" t="s">
        <v>99</v>
      </c>
      <c r="E50" s="148" t="s">
        <v>99</v>
      </c>
      <c r="F50" s="148" t="s">
        <v>99</v>
      </c>
      <c r="G50" s="148" t="s">
        <v>99</v>
      </c>
    </row>
    <row r="51" spans="1:7" ht="17">
      <c r="A51" s="138" t="s">
        <v>372</v>
      </c>
      <c r="B51" s="148" t="s">
        <v>99</v>
      </c>
      <c r="C51" s="148" t="s">
        <v>99</v>
      </c>
      <c r="D51" s="148" t="s">
        <v>99</v>
      </c>
      <c r="E51" s="148" t="s">
        <v>99</v>
      </c>
      <c r="F51" s="148" t="s">
        <v>99</v>
      </c>
      <c r="G51" s="148" t="s">
        <v>99</v>
      </c>
    </row>
    <row r="52" spans="1:7">
      <c r="A52" s="147" t="s">
        <v>373</v>
      </c>
      <c r="B52" s="149">
        <v>1798</v>
      </c>
      <c r="C52" s="149">
        <v>2454</v>
      </c>
      <c r="D52" s="149">
        <v>1419</v>
      </c>
      <c r="E52" s="149">
        <v>1241</v>
      </c>
      <c r="F52" s="149">
        <v>927</v>
      </c>
      <c r="G52" s="149">
        <v>1069</v>
      </c>
    </row>
    <row r="53" spans="1:7">
      <c r="A53" s="138"/>
      <c r="B53" s="138"/>
      <c r="C53" s="138"/>
      <c r="D53" s="138"/>
      <c r="E53" s="138"/>
      <c r="F53" s="138"/>
      <c r="G53" s="138"/>
    </row>
    <row r="54" spans="1:7" ht="17">
      <c r="A54" s="138" t="s">
        <v>374</v>
      </c>
      <c r="B54" s="148" t="s">
        <v>99</v>
      </c>
      <c r="C54" s="148" t="s">
        <v>99</v>
      </c>
      <c r="D54" s="148" t="s">
        <v>99</v>
      </c>
      <c r="E54" s="148" t="s">
        <v>99</v>
      </c>
      <c r="F54" s="148" t="s">
        <v>99</v>
      </c>
      <c r="G54" s="148" t="s">
        <v>99</v>
      </c>
    </row>
    <row r="55" spans="1:7">
      <c r="A55" s="147" t="s">
        <v>375</v>
      </c>
      <c r="B55" s="151">
        <v>1798</v>
      </c>
      <c r="C55" s="151">
        <v>2454</v>
      </c>
      <c r="D55" s="151">
        <v>1419</v>
      </c>
      <c r="E55" s="151">
        <v>1241</v>
      </c>
      <c r="F55" s="151">
        <v>927</v>
      </c>
      <c r="G55" s="151">
        <v>1069</v>
      </c>
    </row>
    <row r="56" spans="1:7">
      <c r="A56" s="138"/>
      <c r="B56" s="138"/>
      <c r="C56" s="138"/>
      <c r="D56" s="138"/>
      <c r="E56" s="138"/>
      <c r="F56" s="138"/>
      <c r="G56" s="138"/>
    </row>
    <row r="57" spans="1:7" ht="17">
      <c r="A57" s="138" t="s">
        <v>376</v>
      </c>
      <c r="B57" s="148" t="s">
        <v>99</v>
      </c>
      <c r="C57" s="148" t="s">
        <v>99</v>
      </c>
      <c r="D57" s="148" t="s">
        <v>99</v>
      </c>
      <c r="E57" s="148" t="s">
        <v>99</v>
      </c>
      <c r="F57" s="148" t="s">
        <v>99</v>
      </c>
      <c r="G57" s="148" t="s">
        <v>99</v>
      </c>
    </row>
    <row r="58" spans="1:7">
      <c r="A58" s="138"/>
      <c r="B58" s="138"/>
      <c r="C58" s="138"/>
      <c r="D58" s="138"/>
      <c r="E58" s="138"/>
      <c r="F58" s="138"/>
      <c r="G58" s="138"/>
    </row>
    <row r="59" spans="1:7">
      <c r="A59" s="147" t="s">
        <v>377</v>
      </c>
      <c r="B59" s="150">
        <v>1798</v>
      </c>
      <c r="C59" s="150">
        <v>2454</v>
      </c>
      <c r="D59" s="150">
        <v>1419</v>
      </c>
      <c r="E59" s="150">
        <v>1241</v>
      </c>
      <c r="F59" s="150">
        <v>927</v>
      </c>
      <c r="G59" s="150">
        <v>1069</v>
      </c>
    </row>
    <row r="60" spans="1:7">
      <c r="A60" s="147" t="s">
        <v>378</v>
      </c>
      <c r="B60" s="150">
        <v>1798</v>
      </c>
      <c r="C60" s="150">
        <v>2454</v>
      </c>
      <c r="D60" s="150">
        <v>1419</v>
      </c>
      <c r="E60" s="150">
        <v>1241</v>
      </c>
      <c r="F60" s="150">
        <v>927</v>
      </c>
      <c r="G60" s="150">
        <v>1069</v>
      </c>
    </row>
    <row r="61" spans="1:7">
      <c r="A61" s="138"/>
      <c r="B61" s="138"/>
      <c r="C61" s="138"/>
      <c r="D61" s="138"/>
      <c r="E61" s="138"/>
      <c r="F61" s="138"/>
      <c r="G61" s="138"/>
    </row>
    <row r="62" spans="1:7">
      <c r="A62" s="147" t="s">
        <v>379</v>
      </c>
      <c r="B62" s="138"/>
      <c r="C62" s="138"/>
      <c r="D62" s="138"/>
      <c r="E62" s="138"/>
      <c r="F62" s="138"/>
      <c r="G62" s="138"/>
    </row>
    <row r="63" spans="1:7">
      <c r="A63" s="138" t="s">
        <v>380</v>
      </c>
      <c r="B63" s="152">
        <v>6.93</v>
      </c>
      <c r="C63" s="152">
        <v>9.94</v>
      </c>
      <c r="D63" s="152">
        <v>6.31</v>
      </c>
      <c r="E63" s="152">
        <v>5.7</v>
      </c>
      <c r="F63" s="152">
        <v>4.3099999999999996</v>
      </c>
      <c r="G63" s="152">
        <v>5.07</v>
      </c>
    </row>
    <row r="64" spans="1:7">
      <c r="A64" s="138" t="s">
        <v>381</v>
      </c>
      <c r="B64" s="153">
        <v>6.9260400000000004</v>
      </c>
      <c r="C64" s="153">
        <v>9.9432729999999996</v>
      </c>
      <c r="D64" s="153">
        <v>6.3122769999999999</v>
      </c>
      <c r="E64" s="153">
        <v>5.7005049999999997</v>
      </c>
      <c r="F64" s="153">
        <v>4.30762</v>
      </c>
      <c r="G64" s="153">
        <v>5.0663499999999999</v>
      </c>
    </row>
    <row r="65" spans="1:7">
      <c r="A65" s="138" t="s">
        <v>382</v>
      </c>
      <c r="B65" s="148">
        <v>259.60000000000002</v>
      </c>
      <c r="C65" s="148">
        <v>246.8</v>
      </c>
      <c r="D65" s="148">
        <v>224.8</v>
      </c>
      <c r="E65" s="148">
        <v>217.7</v>
      </c>
      <c r="F65" s="148">
        <v>215.2</v>
      </c>
      <c r="G65" s="148">
        <v>211</v>
      </c>
    </row>
    <row r="66" spans="1:7">
      <c r="A66" s="138"/>
      <c r="B66" s="138"/>
      <c r="C66" s="138"/>
      <c r="D66" s="138"/>
      <c r="E66" s="138"/>
      <c r="F66" s="138"/>
      <c r="G66" s="138"/>
    </row>
    <row r="67" spans="1:7">
      <c r="A67" s="138" t="s">
        <v>383</v>
      </c>
      <c r="B67" s="152">
        <v>6.84</v>
      </c>
      <c r="C67" s="152">
        <v>9.84</v>
      </c>
      <c r="D67" s="152">
        <v>6.29</v>
      </c>
      <c r="E67" s="152">
        <v>5.68</v>
      </c>
      <c r="F67" s="152">
        <v>4.28</v>
      </c>
      <c r="G67" s="152">
        <v>5.04</v>
      </c>
    </row>
    <row r="68" spans="1:7">
      <c r="A68" s="138" t="s">
        <v>384</v>
      </c>
      <c r="B68" s="153">
        <v>6.84</v>
      </c>
      <c r="C68" s="153">
        <v>9.84</v>
      </c>
      <c r="D68" s="153">
        <v>6.29</v>
      </c>
      <c r="E68" s="153">
        <v>5.68</v>
      </c>
      <c r="F68" s="153">
        <v>4.28</v>
      </c>
      <c r="G68" s="153">
        <v>5.04</v>
      </c>
    </row>
    <row r="69" spans="1:7">
      <c r="A69" s="138" t="s">
        <v>385</v>
      </c>
      <c r="B69" s="148">
        <v>263</v>
      </c>
      <c r="C69" s="148">
        <v>249.3</v>
      </c>
      <c r="D69" s="148">
        <v>225.7</v>
      </c>
      <c r="E69" s="148">
        <v>218.5</v>
      </c>
      <c r="F69" s="148">
        <v>216.6</v>
      </c>
      <c r="G69" s="148">
        <v>212.1</v>
      </c>
    </row>
    <row r="70" spans="1:7">
      <c r="A70" s="138"/>
      <c r="B70" s="138"/>
      <c r="C70" s="138"/>
      <c r="D70" s="138"/>
      <c r="E70" s="138"/>
      <c r="F70" s="138"/>
      <c r="G70" s="138"/>
    </row>
    <row r="71" spans="1:7">
      <c r="A71" s="138" t="s">
        <v>386</v>
      </c>
      <c r="B71" s="152">
        <v>6.39</v>
      </c>
      <c r="C71" s="152">
        <v>7.59</v>
      </c>
      <c r="D71" s="152">
        <v>5.38</v>
      </c>
      <c r="E71" s="152">
        <v>5.04</v>
      </c>
      <c r="F71" s="152">
        <v>5.15</v>
      </c>
      <c r="G71" s="152">
        <v>5.31</v>
      </c>
    </row>
    <row r="72" spans="1:7">
      <c r="A72" s="138" t="s">
        <v>387</v>
      </c>
      <c r="B72" s="153">
        <v>6.3070339999999998</v>
      </c>
      <c r="C72" s="153">
        <v>7.5185510000000004</v>
      </c>
      <c r="D72" s="153">
        <v>5.3610980000000001</v>
      </c>
      <c r="E72" s="153">
        <v>5.0228830000000002</v>
      </c>
      <c r="F72" s="153">
        <v>5.1159970000000001</v>
      </c>
      <c r="G72" s="153">
        <v>5.2864209999999998</v>
      </c>
    </row>
    <row r="73" spans="1:7">
      <c r="A73" s="138"/>
      <c r="B73" s="138"/>
      <c r="C73" s="138"/>
      <c r="D73" s="138"/>
      <c r="E73" s="138"/>
      <c r="F73" s="138"/>
      <c r="G73" s="138"/>
    </row>
    <row r="74" spans="1:7">
      <c r="A74" s="138" t="s">
        <v>388</v>
      </c>
      <c r="B74" s="152">
        <v>2.35</v>
      </c>
      <c r="C74" s="152">
        <v>2.98</v>
      </c>
      <c r="D74" s="152">
        <v>3.52</v>
      </c>
      <c r="E74" s="152">
        <v>3.68</v>
      </c>
      <c r="F74" s="152">
        <v>3.76</v>
      </c>
      <c r="G74" s="152">
        <v>3.8</v>
      </c>
    </row>
    <row r="75" spans="1:7">
      <c r="A75" s="138" t="s">
        <v>389</v>
      </c>
      <c r="B75" s="154">
        <v>0.31590600000000002</v>
      </c>
      <c r="C75" s="154">
        <v>0.280358</v>
      </c>
      <c r="D75" s="154">
        <v>0.55602499999999999</v>
      </c>
      <c r="E75" s="154">
        <v>0.64544699999999999</v>
      </c>
      <c r="F75" s="154">
        <v>0.87055000000000005</v>
      </c>
      <c r="G75" s="154">
        <v>0.74929800000000002</v>
      </c>
    </row>
    <row r="76" spans="1:7">
      <c r="A76" s="138"/>
      <c r="B76" s="138"/>
      <c r="C76" s="138"/>
      <c r="D76" s="138"/>
      <c r="E76" s="138"/>
      <c r="F76" s="138"/>
      <c r="G76" s="138"/>
    </row>
    <row r="77" spans="1:7">
      <c r="A77" s="138" t="s">
        <v>390</v>
      </c>
      <c r="B77" s="155">
        <v>1</v>
      </c>
      <c r="C77" s="155">
        <v>1</v>
      </c>
      <c r="D77" s="155">
        <v>1</v>
      </c>
      <c r="E77" s="155">
        <v>1</v>
      </c>
      <c r="F77" s="155">
        <v>1</v>
      </c>
      <c r="G77" s="155">
        <v>1</v>
      </c>
    </row>
    <row r="78" spans="1:7">
      <c r="A78" s="138"/>
      <c r="B78" s="138"/>
      <c r="C78" s="138"/>
      <c r="D78" s="138"/>
      <c r="E78" s="138"/>
      <c r="F78" s="138"/>
      <c r="G78" s="138"/>
    </row>
    <row r="79" spans="1:7">
      <c r="A79" s="147" t="s">
        <v>306</v>
      </c>
      <c r="B79" s="138"/>
      <c r="C79" s="138"/>
      <c r="D79" s="138"/>
      <c r="E79" s="138"/>
      <c r="F79" s="138"/>
      <c r="G79" s="138"/>
    </row>
    <row r="80" spans="1:7">
      <c r="A80" s="138" t="s">
        <v>391</v>
      </c>
      <c r="B80" s="148">
        <v>3507</v>
      </c>
      <c r="C80" s="148">
        <v>3879</v>
      </c>
      <c r="D80" s="148">
        <v>2860</v>
      </c>
      <c r="E80" s="148">
        <v>2652</v>
      </c>
      <c r="F80" s="148">
        <v>2602</v>
      </c>
      <c r="G80" s="148">
        <v>2602</v>
      </c>
    </row>
    <row r="81" spans="1:7">
      <c r="A81" s="138" t="s">
        <v>392</v>
      </c>
      <c r="B81" s="148">
        <v>2748</v>
      </c>
      <c r="C81" s="148">
        <v>3092</v>
      </c>
      <c r="D81" s="148">
        <v>2028</v>
      </c>
      <c r="E81" s="148">
        <v>1790</v>
      </c>
      <c r="F81" s="148">
        <v>1757</v>
      </c>
      <c r="G81" s="148">
        <v>1785</v>
      </c>
    </row>
    <row r="82" spans="1:7">
      <c r="A82" s="138" t="s">
        <v>393</v>
      </c>
      <c r="B82" s="148">
        <v>2668</v>
      </c>
      <c r="C82" s="148">
        <v>3010</v>
      </c>
      <c r="D82" s="148">
        <v>1942</v>
      </c>
      <c r="E82" s="148">
        <v>1729</v>
      </c>
      <c r="F82" s="148">
        <v>1736</v>
      </c>
      <c r="G82" s="148">
        <v>1771</v>
      </c>
    </row>
    <row r="83" spans="1:7">
      <c r="A83" s="138" t="s">
        <v>237</v>
      </c>
      <c r="B83" s="148">
        <v>4517</v>
      </c>
      <c r="C83" s="148">
        <v>4874</v>
      </c>
      <c r="D83" s="148">
        <v>3861</v>
      </c>
      <c r="E83" s="148">
        <v>3657</v>
      </c>
      <c r="F83" s="148">
        <v>3609</v>
      </c>
      <c r="G83" s="148">
        <v>3619</v>
      </c>
    </row>
    <row r="84" spans="1:7">
      <c r="A84" s="138" t="s">
        <v>394</v>
      </c>
      <c r="B84" s="154">
        <v>0.24358399999999999</v>
      </c>
      <c r="C84" s="154">
        <v>0.18956400000000001</v>
      </c>
      <c r="D84" s="154">
        <v>0.206819</v>
      </c>
      <c r="E84" s="154">
        <v>0.23489499999999999</v>
      </c>
      <c r="F84" s="154">
        <v>0.28637400000000002</v>
      </c>
      <c r="G84" s="154">
        <v>0.23968700000000001</v>
      </c>
    </row>
    <row r="85" spans="1:7">
      <c r="A85" s="138" t="s">
        <v>395</v>
      </c>
      <c r="B85" s="148">
        <v>564</v>
      </c>
      <c r="C85" s="148">
        <v>499</v>
      </c>
      <c r="D85" s="148">
        <v>277</v>
      </c>
      <c r="E85" s="148">
        <v>556</v>
      </c>
      <c r="F85" s="148">
        <v>408</v>
      </c>
      <c r="G85" s="148">
        <v>249</v>
      </c>
    </row>
    <row r="86" spans="1:7">
      <c r="A86" s="138" t="s">
        <v>396</v>
      </c>
      <c r="B86" s="148">
        <v>51</v>
      </c>
      <c r="C86" s="148">
        <v>61</v>
      </c>
      <c r="D86" s="148">
        <v>42</v>
      </c>
      <c r="E86" s="148">
        <v>39</v>
      </c>
      <c r="F86" s="148">
        <v>23</v>
      </c>
      <c r="G86" s="148">
        <v>28</v>
      </c>
    </row>
    <row r="87" spans="1:7">
      <c r="A87" s="138" t="s">
        <v>397</v>
      </c>
      <c r="B87" s="148">
        <v>615</v>
      </c>
      <c r="C87" s="148">
        <v>560</v>
      </c>
      <c r="D87" s="148">
        <v>319</v>
      </c>
      <c r="E87" s="148">
        <v>595</v>
      </c>
      <c r="F87" s="148">
        <v>431</v>
      </c>
      <c r="G87" s="148">
        <v>277</v>
      </c>
    </row>
    <row r="88" spans="1:7">
      <c r="A88" s="138" t="s">
        <v>398</v>
      </c>
      <c r="B88" s="148">
        <v>-41</v>
      </c>
      <c r="C88" s="148">
        <v>13</v>
      </c>
      <c r="D88" s="148">
        <v>52</v>
      </c>
      <c r="E88" s="148">
        <v>-214</v>
      </c>
      <c r="F88" s="148">
        <v>-62</v>
      </c>
      <c r="G88" s="148">
        <v>59</v>
      </c>
    </row>
    <row r="89" spans="1:7" ht="17">
      <c r="A89" s="138" t="s">
        <v>399</v>
      </c>
      <c r="B89" s="148">
        <v>5</v>
      </c>
      <c r="C89" s="148">
        <v>1</v>
      </c>
      <c r="D89" s="148">
        <v>-1</v>
      </c>
      <c r="E89" s="148" t="s">
        <v>323</v>
      </c>
      <c r="F89" s="148">
        <v>3</v>
      </c>
      <c r="G89" s="148">
        <v>1</v>
      </c>
    </row>
    <row r="90" spans="1:7">
      <c r="A90" s="138" t="s">
        <v>400</v>
      </c>
      <c r="B90" s="148">
        <v>-36</v>
      </c>
      <c r="C90" s="148">
        <v>14</v>
      </c>
      <c r="D90" s="148">
        <v>51</v>
      </c>
      <c r="E90" s="148">
        <v>-214</v>
      </c>
      <c r="F90" s="148">
        <v>-59</v>
      </c>
      <c r="G90" s="148">
        <v>60</v>
      </c>
    </row>
    <row r="91" spans="1:7">
      <c r="A91" s="138"/>
      <c r="B91" s="138"/>
      <c r="C91" s="138"/>
      <c r="D91" s="138"/>
      <c r="E91" s="138"/>
      <c r="F91" s="138"/>
      <c r="G91" s="138"/>
    </row>
    <row r="92" spans="1:7">
      <c r="A92" s="138" t="s">
        <v>401</v>
      </c>
      <c r="B92" s="148">
        <v>1658.75</v>
      </c>
      <c r="C92" s="148">
        <v>1874.375</v>
      </c>
      <c r="D92" s="148">
        <v>1210</v>
      </c>
      <c r="E92" s="148">
        <v>1097.5</v>
      </c>
      <c r="F92" s="148">
        <v>1108.125</v>
      </c>
      <c r="G92" s="148">
        <v>1121.25</v>
      </c>
    </row>
    <row r="93" spans="1:7">
      <c r="A93" s="138" t="s">
        <v>402</v>
      </c>
      <c r="B93" s="148">
        <v>52</v>
      </c>
      <c r="C93" s="148">
        <v>25</v>
      </c>
      <c r="D93" s="148">
        <v>35</v>
      </c>
      <c r="E93" s="148">
        <v>52</v>
      </c>
      <c r="F93" s="148">
        <v>51</v>
      </c>
      <c r="G93" s="148">
        <v>47</v>
      </c>
    </row>
    <row r="94" spans="1:7">
      <c r="A94" s="138" t="s">
        <v>325</v>
      </c>
      <c r="B94" s="156">
        <v>45002</v>
      </c>
      <c r="C94" s="156">
        <v>45366</v>
      </c>
      <c r="D94" s="156">
        <v>45735</v>
      </c>
      <c r="E94" s="156">
        <v>46099</v>
      </c>
      <c r="F94" s="156">
        <v>46099</v>
      </c>
      <c r="G94" s="156">
        <v>46099</v>
      </c>
    </row>
    <row r="95" spans="1:7" ht="17">
      <c r="A95" s="138" t="s">
        <v>326</v>
      </c>
      <c r="B95" s="157" t="s">
        <v>403</v>
      </c>
      <c r="C95" s="157" t="s">
        <v>403</v>
      </c>
      <c r="D95" s="157" t="s">
        <v>327</v>
      </c>
      <c r="E95" s="157" t="s">
        <v>403</v>
      </c>
      <c r="F95" s="157" t="s">
        <v>403</v>
      </c>
      <c r="G95" s="157" t="s">
        <v>328</v>
      </c>
    </row>
    <row r="96" spans="1:7" ht="17">
      <c r="A96" s="138" t="s">
        <v>329</v>
      </c>
      <c r="B96" s="157" t="s">
        <v>331</v>
      </c>
      <c r="C96" s="157" t="s">
        <v>331</v>
      </c>
      <c r="D96" s="157" t="s">
        <v>331</v>
      </c>
      <c r="E96" s="157" t="s">
        <v>331</v>
      </c>
      <c r="F96" s="157" t="s">
        <v>331</v>
      </c>
      <c r="G96" s="157" t="s">
        <v>331</v>
      </c>
    </row>
    <row r="97" spans="1:7">
      <c r="A97" s="138"/>
      <c r="B97" s="138"/>
      <c r="C97" s="138"/>
      <c r="D97" s="138"/>
      <c r="E97" s="138"/>
      <c r="F97" s="138"/>
      <c r="G97" s="138"/>
    </row>
    <row r="98" spans="1:7">
      <c r="A98" s="147" t="s">
        <v>404</v>
      </c>
      <c r="B98" s="138"/>
      <c r="C98" s="138"/>
      <c r="D98" s="138"/>
      <c r="E98" s="138"/>
      <c r="F98" s="138"/>
      <c r="G98" s="138"/>
    </row>
    <row r="99" spans="1:7">
      <c r="A99" s="138" t="s">
        <v>405</v>
      </c>
      <c r="B99" s="148">
        <v>819</v>
      </c>
      <c r="C99" s="148">
        <v>915</v>
      </c>
      <c r="D99" s="148">
        <v>864</v>
      </c>
      <c r="E99" s="148">
        <v>794</v>
      </c>
      <c r="F99" s="148">
        <v>846</v>
      </c>
      <c r="G99" s="148">
        <v>861</v>
      </c>
    </row>
    <row r="100" spans="1:7">
      <c r="A100" s="138" t="s">
        <v>406</v>
      </c>
      <c r="B100" s="148">
        <v>819</v>
      </c>
      <c r="C100" s="148">
        <v>915</v>
      </c>
      <c r="D100" s="148">
        <v>864</v>
      </c>
      <c r="E100" s="148">
        <v>794</v>
      </c>
      <c r="F100" s="148">
        <v>846</v>
      </c>
      <c r="G100" s="148">
        <v>861</v>
      </c>
    </row>
    <row r="101" spans="1:7">
      <c r="A101" s="138" t="s">
        <v>407</v>
      </c>
      <c r="B101" s="148">
        <v>1010</v>
      </c>
      <c r="C101" s="148">
        <v>995</v>
      </c>
      <c r="D101" s="148">
        <v>1001</v>
      </c>
      <c r="E101" s="148">
        <v>1005</v>
      </c>
      <c r="F101" s="148">
        <v>1007</v>
      </c>
      <c r="G101" s="148">
        <v>1017</v>
      </c>
    </row>
    <row r="102" spans="1:7">
      <c r="A102" s="138" t="s">
        <v>408</v>
      </c>
      <c r="B102" s="148">
        <v>103.09272</v>
      </c>
      <c r="C102" s="148">
        <v>49.622639999999997</v>
      </c>
      <c r="D102" s="148">
        <v>70.806736000000001</v>
      </c>
      <c r="E102" s="148">
        <v>104.89788</v>
      </c>
      <c r="F102" s="148">
        <v>101.94868</v>
      </c>
      <c r="G102" s="148">
        <v>93.254831999999993</v>
      </c>
    </row>
    <row r="103" spans="1:7">
      <c r="A103" s="138" t="s">
        <v>409</v>
      </c>
      <c r="B103" s="148">
        <v>906.90728000000001</v>
      </c>
      <c r="C103" s="148">
        <v>945.37735999999995</v>
      </c>
      <c r="D103" s="148">
        <v>930.193264</v>
      </c>
      <c r="E103" s="148">
        <v>900.10212000000001</v>
      </c>
      <c r="F103" s="148">
        <v>905.05132000000003</v>
      </c>
      <c r="G103" s="148">
        <v>923.74516800000004</v>
      </c>
    </row>
    <row r="104" spans="1:7">
      <c r="A104" s="138"/>
      <c r="B104" s="138"/>
      <c r="C104" s="138"/>
      <c r="D104" s="138"/>
      <c r="E104" s="138"/>
      <c r="F104" s="138"/>
      <c r="G104" s="138"/>
    </row>
    <row r="105" spans="1:7">
      <c r="A105" s="138" t="s">
        <v>410</v>
      </c>
      <c r="B105" s="148">
        <v>135</v>
      </c>
      <c r="C105" s="148">
        <v>141</v>
      </c>
      <c r="D105" s="148">
        <v>138</v>
      </c>
      <c r="E105" s="148">
        <v>145</v>
      </c>
      <c r="F105" s="148">
        <v>139</v>
      </c>
      <c r="G105" s="148">
        <v>139</v>
      </c>
    </row>
    <row r="106" spans="1:7">
      <c r="A106" s="147" t="s">
        <v>411</v>
      </c>
      <c r="B106" s="150">
        <v>135</v>
      </c>
      <c r="C106" s="150">
        <v>141</v>
      </c>
      <c r="D106" s="150">
        <v>138</v>
      </c>
      <c r="E106" s="150">
        <v>145</v>
      </c>
      <c r="F106" s="150">
        <v>139</v>
      </c>
      <c r="G106" s="150">
        <v>139</v>
      </c>
    </row>
    <row r="107" spans="1:7">
      <c r="A107" s="138"/>
      <c r="B107" s="138"/>
      <c r="C107" s="138"/>
      <c r="D107" s="138"/>
      <c r="E107" s="138"/>
      <c r="F107" s="138"/>
      <c r="G107" s="138"/>
    </row>
    <row r="108" spans="1:7">
      <c r="A108" s="158"/>
      <c r="B108" s="158"/>
      <c r="C108" s="158"/>
      <c r="D108" s="158"/>
      <c r="E108" s="158"/>
      <c r="F108" s="158"/>
      <c r="G108" s="158"/>
    </row>
    <row r="109" spans="1:7">
      <c r="A109" s="135" t="s">
        <v>412</v>
      </c>
    </row>
    <row r="110" spans="1:7">
      <c r="A110" s="159" t="s">
        <v>333</v>
      </c>
    </row>
  </sheetData>
  <pageMargins left="0.2" right="0.2" top="0.5" bottom="0.5" header="0.5" footer="0.5"/>
  <pageSetup fitToWidth="0" fitToHeight="0" orientation="landscape" horizontalDpi="0" verticalDpi="0"/>
  <headerFooter alignWithMargin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F5AC8F-985F-1B46-9AA4-1AB6A0AEE968}">
  <sheetPr>
    <tabColor theme="2"/>
    <outlinePr summaryBelow="0" summaryRight="0"/>
    <pageSetUpPr autoPageBreaks="0"/>
  </sheetPr>
  <dimension ref="A1:IU69"/>
  <sheetViews>
    <sheetView topLeftCell="A36" workbookViewId="0">
      <selection activeCell="A38" sqref="A38:A52"/>
    </sheetView>
  </sheetViews>
  <sheetFormatPr baseColWidth="10" defaultColWidth="10.83203125" defaultRowHeight="16"/>
  <cols>
    <col min="1" max="1" width="45.83203125" style="135" customWidth="1"/>
    <col min="2" max="7" width="14.83203125" style="135" customWidth="1"/>
    <col min="8" max="256" width="8.83203125" style="135" customWidth="1"/>
    <col min="257" max="16384" width="10.83203125" style="135"/>
  </cols>
  <sheetData>
    <row r="1" spans="1:255">
      <c r="A1" s="134" t="s">
        <v>413</v>
      </c>
    </row>
    <row r="3" spans="1:255" ht="34">
      <c r="A3" s="136" t="s">
        <v>242</v>
      </c>
      <c r="B3" s="137" t="s">
        <v>243</v>
      </c>
      <c r="C3" s="135" t="s">
        <v>244</v>
      </c>
      <c r="D3" s="138" t="s">
        <v>245</v>
      </c>
      <c r="E3" s="137" t="s">
        <v>246</v>
      </c>
      <c r="F3" s="135" t="s">
        <v>247</v>
      </c>
    </row>
    <row r="4" spans="1:255">
      <c r="A4" s="138"/>
      <c r="B4" s="137" t="s">
        <v>248</v>
      </c>
      <c r="C4" s="135" t="s">
        <v>249</v>
      </c>
      <c r="D4" s="138" t="s">
        <v>245</v>
      </c>
      <c r="E4" s="137" t="s">
        <v>250</v>
      </c>
      <c r="F4" s="135" t="s">
        <v>251</v>
      </c>
    </row>
    <row r="5" spans="1:255">
      <c r="A5" s="138"/>
      <c r="B5" s="137" t="s">
        <v>9</v>
      </c>
      <c r="C5" s="135" t="s">
        <v>252</v>
      </c>
      <c r="D5" s="138" t="s">
        <v>245</v>
      </c>
      <c r="E5" s="137" t="s">
        <v>253</v>
      </c>
      <c r="F5" s="135" t="s">
        <v>254</v>
      </c>
    </row>
    <row r="6" spans="1:255">
      <c r="A6" s="138"/>
      <c r="B6" s="137" t="s">
        <v>255</v>
      </c>
      <c r="C6" s="135" t="s">
        <v>256</v>
      </c>
      <c r="D6" s="138" t="s">
        <v>245</v>
      </c>
      <c r="E6" s="137" t="s">
        <v>257</v>
      </c>
      <c r="F6" s="139" t="s">
        <v>258</v>
      </c>
    </row>
    <row r="7" spans="1:255">
      <c r="A7" s="138"/>
      <c r="B7" s="137" t="s">
        <v>259</v>
      </c>
      <c r="C7" s="135" t="s">
        <v>260</v>
      </c>
      <c r="D7" s="138" t="s">
        <v>245</v>
      </c>
      <c r="E7" s="140"/>
      <c r="F7" s="140"/>
    </row>
    <row r="10" spans="1:255">
      <c r="A10" s="164" t="s">
        <v>414</v>
      </c>
      <c r="B10" s="164"/>
      <c r="C10" s="164"/>
      <c r="D10" s="164"/>
      <c r="E10" s="164"/>
      <c r="F10" s="164"/>
      <c r="G10" s="164"/>
      <c r="H10" s="142"/>
      <c r="I10" s="142"/>
      <c r="J10" s="142"/>
      <c r="K10" s="142"/>
      <c r="L10" s="142"/>
      <c r="M10" s="142"/>
      <c r="N10" s="142"/>
      <c r="O10" s="142"/>
      <c r="P10" s="142"/>
      <c r="Q10" s="142"/>
      <c r="R10" s="142"/>
      <c r="S10" s="142"/>
      <c r="T10" s="142"/>
      <c r="U10" s="142"/>
      <c r="V10" s="142"/>
      <c r="W10" s="142"/>
      <c r="X10" s="142"/>
      <c r="Y10" s="142"/>
      <c r="Z10" s="142"/>
      <c r="AA10" s="142"/>
      <c r="AB10" s="142"/>
      <c r="AC10" s="142"/>
      <c r="AD10" s="142"/>
      <c r="AE10" s="142"/>
      <c r="AF10" s="142"/>
      <c r="AG10" s="142"/>
      <c r="AH10" s="142"/>
      <c r="AI10" s="142"/>
      <c r="AJ10" s="142"/>
      <c r="AK10" s="142"/>
      <c r="AL10" s="142"/>
      <c r="AM10" s="142"/>
      <c r="AN10" s="142"/>
      <c r="AO10" s="142"/>
      <c r="AP10" s="142"/>
      <c r="AQ10" s="142"/>
      <c r="AR10" s="142"/>
      <c r="AS10" s="142"/>
      <c r="AT10" s="142"/>
      <c r="AU10" s="142"/>
      <c r="AV10" s="142"/>
      <c r="AW10" s="142"/>
      <c r="AX10" s="142"/>
      <c r="AY10" s="142"/>
      <c r="AZ10" s="142"/>
      <c r="BA10" s="142"/>
      <c r="BB10" s="142"/>
      <c r="BC10" s="142"/>
      <c r="BD10" s="142"/>
      <c r="BE10" s="142"/>
      <c r="BF10" s="142"/>
      <c r="BG10" s="142"/>
      <c r="BH10" s="142"/>
      <c r="BI10" s="142"/>
      <c r="BJ10" s="142"/>
      <c r="BK10" s="142"/>
      <c r="BL10" s="142"/>
      <c r="BM10" s="142"/>
      <c r="BN10" s="142"/>
      <c r="BO10" s="142"/>
      <c r="BP10" s="142"/>
      <c r="BQ10" s="142"/>
      <c r="BR10" s="142"/>
      <c r="BS10" s="142"/>
      <c r="BT10" s="142"/>
      <c r="BU10" s="142"/>
      <c r="BV10" s="142"/>
      <c r="BW10" s="142"/>
      <c r="BX10" s="142"/>
      <c r="BY10" s="142"/>
      <c r="BZ10" s="142"/>
      <c r="CA10" s="142"/>
      <c r="CB10" s="142"/>
      <c r="CC10" s="142"/>
      <c r="CD10" s="142"/>
      <c r="CE10" s="142"/>
      <c r="CF10" s="142"/>
      <c r="CG10" s="142"/>
      <c r="CH10" s="142"/>
      <c r="CI10" s="142"/>
      <c r="CJ10" s="142"/>
      <c r="CK10" s="142"/>
      <c r="CL10" s="142"/>
      <c r="CM10" s="142"/>
      <c r="CN10" s="142"/>
      <c r="CO10" s="142"/>
      <c r="CP10" s="142"/>
      <c r="CQ10" s="142"/>
      <c r="CR10" s="142"/>
      <c r="CS10" s="142"/>
      <c r="CT10" s="142"/>
      <c r="CU10" s="142"/>
      <c r="CV10" s="142"/>
      <c r="CW10" s="142"/>
      <c r="CX10" s="142"/>
      <c r="CY10" s="142"/>
      <c r="CZ10" s="142"/>
      <c r="DA10" s="142"/>
      <c r="DB10" s="142"/>
      <c r="DC10" s="142"/>
      <c r="DD10" s="142"/>
      <c r="DE10" s="142"/>
      <c r="DF10" s="142"/>
      <c r="DG10" s="142"/>
      <c r="DH10" s="142"/>
      <c r="DI10" s="142"/>
      <c r="DJ10" s="142"/>
      <c r="DK10" s="142"/>
      <c r="DL10" s="142"/>
      <c r="DM10" s="142"/>
      <c r="DN10" s="142"/>
      <c r="DO10" s="142"/>
      <c r="DP10" s="142"/>
      <c r="DQ10" s="142"/>
      <c r="DR10" s="142"/>
      <c r="DS10" s="142"/>
      <c r="DT10" s="142"/>
      <c r="DU10" s="142"/>
      <c r="DV10" s="142"/>
      <c r="DW10" s="142"/>
      <c r="DX10" s="142"/>
      <c r="DY10" s="142"/>
      <c r="DZ10" s="142"/>
      <c r="EA10" s="142"/>
      <c r="EB10" s="142"/>
      <c r="EC10" s="142"/>
      <c r="ED10" s="142"/>
      <c r="EE10" s="142"/>
      <c r="EF10" s="142"/>
      <c r="EG10" s="142"/>
      <c r="EH10" s="142"/>
      <c r="EI10" s="142"/>
      <c r="EJ10" s="142"/>
      <c r="EK10" s="142"/>
      <c r="EL10" s="142"/>
      <c r="EM10" s="142"/>
      <c r="EN10" s="142"/>
      <c r="EO10" s="142"/>
      <c r="EP10" s="142"/>
      <c r="EQ10" s="142"/>
      <c r="ER10" s="142"/>
      <c r="ES10" s="142"/>
      <c r="ET10" s="142"/>
      <c r="EU10" s="142"/>
      <c r="EV10" s="142"/>
      <c r="EW10" s="142"/>
      <c r="EX10" s="142"/>
      <c r="EY10" s="142"/>
      <c r="EZ10" s="142"/>
      <c r="FA10" s="142"/>
      <c r="FB10" s="142"/>
      <c r="FC10" s="142"/>
      <c r="FD10" s="142"/>
      <c r="FE10" s="142"/>
      <c r="FF10" s="142"/>
      <c r="FG10" s="142"/>
      <c r="FH10" s="142"/>
      <c r="FI10" s="142"/>
      <c r="FJ10" s="142"/>
      <c r="FK10" s="142"/>
      <c r="FL10" s="142"/>
      <c r="FM10" s="142"/>
      <c r="FN10" s="142"/>
      <c r="FO10" s="142"/>
      <c r="FP10" s="142"/>
      <c r="FQ10" s="142"/>
      <c r="FR10" s="142"/>
      <c r="FS10" s="142"/>
      <c r="FT10" s="142"/>
      <c r="FU10" s="142"/>
      <c r="FV10" s="142"/>
      <c r="FW10" s="142"/>
      <c r="FX10" s="142"/>
      <c r="FY10" s="142"/>
      <c r="FZ10" s="142"/>
      <c r="GA10" s="142"/>
      <c r="GB10" s="142"/>
      <c r="GC10" s="142"/>
      <c r="GD10" s="142"/>
      <c r="GE10" s="142"/>
      <c r="GF10" s="142"/>
      <c r="GG10" s="142"/>
      <c r="GH10" s="142"/>
      <c r="GI10" s="142"/>
      <c r="GJ10" s="142"/>
      <c r="GK10" s="142"/>
      <c r="GL10" s="142"/>
      <c r="GM10" s="142"/>
      <c r="GN10" s="142"/>
      <c r="GO10" s="142"/>
      <c r="GP10" s="142"/>
      <c r="GQ10" s="142"/>
      <c r="GR10" s="142"/>
      <c r="GS10" s="142"/>
      <c r="GT10" s="142"/>
      <c r="GU10" s="142"/>
      <c r="GV10" s="142"/>
      <c r="GW10" s="142"/>
      <c r="GX10" s="142"/>
      <c r="GY10" s="142"/>
      <c r="GZ10" s="142"/>
      <c r="HA10" s="142"/>
      <c r="HB10" s="142"/>
      <c r="HC10" s="142"/>
      <c r="HD10" s="142"/>
      <c r="HE10" s="142"/>
      <c r="HF10" s="142"/>
      <c r="HG10" s="142"/>
      <c r="HH10" s="142"/>
      <c r="HI10" s="142"/>
      <c r="HJ10" s="142"/>
      <c r="HK10" s="142"/>
      <c r="HL10" s="142"/>
      <c r="HM10" s="142"/>
      <c r="HN10" s="142"/>
      <c r="HO10" s="142"/>
      <c r="HP10" s="142"/>
      <c r="HQ10" s="142"/>
      <c r="HR10" s="142"/>
      <c r="HS10" s="142"/>
      <c r="HT10" s="142"/>
      <c r="HU10" s="142"/>
      <c r="HV10" s="142"/>
      <c r="HW10" s="142"/>
      <c r="HX10" s="142"/>
      <c r="HY10" s="142"/>
      <c r="HZ10" s="142"/>
      <c r="IA10" s="142"/>
      <c r="IB10" s="142"/>
      <c r="IC10" s="142"/>
      <c r="ID10" s="142"/>
      <c r="IE10" s="142"/>
      <c r="IF10" s="142"/>
      <c r="IG10" s="142"/>
      <c r="IH10" s="142"/>
      <c r="II10" s="142"/>
      <c r="IJ10" s="142"/>
      <c r="IK10" s="142"/>
      <c r="IL10" s="142"/>
      <c r="IM10" s="142"/>
      <c r="IN10" s="142"/>
      <c r="IO10" s="142"/>
      <c r="IP10" s="142"/>
      <c r="IQ10" s="142"/>
      <c r="IR10" s="142"/>
      <c r="IS10" s="142"/>
      <c r="IT10" s="142"/>
      <c r="IU10" s="142"/>
    </row>
    <row r="11" spans="1:255" ht="34">
      <c r="A11" s="143" t="s">
        <v>336</v>
      </c>
      <c r="B11" s="144" t="s">
        <v>415</v>
      </c>
      <c r="C11" s="144" t="s">
        <v>416</v>
      </c>
      <c r="D11" s="144" t="s">
        <v>339</v>
      </c>
      <c r="E11" s="144" t="s">
        <v>417</v>
      </c>
      <c r="F11" s="144" t="s">
        <v>418</v>
      </c>
      <c r="G11" s="144" t="s">
        <v>342</v>
      </c>
    </row>
    <row r="12" spans="1:255" ht="17">
      <c r="A12" s="145" t="s">
        <v>263</v>
      </c>
      <c r="B12" s="146" t="s">
        <v>264</v>
      </c>
      <c r="C12" s="146" t="s">
        <v>264</v>
      </c>
      <c r="D12" s="146" t="s">
        <v>264</v>
      </c>
      <c r="E12" s="146" t="s">
        <v>264</v>
      </c>
      <c r="F12" s="146" t="s">
        <v>264</v>
      </c>
      <c r="G12" s="146" t="s">
        <v>264</v>
      </c>
    </row>
    <row r="13" spans="1:255">
      <c r="A13" s="147" t="s">
        <v>343</v>
      </c>
      <c r="B13" s="138"/>
      <c r="C13" s="138"/>
      <c r="D13" s="138"/>
      <c r="E13" s="138"/>
      <c r="F13" s="138"/>
      <c r="G13" s="138"/>
    </row>
    <row r="14" spans="1:255">
      <c r="A14" s="147" t="s">
        <v>419</v>
      </c>
      <c r="B14" s="150">
        <v>1798</v>
      </c>
      <c r="C14" s="150">
        <v>2454</v>
      </c>
      <c r="D14" s="150">
        <v>1419</v>
      </c>
      <c r="E14" s="150">
        <v>1241</v>
      </c>
      <c r="F14" s="150">
        <v>927</v>
      </c>
      <c r="G14" s="150">
        <v>1069</v>
      </c>
    </row>
    <row r="15" spans="1:255">
      <c r="A15" s="138" t="s">
        <v>351</v>
      </c>
      <c r="B15" s="148">
        <v>759</v>
      </c>
      <c r="C15" s="148">
        <v>787</v>
      </c>
      <c r="D15" s="148">
        <v>832</v>
      </c>
      <c r="E15" s="148">
        <v>862</v>
      </c>
      <c r="F15" s="148">
        <v>845</v>
      </c>
      <c r="G15" s="148">
        <v>817</v>
      </c>
    </row>
    <row r="16" spans="1:255">
      <c r="A16" s="138" t="s">
        <v>352</v>
      </c>
      <c r="B16" s="148">
        <v>80</v>
      </c>
      <c r="C16" s="148">
        <v>82</v>
      </c>
      <c r="D16" s="148">
        <v>86</v>
      </c>
      <c r="E16" s="148">
        <v>61</v>
      </c>
      <c r="F16" s="148">
        <v>21</v>
      </c>
      <c r="G16" s="148">
        <v>14</v>
      </c>
    </row>
    <row r="17" spans="1:7">
      <c r="A17" s="147" t="s">
        <v>420</v>
      </c>
      <c r="B17" s="149">
        <v>839</v>
      </c>
      <c r="C17" s="149">
        <v>869</v>
      </c>
      <c r="D17" s="149">
        <v>918</v>
      </c>
      <c r="E17" s="149">
        <v>923</v>
      </c>
      <c r="F17" s="149">
        <v>866</v>
      </c>
      <c r="G17" s="149">
        <v>831</v>
      </c>
    </row>
    <row r="18" spans="1:7">
      <c r="A18" s="138"/>
      <c r="B18" s="138"/>
      <c r="C18" s="138"/>
      <c r="D18" s="138"/>
      <c r="E18" s="138"/>
      <c r="F18" s="138"/>
      <c r="G18" s="138"/>
    </row>
    <row r="19" spans="1:7" ht="17">
      <c r="A19" s="138" t="s">
        <v>421</v>
      </c>
      <c r="B19" s="148" t="s">
        <v>99</v>
      </c>
      <c r="C19" s="148" t="s">
        <v>99</v>
      </c>
      <c r="D19" s="148" t="s">
        <v>99</v>
      </c>
      <c r="E19" s="148">
        <v>-21</v>
      </c>
      <c r="F19" s="148" t="s">
        <v>99</v>
      </c>
      <c r="G19" s="148">
        <v>6</v>
      </c>
    </row>
    <row r="20" spans="1:7">
      <c r="A20" s="138" t="s">
        <v>422</v>
      </c>
      <c r="B20" s="148">
        <v>254</v>
      </c>
      <c r="C20" s="148">
        <v>-34</v>
      </c>
      <c r="D20" s="148">
        <v>147</v>
      </c>
      <c r="E20" s="148">
        <v>155</v>
      </c>
      <c r="F20" s="148">
        <v>474</v>
      </c>
      <c r="G20" s="148">
        <v>382</v>
      </c>
    </row>
    <row r="21" spans="1:7">
      <c r="A21" s="138" t="s">
        <v>423</v>
      </c>
      <c r="B21" s="148">
        <v>135</v>
      </c>
      <c r="C21" s="148">
        <v>141</v>
      </c>
      <c r="D21" s="148">
        <v>138</v>
      </c>
      <c r="E21" s="148">
        <v>145</v>
      </c>
      <c r="F21" s="148">
        <v>139</v>
      </c>
      <c r="G21" s="148">
        <v>139</v>
      </c>
    </row>
    <row r="22" spans="1:7">
      <c r="A22" s="138" t="s">
        <v>424</v>
      </c>
      <c r="B22" s="148">
        <v>-33</v>
      </c>
      <c r="C22" s="148">
        <v>25</v>
      </c>
      <c r="D22" s="148">
        <v>63</v>
      </c>
      <c r="E22" s="148">
        <v>-190</v>
      </c>
      <c r="F22" s="148">
        <v>-49</v>
      </c>
      <c r="G22" s="148">
        <v>74</v>
      </c>
    </row>
    <row r="23" spans="1:7">
      <c r="A23" s="138" t="s">
        <v>425</v>
      </c>
      <c r="B23" s="148">
        <v>73</v>
      </c>
      <c r="C23" s="148">
        <v>17</v>
      </c>
      <c r="D23" s="148">
        <v>-103</v>
      </c>
      <c r="E23" s="148">
        <v>204</v>
      </c>
      <c r="F23" s="148">
        <v>-111</v>
      </c>
      <c r="G23" s="148">
        <v>-3</v>
      </c>
    </row>
    <row r="24" spans="1:7">
      <c r="A24" s="138" t="s">
        <v>426</v>
      </c>
      <c r="B24" s="148">
        <v>-435</v>
      </c>
      <c r="C24" s="148">
        <v>-328</v>
      </c>
      <c r="D24" s="148">
        <v>809</v>
      </c>
      <c r="E24" s="148">
        <v>178</v>
      </c>
      <c r="F24" s="148">
        <v>-155</v>
      </c>
      <c r="G24" s="148">
        <v>-126</v>
      </c>
    </row>
    <row r="25" spans="1:7">
      <c r="A25" s="138" t="s">
        <v>427</v>
      </c>
      <c r="B25" s="148">
        <v>1676</v>
      </c>
      <c r="C25" s="148">
        <v>-201</v>
      </c>
      <c r="D25" s="148">
        <v>-1099</v>
      </c>
      <c r="E25" s="148">
        <v>-1025</v>
      </c>
      <c r="F25" s="148">
        <v>358</v>
      </c>
      <c r="G25" s="148">
        <v>-238</v>
      </c>
    </row>
    <row r="26" spans="1:7">
      <c r="A26" s="138" t="s">
        <v>428</v>
      </c>
      <c r="B26" s="148">
        <v>173</v>
      </c>
      <c r="C26" s="148">
        <v>-156</v>
      </c>
      <c r="D26" s="148">
        <v>36</v>
      </c>
      <c r="E26" s="148">
        <v>52</v>
      </c>
      <c r="F26" s="148">
        <v>-212</v>
      </c>
      <c r="G26" s="148">
        <v>-7</v>
      </c>
    </row>
    <row r="27" spans="1:7">
      <c r="A27" s="138" t="s">
        <v>429</v>
      </c>
      <c r="B27" s="148">
        <v>447</v>
      </c>
      <c r="C27" s="148">
        <v>465</v>
      </c>
      <c r="D27" s="148">
        <v>-504</v>
      </c>
      <c r="E27" s="148">
        <v>-192</v>
      </c>
      <c r="F27" s="148">
        <v>-139</v>
      </c>
      <c r="G27" s="148">
        <v>-165</v>
      </c>
    </row>
    <row r="28" spans="1:7">
      <c r="A28" s="147" t="s">
        <v>430</v>
      </c>
      <c r="B28" s="149">
        <v>4927</v>
      </c>
      <c r="C28" s="149">
        <v>3252</v>
      </c>
      <c r="D28" s="149">
        <v>1824</v>
      </c>
      <c r="E28" s="149">
        <v>1470</v>
      </c>
      <c r="F28" s="149">
        <v>2098</v>
      </c>
      <c r="G28" s="149">
        <v>1962</v>
      </c>
    </row>
    <row r="29" spans="1:7">
      <c r="A29" s="138"/>
      <c r="B29" s="138"/>
      <c r="C29" s="138"/>
      <c r="D29" s="138"/>
      <c r="E29" s="138"/>
      <c r="F29" s="138"/>
      <c r="G29" s="138"/>
    </row>
    <row r="30" spans="1:7">
      <c r="A30" s="138" t="s">
        <v>431</v>
      </c>
      <c r="B30" s="148">
        <v>-713</v>
      </c>
      <c r="C30" s="148">
        <v>-737</v>
      </c>
      <c r="D30" s="148">
        <v>-930</v>
      </c>
      <c r="E30" s="148">
        <v>-795</v>
      </c>
      <c r="F30" s="148">
        <v>-706</v>
      </c>
      <c r="G30" s="148">
        <v>-704</v>
      </c>
    </row>
    <row r="31" spans="1:7" ht="17">
      <c r="A31" s="138" t="s">
        <v>432</v>
      </c>
      <c r="B31" s="148" t="s">
        <v>99</v>
      </c>
      <c r="C31" s="148">
        <v>-468</v>
      </c>
      <c r="D31" s="148" t="s">
        <v>99</v>
      </c>
      <c r="E31" s="148" t="s">
        <v>99</v>
      </c>
      <c r="F31" s="148" t="s">
        <v>99</v>
      </c>
      <c r="G31" s="148" t="s">
        <v>99</v>
      </c>
    </row>
    <row r="32" spans="1:7" ht="17">
      <c r="A32" s="138" t="s">
        <v>433</v>
      </c>
      <c r="B32" s="148" t="s">
        <v>99</v>
      </c>
      <c r="C32" s="148" t="s">
        <v>99</v>
      </c>
      <c r="D32" s="148" t="s">
        <v>99</v>
      </c>
      <c r="E32" s="148">
        <v>14</v>
      </c>
      <c r="F32" s="148" t="s">
        <v>99</v>
      </c>
      <c r="G32" s="148">
        <v>-27</v>
      </c>
    </row>
    <row r="33" spans="1:7">
      <c r="A33" s="138" t="s">
        <v>434</v>
      </c>
      <c r="B33" s="148">
        <v>-74</v>
      </c>
      <c r="C33" s="148">
        <v>-167</v>
      </c>
      <c r="D33" s="148">
        <v>-39</v>
      </c>
      <c r="E33" s="148">
        <v>-2</v>
      </c>
      <c r="F33" s="148">
        <v>-6</v>
      </c>
      <c r="G33" s="148">
        <v>-1</v>
      </c>
    </row>
    <row r="34" spans="1:7" ht="17">
      <c r="A34" s="138" t="s">
        <v>435</v>
      </c>
      <c r="B34" s="148" t="s">
        <v>99</v>
      </c>
      <c r="C34" s="148" t="s">
        <v>99</v>
      </c>
      <c r="D34" s="148" t="s">
        <v>99</v>
      </c>
      <c r="E34" s="148" t="s">
        <v>99</v>
      </c>
      <c r="F34" s="148" t="s">
        <v>99</v>
      </c>
      <c r="G34" s="148" t="s">
        <v>99</v>
      </c>
    </row>
    <row r="35" spans="1:7" ht="17">
      <c r="A35" s="138" t="s">
        <v>436</v>
      </c>
      <c r="B35" s="148">
        <v>-1</v>
      </c>
      <c r="C35" s="148" t="s">
        <v>99</v>
      </c>
      <c r="D35" s="148">
        <v>7</v>
      </c>
      <c r="E35" s="148">
        <v>2</v>
      </c>
      <c r="F35" s="148">
        <v>8</v>
      </c>
      <c r="G35" s="148">
        <v>2</v>
      </c>
    </row>
    <row r="36" spans="1:7">
      <c r="A36" s="147" t="s">
        <v>437</v>
      </c>
      <c r="B36" s="149">
        <v>-788</v>
      </c>
      <c r="C36" s="149">
        <v>-1372</v>
      </c>
      <c r="D36" s="149">
        <v>-962</v>
      </c>
      <c r="E36" s="149">
        <v>-781</v>
      </c>
      <c r="F36" s="149">
        <v>-704</v>
      </c>
      <c r="G36" s="149">
        <v>-730</v>
      </c>
    </row>
    <row r="37" spans="1:7">
      <c r="A37" s="138"/>
      <c r="B37" s="138"/>
      <c r="C37" s="138"/>
      <c r="D37" s="138"/>
      <c r="E37" s="138"/>
      <c r="F37" s="138"/>
      <c r="G37" s="138"/>
    </row>
    <row r="38" spans="1:7" ht="17">
      <c r="A38" s="138" t="s">
        <v>438</v>
      </c>
      <c r="B38" s="148" t="s">
        <v>99</v>
      </c>
      <c r="C38" s="148" t="s">
        <v>99</v>
      </c>
      <c r="D38" s="148" t="s">
        <v>99</v>
      </c>
      <c r="E38" s="148" t="s">
        <v>99</v>
      </c>
      <c r="F38" s="148" t="s">
        <v>99</v>
      </c>
      <c r="G38" s="148" t="s">
        <v>99</v>
      </c>
    </row>
    <row r="39" spans="1:7" ht="17">
      <c r="A39" s="138" t="s">
        <v>439</v>
      </c>
      <c r="B39" s="148">
        <v>1892</v>
      </c>
      <c r="C39" s="148" t="s">
        <v>99</v>
      </c>
      <c r="D39" s="148" t="s">
        <v>99</v>
      </c>
      <c r="E39" s="148" t="s">
        <v>99</v>
      </c>
      <c r="F39" s="148" t="s">
        <v>99</v>
      </c>
      <c r="G39" s="148" t="s">
        <v>99</v>
      </c>
    </row>
    <row r="40" spans="1:7" ht="17">
      <c r="A40" s="147" t="s">
        <v>440</v>
      </c>
      <c r="B40" s="149">
        <v>1892</v>
      </c>
      <c r="C40" s="149" t="s">
        <v>99</v>
      </c>
      <c r="D40" s="149" t="s">
        <v>99</v>
      </c>
      <c r="E40" s="149" t="s">
        <v>99</v>
      </c>
      <c r="F40" s="149" t="s">
        <v>99</v>
      </c>
      <c r="G40" s="149" t="s">
        <v>99</v>
      </c>
    </row>
    <row r="41" spans="1:7" ht="17">
      <c r="A41" s="138" t="s">
        <v>441</v>
      </c>
      <c r="B41" s="148" t="s">
        <v>99</v>
      </c>
      <c r="C41" s="148" t="s">
        <v>99</v>
      </c>
      <c r="D41" s="148" t="s">
        <v>99</v>
      </c>
      <c r="E41" s="148" t="s">
        <v>99</v>
      </c>
      <c r="F41" s="148" t="s">
        <v>99</v>
      </c>
      <c r="G41" s="148" t="s">
        <v>99</v>
      </c>
    </row>
    <row r="42" spans="1:7">
      <c r="A42" s="138" t="s">
        <v>442</v>
      </c>
      <c r="B42" s="148">
        <v>-1916</v>
      </c>
      <c r="C42" s="148">
        <v>-133</v>
      </c>
      <c r="D42" s="148">
        <v>-19</v>
      </c>
      <c r="E42" s="148">
        <v>-19</v>
      </c>
      <c r="F42" s="148">
        <v>-17</v>
      </c>
      <c r="G42" s="148">
        <v>-13</v>
      </c>
    </row>
    <row r="43" spans="1:7">
      <c r="A43" s="147" t="s">
        <v>443</v>
      </c>
      <c r="B43" s="149">
        <v>-1916</v>
      </c>
      <c r="C43" s="149">
        <v>-133</v>
      </c>
      <c r="D43" s="149">
        <v>-19</v>
      </c>
      <c r="E43" s="149">
        <v>-19</v>
      </c>
      <c r="F43" s="149">
        <v>-17</v>
      </c>
      <c r="G43" s="149">
        <v>-13</v>
      </c>
    </row>
    <row r="44" spans="1:7">
      <c r="A44" s="138"/>
      <c r="B44" s="138"/>
      <c r="C44" s="138"/>
      <c r="D44" s="138"/>
      <c r="E44" s="138"/>
      <c r="F44" s="138"/>
      <c r="G44" s="138"/>
    </row>
    <row r="45" spans="1:7">
      <c r="A45" s="138" t="s">
        <v>444</v>
      </c>
      <c r="B45" s="148">
        <v>28</v>
      </c>
      <c r="C45" s="148">
        <v>29</v>
      </c>
      <c r="D45" s="148">
        <v>16</v>
      </c>
      <c r="E45" s="148">
        <v>19</v>
      </c>
      <c r="F45" s="148">
        <v>17</v>
      </c>
      <c r="G45" s="148">
        <v>5</v>
      </c>
    </row>
    <row r="46" spans="1:7">
      <c r="A46" s="138" t="s">
        <v>445</v>
      </c>
      <c r="B46" s="148">
        <v>-312</v>
      </c>
      <c r="C46" s="148">
        <v>-3502</v>
      </c>
      <c r="D46" s="148">
        <v>-1014</v>
      </c>
      <c r="E46" s="148">
        <v>-340</v>
      </c>
      <c r="F46" s="148">
        <v>-500</v>
      </c>
      <c r="G46" s="148">
        <v>-273</v>
      </c>
    </row>
    <row r="47" spans="1:7">
      <c r="A47" s="138"/>
      <c r="B47" s="138"/>
      <c r="C47" s="138"/>
      <c r="D47" s="138"/>
      <c r="E47" s="138"/>
      <c r="F47" s="138"/>
      <c r="G47" s="138"/>
    </row>
    <row r="48" spans="1:7">
      <c r="A48" s="138" t="s">
        <v>446</v>
      </c>
      <c r="B48" s="148">
        <v>-568</v>
      </c>
      <c r="C48" s="148">
        <v>-688</v>
      </c>
      <c r="D48" s="148">
        <v>-789</v>
      </c>
      <c r="E48" s="148">
        <v>-801</v>
      </c>
      <c r="F48" s="148">
        <v>-807</v>
      </c>
      <c r="G48" s="148">
        <v>-801</v>
      </c>
    </row>
    <row r="49" spans="1:10">
      <c r="A49" s="147" t="s">
        <v>447</v>
      </c>
      <c r="B49" s="149">
        <v>-568</v>
      </c>
      <c r="C49" s="149">
        <v>-688</v>
      </c>
      <c r="D49" s="149">
        <v>-789</v>
      </c>
      <c r="E49" s="149">
        <v>-801</v>
      </c>
      <c r="F49" s="149">
        <v>-807</v>
      </c>
      <c r="G49" s="149">
        <v>-801</v>
      </c>
    </row>
    <row r="50" spans="1:10">
      <c r="A50" s="138"/>
      <c r="B50" s="138"/>
      <c r="C50" s="138"/>
      <c r="D50" s="138"/>
      <c r="E50" s="138"/>
      <c r="F50" s="138"/>
      <c r="G50" s="138"/>
    </row>
    <row r="51" spans="1:10" ht="17">
      <c r="A51" s="138" t="s">
        <v>448</v>
      </c>
      <c r="B51" s="148" t="s">
        <v>99</v>
      </c>
      <c r="C51" s="148" t="s">
        <v>99</v>
      </c>
      <c r="D51" s="148" t="s">
        <v>99</v>
      </c>
      <c r="E51" s="148" t="s">
        <v>99</v>
      </c>
      <c r="F51" s="148" t="s">
        <v>99</v>
      </c>
      <c r="G51" s="148" t="s">
        <v>99</v>
      </c>
    </row>
    <row r="52" spans="1:10" ht="17">
      <c r="A52" s="138" t="s">
        <v>449</v>
      </c>
      <c r="B52" s="148" t="s">
        <v>99</v>
      </c>
      <c r="C52" s="148">
        <v>-3</v>
      </c>
      <c r="D52" s="148" t="s">
        <v>99</v>
      </c>
      <c r="E52" s="148">
        <v>-3</v>
      </c>
      <c r="F52" s="148">
        <v>-2</v>
      </c>
      <c r="G52" s="148">
        <v>-1</v>
      </c>
    </row>
    <row r="53" spans="1:10">
      <c r="A53" s="147" t="s">
        <v>450</v>
      </c>
      <c r="B53" s="149">
        <v>-876</v>
      </c>
      <c r="C53" s="149">
        <v>-4297</v>
      </c>
      <c r="D53" s="149">
        <v>-1806</v>
      </c>
      <c r="E53" s="149">
        <v>-1144</v>
      </c>
      <c r="F53" s="149">
        <v>-1309</v>
      </c>
      <c r="G53" s="149">
        <v>-1083</v>
      </c>
    </row>
    <row r="54" spans="1:10">
      <c r="A54" s="138"/>
      <c r="B54" s="138"/>
      <c r="C54" s="138"/>
      <c r="D54" s="138"/>
      <c r="E54" s="138"/>
      <c r="F54" s="138"/>
      <c r="G54" s="138"/>
    </row>
    <row r="55" spans="1:10">
      <c r="A55" s="138" t="s">
        <v>451</v>
      </c>
      <c r="B55" s="148">
        <v>7</v>
      </c>
      <c r="C55" s="148">
        <v>-3</v>
      </c>
      <c r="D55" s="148">
        <v>-8</v>
      </c>
      <c r="E55" s="148">
        <v>-5</v>
      </c>
      <c r="F55" s="148">
        <v>-10</v>
      </c>
      <c r="G55" s="148">
        <v>6</v>
      </c>
    </row>
    <row r="56" spans="1:10">
      <c r="A56" s="147" t="s">
        <v>452</v>
      </c>
      <c r="B56" s="151">
        <v>3270</v>
      </c>
      <c r="C56" s="151">
        <v>-2420</v>
      </c>
      <c r="D56" s="151">
        <v>-952</v>
      </c>
      <c r="E56" s="151">
        <v>-460</v>
      </c>
      <c r="F56" s="151">
        <v>75</v>
      </c>
      <c r="G56" s="151">
        <v>155</v>
      </c>
    </row>
    <row r="57" spans="1:10">
      <c r="A57" s="138"/>
      <c r="B57" s="138"/>
      <c r="C57" s="138"/>
      <c r="D57" s="138"/>
      <c r="E57" s="138"/>
      <c r="F57" s="138"/>
      <c r="G57" s="138"/>
    </row>
    <row r="58" spans="1:10">
      <c r="A58" s="147" t="s">
        <v>306</v>
      </c>
      <c r="B58" s="138"/>
      <c r="C58" s="138"/>
      <c r="D58" s="138"/>
      <c r="E58" s="138"/>
      <c r="F58" s="138"/>
      <c r="G58" s="138"/>
    </row>
    <row r="59" spans="1:10">
      <c r="A59" s="138" t="s">
        <v>453</v>
      </c>
      <c r="B59" s="148">
        <v>50</v>
      </c>
      <c r="C59" s="148">
        <v>22</v>
      </c>
      <c r="D59" s="148">
        <v>31</v>
      </c>
      <c r="E59" s="148">
        <v>51</v>
      </c>
      <c r="F59" s="148">
        <v>46</v>
      </c>
      <c r="G59" s="148">
        <v>44</v>
      </c>
    </row>
    <row r="60" spans="1:10">
      <c r="A60" s="138" t="s">
        <v>454</v>
      </c>
      <c r="B60" s="148">
        <v>442</v>
      </c>
      <c r="C60" s="148">
        <v>716</v>
      </c>
      <c r="D60" s="148">
        <v>283</v>
      </c>
      <c r="E60" s="148">
        <v>543</v>
      </c>
      <c r="F60" s="148">
        <v>643</v>
      </c>
      <c r="G60" s="148">
        <v>284</v>
      </c>
    </row>
    <row r="61" spans="1:10">
      <c r="A61" s="138" t="s">
        <v>455</v>
      </c>
      <c r="B61" s="148">
        <v>3760</v>
      </c>
      <c r="C61" s="148">
        <v>1825.625</v>
      </c>
      <c r="D61" s="148">
        <v>482.875</v>
      </c>
      <c r="E61" s="148">
        <v>574.125</v>
      </c>
      <c r="F61" s="148">
        <v>1457.125</v>
      </c>
      <c r="G61" s="148">
        <v>842.5</v>
      </c>
    </row>
    <row r="62" spans="1:10">
      <c r="A62" s="138" t="s">
        <v>456</v>
      </c>
      <c r="B62" s="148">
        <v>3792.5</v>
      </c>
      <c r="C62" s="148">
        <v>1841.25</v>
      </c>
      <c r="D62" s="148">
        <v>504.75</v>
      </c>
      <c r="E62" s="148">
        <v>606.625</v>
      </c>
      <c r="F62" s="148">
        <v>1489</v>
      </c>
      <c r="G62" s="148">
        <v>871.875</v>
      </c>
      <c r="J62" s="260"/>
    </row>
    <row r="63" spans="1:10">
      <c r="A63" s="138" t="s">
        <v>457</v>
      </c>
      <c r="B63" s="148">
        <v>-1864</v>
      </c>
      <c r="C63" s="148">
        <v>313</v>
      </c>
      <c r="D63" s="148">
        <v>835</v>
      </c>
      <c r="E63" s="148">
        <v>747</v>
      </c>
      <c r="F63" s="148">
        <v>-105</v>
      </c>
      <c r="G63" s="148">
        <v>501</v>
      </c>
    </row>
    <row r="64" spans="1:10">
      <c r="A64" s="138" t="s">
        <v>458</v>
      </c>
      <c r="B64" s="148">
        <v>-24</v>
      </c>
      <c r="C64" s="148">
        <v>-133</v>
      </c>
      <c r="D64" s="148">
        <v>-19</v>
      </c>
      <c r="E64" s="148">
        <v>-19</v>
      </c>
      <c r="F64" s="148">
        <v>-17</v>
      </c>
      <c r="G64" s="148">
        <v>-13</v>
      </c>
    </row>
    <row r="65" spans="1:7">
      <c r="A65" s="138" t="s">
        <v>325</v>
      </c>
      <c r="B65" s="156">
        <v>45002</v>
      </c>
      <c r="C65" s="156">
        <v>45366</v>
      </c>
      <c r="D65" s="156">
        <v>45735</v>
      </c>
      <c r="E65" s="156">
        <v>46099</v>
      </c>
      <c r="F65" s="156">
        <v>46099</v>
      </c>
      <c r="G65" s="156">
        <v>46099</v>
      </c>
    </row>
    <row r="66" spans="1:7" ht="17">
      <c r="A66" s="138" t="s">
        <v>326</v>
      </c>
      <c r="B66" s="157" t="s">
        <v>327</v>
      </c>
      <c r="C66" s="157" t="s">
        <v>327</v>
      </c>
      <c r="D66" s="157" t="s">
        <v>327</v>
      </c>
      <c r="E66" s="157" t="s">
        <v>327</v>
      </c>
      <c r="F66" s="157" t="s">
        <v>327</v>
      </c>
      <c r="G66" s="157" t="s">
        <v>328</v>
      </c>
    </row>
    <row r="67" spans="1:7" ht="17">
      <c r="A67" s="138" t="s">
        <v>329</v>
      </c>
      <c r="B67" s="157" t="s">
        <v>331</v>
      </c>
      <c r="C67" s="157" t="s">
        <v>331</v>
      </c>
      <c r="D67" s="157" t="s">
        <v>331</v>
      </c>
      <c r="E67" s="157" t="s">
        <v>331</v>
      </c>
      <c r="F67" s="157" t="s">
        <v>331</v>
      </c>
      <c r="G67" s="157" t="s">
        <v>331</v>
      </c>
    </row>
    <row r="68" spans="1:7">
      <c r="A68" s="138"/>
      <c r="B68" s="138"/>
      <c r="C68" s="138"/>
      <c r="D68" s="138"/>
      <c r="E68" s="138"/>
      <c r="F68" s="138"/>
      <c r="G68" s="138"/>
    </row>
    <row r="69" spans="1:7" ht="102">
      <c r="A69" s="165" t="s">
        <v>333</v>
      </c>
      <c r="B69" s="158"/>
      <c r="C69" s="158"/>
      <c r="D69" s="158"/>
      <c r="E69" s="158"/>
      <c r="F69" s="158"/>
      <c r="G69" s="158"/>
    </row>
  </sheetData>
  <pageMargins left="0.2" right="0.2" top="0.5" bottom="0.5" header="0.5" footer="0.5"/>
  <pageSetup fitToWidth="0" fitToHeight="0" orientation="landscape" horizontalDpi="0" verticalDpi="0"/>
  <headerFooter alignWithMargin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F0EA4D-F3C0-2B42-B667-F489CEC57915}">
  <sheetPr>
    <tabColor theme="2"/>
    <outlinePr summaryBelow="0" summaryRight="0"/>
    <pageSetUpPr autoPageBreaks="0"/>
  </sheetPr>
  <dimension ref="A1:IU35"/>
  <sheetViews>
    <sheetView topLeftCell="A9" workbookViewId="0">
      <selection activeCell="K33" sqref="K33"/>
    </sheetView>
  </sheetViews>
  <sheetFormatPr baseColWidth="10" defaultColWidth="10.83203125" defaultRowHeight="16"/>
  <cols>
    <col min="1" max="1" width="45.83203125" style="135" customWidth="1"/>
    <col min="2" max="7" width="14.83203125" style="135" customWidth="1"/>
    <col min="8" max="8" width="9.33203125" style="135" customWidth="1"/>
    <col min="9" max="256" width="8.83203125" style="135" customWidth="1"/>
    <col min="257" max="16384" width="10.83203125" style="135"/>
  </cols>
  <sheetData>
    <row r="1" spans="1:255">
      <c r="A1" s="166" t="s">
        <v>459</v>
      </c>
    </row>
    <row r="3" spans="1:255" ht="34">
      <c r="A3" s="136" t="s">
        <v>460</v>
      </c>
      <c r="B3" s="137" t="s">
        <v>461</v>
      </c>
      <c r="C3" s="135" t="s">
        <v>462</v>
      </c>
      <c r="D3" s="138" t="s">
        <v>245</v>
      </c>
      <c r="E3" s="137" t="s">
        <v>250</v>
      </c>
      <c r="F3" s="135" t="s">
        <v>251</v>
      </c>
    </row>
    <row r="4" spans="1:255">
      <c r="A4" s="138"/>
      <c r="B4" s="137" t="s">
        <v>9</v>
      </c>
      <c r="C4" s="135" t="s">
        <v>463</v>
      </c>
      <c r="D4" s="138" t="s">
        <v>245</v>
      </c>
      <c r="E4" s="137" t="s">
        <v>253</v>
      </c>
      <c r="F4" s="135" t="s">
        <v>254</v>
      </c>
    </row>
    <row r="5" spans="1:255">
      <c r="A5" s="138"/>
      <c r="B5" s="137" t="s">
        <v>255</v>
      </c>
      <c r="C5" s="135" t="s">
        <v>256</v>
      </c>
      <c r="D5" s="138" t="s">
        <v>245</v>
      </c>
      <c r="E5" s="137" t="s">
        <v>257</v>
      </c>
      <c r="F5" s="139" t="s">
        <v>258</v>
      </c>
    </row>
    <row r="6" spans="1:255">
      <c r="A6" s="138"/>
      <c r="B6" s="137" t="s">
        <v>464</v>
      </c>
      <c r="C6" s="135" t="s">
        <v>465</v>
      </c>
      <c r="D6" s="138" t="s">
        <v>245</v>
      </c>
      <c r="E6" s="140"/>
      <c r="F6" s="140"/>
    </row>
    <row r="9" spans="1:255">
      <c r="A9" s="167" t="s">
        <v>466</v>
      </c>
      <c r="B9" s="167"/>
      <c r="C9" s="167"/>
      <c r="D9" s="167"/>
      <c r="E9" s="167"/>
      <c r="F9" s="167"/>
      <c r="G9" s="167"/>
      <c r="H9" s="169"/>
      <c r="I9" s="169"/>
      <c r="J9" s="169"/>
      <c r="K9" s="169"/>
      <c r="L9" s="169"/>
      <c r="M9" s="169"/>
      <c r="N9" s="169"/>
      <c r="O9" s="169"/>
      <c r="P9" s="169"/>
      <c r="Q9" s="169"/>
      <c r="R9" s="169"/>
      <c r="S9" s="169"/>
      <c r="T9" s="169"/>
      <c r="U9" s="169"/>
      <c r="V9" s="169"/>
      <c r="W9" s="169"/>
      <c r="X9" s="169"/>
      <c r="Y9" s="169"/>
      <c r="Z9" s="169"/>
      <c r="AA9" s="169"/>
      <c r="AB9" s="169"/>
      <c r="AC9" s="169"/>
      <c r="AD9" s="169"/>
      <c r="AE9" s="169"/>
      <c r="AF9" s="169"/>
      <c r="AG9" s="169"/>
      <c r="AH9" s="169"/>
      <c r="AI9" s="169"/>
      <c r="AJ9" s="169"/>
      <c r="AK9" s="169"/>
      <c r="AL9" s="169"/>
      <c r="AM9" s="169"/>
      <c r="AN9" s="169"/>
      <c r="AO9" s="169"/>
      <c r="AP9" s="169"/>
      <c r="AQ9" s="169"/>
      <c r="AR9" s="169"/>
      <c r="AS9" s="169"/>
      <c r="AT9" s="169"/>
      <c r="AU9" s="169"/>
      <c r="AV9" s="169"/>
      <c r="AW9" s="169"/>
      <c r="AX9" s="169"/>
      <c r="AY9" s="169"/>
      <c r="AZ9" s="169"/>
      <c r="BA9" s="169"/>
      <c r="BB9" s="169"/>
      <c r="BC9" s="169"/>
      <c r="BD9" s="169"/>
      <c r="BE9" s="169"/>
      <c r="BF9" s="169"/>
      <c r="BG9" s="169"/>
      <c r="BH9" s="169"/>
      <c r="BI9" s="169"/>
      <c r="BJ9" s="169"/>
      <c r="BK9" s="169"/>
      <c r="BL9" s="169"/>
      <c r="BM9" s="169"/>
      <c r="BN9" s="169"/>
      <c r="BO9" s="169"/>
      <c r="BP9" s="169"/>
      <c r="BQ9" s="169"/>
      <c r="BR9" s="169"/>
      <c r="BS9" s="169"/>
      <c r="BT9" s="169"/>
      <c r="BU9" s="169"/>
      <c r="BV9" s="169"/>
      <c r="BW9" s="169"/>
      <c r="BX9" s="169"/>
      <c r="BY9" s="169"/>
      <c r="BZ9" s="169"/>
      <c r="CA9" s="169"/>
      <c r="CB9" s="169"/>
      <c r="CC9" s="169"/>
      <c r="CD9" s="169"/>
      <c r="CE9" s="169"/>
      <c r="CF9" s="169"/>
      <c r="CG9" s="169"/>
      <c r="CH9" s="169"/>
      <c r="CI9" s="169"/>
      <c r="CJ9" s="169"/>
      <c r="CK9" s="169"/>
      <c r="CL9" s="169"/>
      <c r="CM9" s="169"/>
      <c r="CN9" s="169"/>
      <c r="CO9" s="169"/>
      <c r="CP9" s="169"/>
      <c r="CQ9" s="169"/>
      <c r="CR9" s="169"/>
      <c r="CS9" s="169"/>
      <c r="CT9" s="169"/>
      <c r="CU9" s="169"/>
      <c r="CV9" s="169"/>
      <c r="CW9" s="169"/>
      <c r="CX9" s="169"/>
      <c r="CY9" s="169"/>
      <c r="CZ9" s="169"/>
      <c r="DA9" s="169"/>
      <c r="DB9" s="169"/>
      <c r="DC9" s="169"/>
      <c r="DD9" s="169"/>
      <c r="DE9" s="169"/>
      <c r="DF9" s="169"/>
      <c r="DG9" s="169"/>
      <c r="DH9" s="169"/>
      <c r="DI9" s="169"/>
      <c r="DJ9" s="169"/>
      <c r="DK9" s="169"/>
      <c r="DL9" s="169"/>
      <c r="DM9" s="169"/>
      <c r="DN9" s="169"/>
      <c r="DO9" s="169"/>
      <c r="DP9" s="169"/>
      <c r="DQ9" s="169"/>
      <c r="DR9" s="169"/>
      <c r="DS9" s="169"/>
      <c r="DT9" s="169"/>
      <c r="DU9" s="169"/>
      <c r="DV9" s="169"/>
      <c r="DW9" s="169"/>
      <c r="DX9" s="169"/>
      <c r="DY9" s="169"/>
      <c r="DZ9" s="169"/>
      <c r="EA9" s="169"/>
      <c r="EB9" s="169"/>
      <c r="EC9" s="169"/>
      <c r="ED9" s="169"/>
      <c r="EE9" s="169"/>
      <c r="EF9" s="169"/>
      <c r="EG9" s="169"/>
      <c r="EH9" s="169"/>
      <c r="EI9" s="169"/>
      <c r="EJ9" s="169"/>
      <c r="EK9" s="169"/>
      <c r="EL9" s="169"/>
      <c r="EM9" s="169"/>
      <c r="EN9" s="169"/>
      <c r="EO9" s="169"/>
      <c r="EP9" s="169"/>
      <c r="EQ9" s="169"/>
      <c r="ER9" s="169"/>
      <c r="ES9" s="169"/>
      <c r="ET9" s="169"/>
      <c r="EU9" s="169"/>
      <c r="EV9" s="169"/>
      <c r="EW9" s="169"/>
      <c r="EX9" s="169"/>
      <c r="EY9" s="169"/>
      <c r="EZ9" s="169"/>
      <c r="FA9" s="169"/>
      <c r="FB9" s="169"/>
      <c r="FC9" s="169"/>
      <c r="FD9" s="169"/>
      <c r="FE9" s="169"/>
      <c r="FF9" s="169"/>
      <c r="FG9" s="169"/>
      <c r="FH9" s="169"/>
      <c r="FI9" s="169"/>
      <c r="FJ9" s="169"/>
      <c r="FK9" s="169"/>
      <c r="FL9" s="169"/>
      <c r="FM9" s="169"/>
      <c r="FN9" s="169"/>
      <c r="FO9" s="169"/>
      <c r="FP9" s="169"/>
      <c r="FQ9" s="169"/>
      <c r="FR9" s="169"/>
      <c r="FS9" s="169"/>
      <c r="FT9" s="169"/>
      <c r="FU9" s="169"/>
      <c r="FV9" s="169"/>
      <c r="FW9" s="169"/>
      <c r="FX9" s="169"/>
      <c r="FY9" s="169"/>
      <c r="FZ9" s="169"/>
      <c r="GA9" s="169"/>
      <c r="GB9" s="169"/>
      <c r="GC9" s="169"/>
      <c r="GD9" s="169"/>
      <c r="GE9" s="169"/>
      <c r="GF9" s="169"/>
      <c r="GG9" s="169"/>
      <c r="GH9" s="169"/>
      <c r="GI9" s="169"/>
      <c r="GJ9" s="169"/>
      <c r="GK9" s="169"/>
      <c r="GL9" s="169"/>
      <c r="GM9" s="169"/>
      <c r="GN9" s="169"/>
      <c r="GO9" s="169"/>
      <c r="GP9" s="169"/>
      <c r="GQ9" s="169"/>
      <c r="GR9" s="169"/>
      <c r="GS9" s="169"/>
      <c r="GT9" s="169"/>
      <c r="GU9" s="169"/>
      <c r="GV9" s="169"/>
      <c r="GW9" s="169"/>
      <c r="GX9" s="169"/>
      <c r="GY9" s="169"/>
      <c r="GZ9" s="169"/>
      <c r="HA9" s="169"/>
      <c r="HB9" s="169"/>
      <c r="HC9" s="169"/>
      <c r="HD9" s="169"/>
      <c r="HE9" s="169"/>
      <c r="HF9" s="169"/>
      <c r="HG9" s="169"/>
      <c r="HH9" s="169"/>
      <c r="HI9" s="169"/>
      <c r="HJ9" s="169"/>
      <c r="HK9" s="169"/>
      <c r="HL9" s="169"/>
      <c r="HM9" s="169"/>
      <c r="HN9" s="169"/>
      <c r="HO9" s="169"/>
      <c r="HP9" s="169"/>
      <c r="HQ9" s="169"/>
      <c r="HR9" s="169"/>
      <c r="HS9" s="169"/>
      <c r="HT9" s="169"/>
      <c r="HU9" s="169"/>
      <c r="HV9" s="169"/>
      <c r="HW9" s="169"/>
      <c r="HX9" s="169"/>
      <c r="HY9" s="169"/>
      <c r="HZ9" s="169"/>
      <c r="IA9" s="169"/>
      <c r="IB9" s="169"/>
      <c r="IC9" s="169"/>
      <c r="ID9" s="169"/>
      <c r="IE9" s="169"/>
      <c r="IF9" s="169"/>
      <c r="IG9" s="169"/>
      <c r="IH9" s="169"/>
      <c r="II9" s="169"/>
      <c r="IJ9" s="169"/>
      <c r="IK9" s="169"/>
      <c r="IL9" s="169"/>
      <c r="IM9" s="169"/>
      <c r="IN9" s="169"/>
      <c r="IO9" s="169"/>
      <c r="IP9" s="169"/>
      <c r="IQ9" s="169"/>
      <c r="IR9" s="169"/>
      <c r="IS9" s="169"/>
      <c r="IT9" s="169"/>
      <c r="IU9" s="169"/>
    </row>
    <row r="10" spans="1:255" ht="34">
      <c r="A10" s="143" t="s">
        <v>262</v>
      </c>
      <c r="B10" s="160">
        <v>45598</v>
      </c>
      <c r="C10" s="160">
        <v>45689</v>
      </c>
      <c r="D10" s="160">
        <v>45780</v>
      </c>
      <c r="E10" s="160">
        <v>45871</v>
      </c>
      <c r="F10" s="160">
        <v>45962</v>
      </c>
      <c r="G10" s="160">
        <v>46053</v>
      </c>
    </row>
    <row r="11" spans="1:255" ht="17">
      <c r="A11" s="143" t="s">
        <v>467</v>
      </c>
      <c r="B11" s="160">
        <v>45632</v>
      </c>
      <c r="C11" s="160">
        <v>45735</v>
      </c>
      <c r="D11" s="160">
        <v>45814</v>
      </c>
      <c r="E11" s="160">
        <v>45905</v>
      </c>
      <c r="F11" s="160">
        <v>45996</v>
      </c>
      <c r="G11" s="160">
        <v>46099</v>
      </c>
    </row>
    <row r="12" spans="1:255" ht="17">
      <c r="A12" s="145" t="s">
        <v>263</v>
      </c>
      <c r="B12" s="146" t="s">
        <v>264</v>
      </c>
      <c r="C12" s="146" t="s">
        <v>264</v>
      </c>
      <c r="D12" s="146" t="s">
        <v>264</v>
      </c>
      <c r="E12" s="146" t="s">
        <v>264</v>
      </c>
      <c r="F12" s="146" t="s">
        <v>264</v>
      </c>
      <c r="G12" s="146" t="s">
        <v>264</v>
      </c>
    </row>
    <row r="13" spans="1:255">
      <c r="A13" s="147" t="s">
        <v>468</v>
      </c>
      <c r="B13" s="138"/>
      <c r="C13" s="138"/>
      <c r="D13" s="138"/>
      <c r="E13" s="138"/>
      <c r="F13" s="138"/>
      <c r="G13" s="138"/>
    </row>
    <row r="14" spans="1:255">
      <c r="A14" s="138" t="s">
        <v>469</v>
      </c>
      <c r="B14" s="152">
        <v>88.17</v>
      </c>
      <c r="C14" s="152">
        <v>73.790000000000006</v>
      </c>
      <c r="D14" s="152">
        <v>73.02</v>
      </c>
      <c r="E14" s="152">
        <v>76.17</v>
      </c>
      <c r="F14" s="152">
        <v>74.17</v>
      </c>
      <c r="G14" s="152">
        <v>62.87</v>
      </c>
    </row>
    <row r="15" spans="1:255">
      <c r="A15" s="138" t="s">
        <v>470</v>
      </c>
      <c r="B15" s="148">
        <v>213.795603</v>
      </c>
      <c r="C15" s="148">
        <v>211.36965699999999</v>
      </c>
      <c r="D15" s="148">
        <v>211.34669400000001</v>
      </c>
      <c r="E15" s="148">
        <v>210.10126500000001</v>
      </c>
      <c r="F15" s="148">
        <v>209.53510299999999</v>
      </c>
      <c r="G15" s="148">
        <v>209.11257699999999</v>
      </c>
    </row>
    <row r="16" spans="1:255">
      <c r="A16" s="138"/>
      <c r="B16" s="138"/>
      <c r="C16" s="138"/>
      <c r="D16" s="138"/>
      <c r="E16" s="138"/>
      <c r="F16" s="138"/>
      <c r="G16" s="138"/>
    </row>
    <row r="17" spans="1:7">
      <c r="A17" s="147" t="s">
        <v>471</v>
      </c>
      <c r="B17" s="150">
        <v>18850.358316000002</v>
      </c>
      <c r="C17" s="150">
        <v>15596.966990000001</v>
      </c>
      <c r="D17" s="150">
        <v>15432.535594999999</v>
      </c>
      <c r="E17" s="150">
        <v>16003.413355000001</v>
      </c>
      <c r="F17" s="150">
        <v>15541.218589</v>
      </c>
      <c r="G17" s="150">
        <v>13146.907714999999</v>
      </c>
    </row>
    <row r="18" spans="1:7">
      <c r="A18" s="138" t="s">
        <v>472</v>
      </c>
      <c r="B18" s="148">
        <v>832</v>
      </c>
      <c r="C18" s="148">
        <v>1768</v>
      </c>
      <c r="D18" s="148">
        <v>1339</v>
      </c>
      <c r="E18" s="148">
        <v>1619</v>
      </c>
      <c r="F18" s="148">
        <v>1085</v>
      </c>
      <c r="G18" s="148">
        <v>1891</v>
      </c>
    </row>
    <row r="19" spans="1:7">
      <c r="A19" s="138" t="s">
        <v>473</v>
      </c>
      <c r="B19" s="148">
        <v>4081</v>
      </c>
      <c r="C19" s="148">
        <v>4067</v>
      </c>
      <c r="D19" s="148">
        <v>4059</v>
      </c>
      <c r="E19" s="148">
        <v>4076</v>
      </c>
      <c r="F19" s="148">
        <v>4100</v>
      </c>
      <c r="G19" s="148">
        <v>4134</v>
      </c>
    </row>
    <row r="20" spans="1:7" ht="17">
      <c r="A20" s="138" t="s">
        <v>474</v>
      </c>
      <c r="B20" s="148" t="s">
        <v>99</v>
      </c>
      <c r="C20" s="148" t="s">
        <v>99</v>
      </c>
      <c r="D20" s="148" t="s">
        <v>99</v>
      </c>
      <c r="E20" s="148" t="s">
        <v>99</v>
      </c>
      <c r="F20" s="148" t="s">
        <v>99</v>
      </c>
      <c r="G20" s="148" t="s">
        <v>99</v>
      </c>
    </row>
    <row r="21" spans="1:7" ht="17">
      <c r="A21" s="138" t="s">
        <v>475</v>
      </c>
      <c r="B21" s="148" t="s">
        <v>99</v>
      </c>
      <c r="C21" s="148" t="s">
        <v>99</v>
      </c>
      <c r="D21" s="148" t="s">
        <v>99</v>
      </c>
      <c r="E21" s="148" t="s">
        <v>99</v>
      </c>
      <c r="F21" s="148" t="s">
        <v>99</v>
      </c>
      <c r="G21" s="148" t="s">
        <v>99</v>
      </c>
    </row>
    <row r="22" spans="1:7" ht="17">
      <c r="A22" s="138" t="s">
        <v>476</v>
      </c>
      <c r="B22" s="148" t="s">
        <v>99</v>
      </c>
      <c r="C22" s="148" t="s">
        <v>99</v>
      </c>
      <c r="D22" s="148" t="s">
        <v>99</v>
      </c>
      <c r="E22" s="148" t="s">
        <v>99</v>
      </c>
      <c r="F22" s="148" t="s">
        <v>99</v>
      </c>
      <c r="G22" s="148" t="s">
        <v>99</v>
      </c>
    </row>
    <row r="23" spans="1:7">
      <c r="A23" s="147" t="s">
        <v>477</v>
      </c>
      <c r="B23" s="149">
        <v>22099.358316000002</v>
      </c>
      <c r="C23" s="149">
        <v>17895.966990000001</v>
      </c>
      <c r="D23" s="149">
        <v>18152.535595000001</v>
      </c>
      <c r="E23" s="149">
        <v>18460.413355000001</v>
      </c>
      <c r="F23" s="149">
        <v>18556.218589</v>
      </c>
      <c r="G23" s="149">
        <v>15389.907714999999</v>
      </c>
    </row>
    <row r="24" spans="1:7">
      <c r="A24" s="138"/>
      <c r="B24" s="138"/>
      <c r="C24" s="138"/>
      <c r="D24" s="138"/>
      <c r="E24" s="138"/>
      <c r="F24" s="138"/>
      <c r="G24" s="138"/>
    </row>
    <row r="25" spans="1:7">
      <c r="A25" s="138" t="s">
        <v>478</v>
      </c>
      <c r="B25" s="148">
        <v>3082</v>
      </c>
      <c r="C25" s="148">
        <v>2808</v>
      </c>
      <c r="D25" s="148">
        <v>2763</v>
      </c>
      <c r="E25" s="148">
        <v>2716</v>
      </c>
      <c r="F25" s="148">
        <v>2653</v>
      </c>
      <c r="G25" s="148">
        <v>2964</v>
      </c>
    </row>
    <row r="26" spans="1:7" ht="17">
      <c r="A26" s="138" t="s">
        <v>474</v>
      </c>
      <c r="B26" s="148" t="s">
        <v>99</v>
      </c>
      <c r="C26" s="148" t="s">
        <v>99</v>
      </c>
      <c r="D26" s="148" t="s">
        <v>99</v>
      </c>
      <c r="E26" s="148" t="s">
        <v>99</v>
      </c>
      <c r="F26" s="148" t="s">
        <v>99</v>
      </c>
      <c r="G26" s="148" t="s">
        <v>99</v>
      </c>
    </row>
    <row r="27" spans="1:7" ht="17">
      <c r="A27" s="138" t="s">
        <v>475</v>
      </c>
      <c r="B27" s="148" t="s">
        <v>99</v>
      </c>
      <c r="C27" s="148" t="s">
        <v>99</v>
      </c>
      <c r="D27" s="148" t="s">
        <v>99</v>
      </c>
      <c r="E27" s="148" t="s">
        <v>99</v>
      </c>
      <c r="F27" s="148" t="s">
        <v>99</v>
      </c>
      <c r="G27" s="148" t="s">
        <v>99</v>
      </c>
    </row>
    <row r="28" spans="1:7">
      <c r="A28" s="138" t="s">
        <v>473</v>
      </c>
      <c r="B28" s="148">
        <v>4081</v>
      </c>
      <c r="C28" s="148">
        <v>4067</v>
      </c>
      <c r="D28" s="148">
        <v>4059</v>
      </c>
      <c r="E28" s="148">
        <v>4076</v>
      </c>
      <c r="F28" s="148">
        <v>4100</v>
      </c>
      <c r="G28" s="148">
        <v>4134</v>
      </c>
    </row>
    <row r="29" spans="1:7">
      <c r="A29" s="147" t="s">
        <v>479</v>
      </c>
      <c r="B29" s="149">
        <v>7163</v>
      </c>
      <c r="C29" s="149">
        <v>6875</v>
      </c>
      <c r="D29" s="149">
        <v>6822</v>
      </c>
      <c r="E29" s="149">
        <v>6792</v>
      </c>
      <c r="F29" s="149">
        <v>6753</v>
      </c>
      <c r="G29" s="149">
        <v>7098</v>
      </c>
    </row>
    <row r="30" spans="1:7">
      <c r="A30" s="138"/>
      <c r="B30" s="138"/>
      <c r="C30" s="138"/>
      <c r="D30" s="138"/>
      <c r="E30" s="138"/>
      <c r="F30" s="138"/>
      <c r="G30" s="138"/>
    </row>
    <row r="31" spans="1:7">
      <c r="A31" s="158"/>
      <c r="B31" s="158"/>
      <c r="C31" s="158"/>
      <c r="D31" s="158"/>
      <c r="E31" s="158"/>
      <c r="F31" s="158"/>
      <c r="G31" s="158"/>
    </row>
    <row r="32" spans="1:7" ht="204">
      <c r="A32" s="180" t="s">
        <v>480</v>
      </c>
    </row>
    <row r="33" spans="1:1" ht="153">
      <c r="A33" s="180" t="s">
        <v>481</v>
      </c>
    </row>
    <row r="35" spans="1:1" ht="25" customHeight="1">
      <c r="A35" s="179" t="s">
        <v>482</v>
      </c>
    </row>
  </sheetData>
  <pageMargins left="0.2" right="0.2" top="0.5" bottom="0.5" header="0.5" footer="0.5"/>
  <pageSetup fitToWidth="0" fitToHeight="0" orientation="landscape" horizontalDpi="0" verticalDpi="0"/>
  <headerFooter alignWithMargins="0"/>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921679-140B-904D-9C4F-FEC4C842A963}">
  <sheetPr>
    <tabColor theme="2"/>
    <outlinePr summaryBelow="0" summaryRight="0"/>
    <pageSetUpPr autoPageBreaks="0"/>
  </sheetPr>
  <dimension ref="A1:IU87"/>
  <sheetViews>
    <sheetView topLeftCell="A57" workbookViewId="0">
      <selection activeCell="B76" sqref="B76"/>
    </sheetView>
  </sheetViews>
  <sheetFormatPr baseColWidth="10" defaultColWidth="10.83203125" defaultRowHeight="16"/>
  <cols>
    <col min="1" max="1" width="45.83203125" style="135" customWidth="1"/>
    <col min="2" max="10" width="14.83203125" style="135" customWidth="1"/>
    <col min="11" max="256" width="8.83203125" style="135" customWidth="1"/>
    <col min="257" max="16384" width="10.83203125" style="135"/>
  </cols>
  <sheetData>
    <row r="1" spans="1:255">
      <c r="A1" s="166" t="s">
        <v>483</v>
      </c>
    </row>
    <row r="3" spans="1:255">
      <c r="A3" s="138"/>
      <c r="B3" s="137" t="s">
        <v>484</v>
      </c>
      <c r="C3" s="135" t="s">
        <v>485</v>
      </c>
      <c r="D3" s="138" t="s">
        <v>245</v>
      </c>
      <c r="E3" s="137" t="s">
        <v>461</v>
      </c>
      <c r="F3" s="135" t="s">
        <v>462</v>
      </c>
    </row>
    <row r="4" spans="1:255">
      <c r="A4" s="138"/>
      <c r="B4" s="137" t="s">
        <v>250</v>
      </c>
      <c r="C4" s="135" t="s">
        <v>251</v>
      </c>
      <c r="D4" s="138" t="s">
        <v>245</v>
      </c>
      <c r="E4" s="137" t="s">
        <v>257</v>
      </c>
      <c r="F4" s="139" t="s">
        <v>258</v>
      </c>
    </row>
    <row r="5" spans="1:255">
      <c r="A5" s="138"/>
      <c r="B5" s="137" t="s">
        <v>464</v>
      </c>
      <c r="C5" s="135" t="s">
        <v>465</v>
      </c>
      <c r="D5" s="138" t="s">
        <v>245</v>
      </c>
      <c r="E5" s="140"/>
      <c r="F5" s="140"/>
    </row>
    <row r="8" spans="1:255">
      <c r="A8" s="167" t="s">
        <v>486</v>
      </c>
      <c r="B8" s="168"/>
      <c r="C8" s="168"/>
      <c r="D8" s="168"/>
      <c r="E8" s="168"/>
      <c r="F8" s="168"/>
      <c r="G8" s="168"/>
      <c r="H8" s="168"/>
      <c r="I8" s="168"/>
      <c r="J8" s="168"/>
      <c r="K8" s="169"/>
      <c r="L8" s="169"/>
      <c r="M8" s="169"/>
      <c r="N8" s="169"/>
      <c r="O8" s="169"/>
      <c r="P8" s="169"/>
      <c r="Q8" s="169"/>
      <c r="R8" s="169"/>
      <c r="S8" s="169"/>
      <c r="T8" s="169"/>
      <c r="U8" s="169"/>
      <c r="V8" s="169"/>
      <c r="W8" s="169"/>
      <c r="X8" s="169"/>
      <c r="Y8" s="169"/>
      <c r="Z8" s="169"/>
      <c r="AA8" s="169"/>
      <c r="AB8" s="169"/>
      <c r="AC8" s="169"/>
      <c r="AD8" s="169"/>
      <c r="AE8" s="169"/>
      <c r="AF8" s="169"/>
      <c r="AG8" s="169"/>
      <c r="AH8" s="169"/>
      <c r="AI8" s="169"/>
      <c r="AJ8" s="169"/>
      <c r="AK8" s="169"/>
      <c r="AL8" s="169"/>
      <c r="AM8" s="169"/>
      <c r="AN8" s="169"/>
      <c r="AO8" s="169"/>
      <c r="AP8" s="169"/>
      <c r="AQ8" s="169"/>
      <c r="AR8" s="169"/>
      <c r="AS8" s="169"/>
      <c r="AT8" s="169"/>
      <c r="AU8" s="169"/>
      <c r="AV8" s="169"/>
      <c r="AW8" s="169"/>
      <c r="AX8" s="169"/>
      <c r="AY8" s="169"/>
      <c r="AZ8" s="169"/>
      <c r="BA8" s="169"/>
      <c r="BB8" s="169"/>
      <c r="BC8" s="169"/>
      <c r="BD8" s="169"/>
      <c r="BE8" s="169"/>
      <c r="BF8" s="169"/>
      <c r="BG8" s="169"/>
      <c r="BH8" s="169"/>
      <c r="BI8" s="169"/>
      <c r="BJ8" s="169"/>
      <c r="BK8" s="169"/>
      <c r="BL8" s="169"/>
      <c r="BM8" s="169"/>
      <c r="BN8" s="169"/>
      <c r="BO8" s="169"/>
      <c r="BP8" s="169"/>
      <c r="BQ8" s="169"/>
      <c r="BR8" s="169"/>
      <c r="BS8" s="169"/>
      <c r="BT8" s="169"/>
      <c r="BU8" s="169"/>
      <c r="BV8" s="169"/>
      <c r="BW8" s="169"/>
      <c r="BX8" s="169"/>
      <c r="BY8" s="169"/>
      <c r="BZ8" s="169"/>
      <c r="CA8" s="169"/>
      <c r="CB8" s="169"/>
      <c r="CC8" s="169"/>
      <c r="CD8" s="169"/>
      <c r="CE8" s="169"/>
      <c r="CF8" s="169"/>
      <c r="CG8" s="169"/>
      <c r="CH8" s="169"/>
      <c r="CI8" s="169"/>
      <c r="CJ8" s="169"/>
      <c r="CK8" s="169"/>
      <c r="CL8" s="169"/>
      <c r="CM8" s="169"/>
      <c r="CN8" s="169"/>
      <c r="CO8" s="169"/>
      <c r="CP8" s="169"/>
      <c r="CQ8" s="169"/>
      <c r="CR8" s="169"/>
      <c r="CS8" s="169"/>
      <c r="CT8" s="169"/>
      <c r="CU8" s="169"/>
      <c r="CV8" s="169"/>
      <c r="CW8" s="169"/>
      <c r="CX8" s="169"/>
      <c r="CY8" s="169"/>
      <c r="CZ8" s="169"/>
      <c r="DA8" s="169"/>
      <c r="DB8" s="169"/>
      <c r="DC8" s="169"/>
      <c r="DD8" s="169"/>
      <c r="DE8" s="169"/>
      <c r="DF8" s="169"/>
      <c r="DG8" s="169"/>
      <c r="DH8" s="169"/>
      <c r="DI8" s="169"/>
      <c r="DJ8" s="169"/>
      <c r="DK8" s="169"/>
      <c r="DL8" s="169"/>
      <c r="DM8" s="169"/>
      <c r="DN8" s="169"/>
      <c r="DO8" s="169"/>
      <c r="DP8" s="169"/>
      <c r="DQ8" s="169"/>
      <c r="DR8" s="169"/>
      <c r="DS8" s="169"/>
      <c r="DT8" s="169"/>
      <c r="DU8" s="169"/>
      <c r="DV8" s="169"/>
      <c r="DW8" s="169"/>
      <c r="DX8" s="169"/>
      <c r="DY8" s="169"/>
      <c r="DZ8" s="169"/>
      <c r="EA8" s="169"/>
      <c r="EB8" s="169"/>
      <c r="EC8" s="169"/>
      <c r="ED8" s="169"/>
      <c r="EE8" s="169"/>
      <c r="EF8" s="169"/>
      <c r="EG8" s="169"/>
      <c r="EH8" s="169"/>
      <c r="EI8" s="169"/>
      <c r="EJ8" s="169"/>
      <c r="EK8" s="169"/>
      <c r="EL8" s="169"/>
      <c r="EM8" s="169"/>
      <c r="EN8" s="169"/>
      <c r="EO8" s="169"/>
      <c r="EP8" s="169"/>
      <c r="EQ8" s="169"/>
      <c r="ER8" s="169"/>
      <c r="ES8" s="169"/>
      <c r="ET8" s="169"/>
      <c r="EU8" s="169"/>
      <c r="EV8" s="169"/>
      <c r="EW8" s="169"/>
      <c r="EX8" s="169"/>
      <c r="EY8" s="169"/>
      <c r="EZ8" s="169"/>
      <c r="FA8" s="169"/>
      <c r="FB8" s="169"/>
      <c r="FC8" s="169"/>
      <c r="FD8" s="169"/>
      <c r="FE8" s="169"/>
      <c r="FF8" s="169"/>
      <c r="FG8" s="169"/>
      <c r="FH8" s="169"/>
      <c r="FI8" s="169"/>
      <c r="FJ8" s="169"/>
      <c r="FK8" s="169"/>
      <c r="FL8" s="169"/>
      <c r="FM8" s="169"/>
      <c r="FN8" s="169"/>
      <c r="FO8" s="169"/>
      <c r="FP8" s="169"/>
      <c r="FQ8" s="169"/>
      <c r="FR8" s="169"/>
      <c r="FS8" s="169"/>
      <c r="FT8" s="169"/>
      <c r="FU8" s="169"/>
      <c r="FV8" s="169"/>
      <c r="FW8" s="169"/>
      <c r="FX8" s="169"/>
      <c r="FY8" s="169"/>
      <c r="FZ8" s="169"/>
      <c r="GA8" s="169"/>
      <c r="GB8" s="169"/>
      <c r="GC8" s="169"/>
      <c r="GD8" s="169"/>
      <c r="GE8" s="169"/>
      <c r="GF8" s="169"/>
      <c r="GG8" s="169"/>
      <c r="GH8" s="169"/>
      <c r="GI8" s="169"/>
      <c r="GJ8" s="169"/>
      <c r="GK8" s="169"/>
      <c r="GL8" s="169"/>
      <c r="GM8" s="169"/>
      <c r="GN8" s="169"/>
      <c r="GO8" s="169"/>
      <c r="GP8" s="169"/>
      <c r="GQ8" s="169"/>
      <c r="GR8" s="169"/>
      <c r="GS8" s="169"/>
      <c r="GT8" s="169"/>
      <c r="GU8" s="169"/>
      <c r="GV8" s="169"/>
      <c r="GW8" s="169"/>
      <c r="GX8" s="169"/>
      <c r="GY8" s="169"/>
      <c r="GZ8" s="169"/>
      <c r="HA8" s="169"/>
      <c r="HB8" s="169"/>
      <c r="HC8" s="169"/>
      <c r="HD8" s="169"/>
      <c r="HE8" s="169"/>
      <c r="HF8" s="169"/>
      <c r="HG8" s="169"/>
      <c r="HH8" s="169"/>
      <c r="HI8" s="169"/>
      <c r="HJ8" s="169"/>
      <c r="HK8" s="169"/>
      <c r="HL8" s="169"/>
      <c r="HM8" s="169"/>
      <c r="HN8" s="169"/>
      <c r="HO8" s="169"/>
      <c r="HP8" s="169"/>
      <c r="HQ8" s="169"/>
      <c r="HR8" s="169"/>
      <c r="HS8" s="169"/>
      <c r="HT8" s="169"/>
      <c r="HU8" s="169"/>
      <c r="HV8" s="169"/>
      <c r="HW8" s="169"/>
      <c r="HX8" s="169"/>
      <c r="HY8" s="169"/>
      <c r="HZ8" s="169"/>
      <c r="IA8" s="169"/>
      <c r="IB8" s="169"/>
      <c r="IC8" s="169"/>
      <c r="ID8" s="169"/>
      <c r="IE8" s="169"/>
      <c r="IF8" s="169"/>
      <c r="IG8" s="169"/>
      <c r="IH8" s="169"/>
      <c r="II8" s="169"/>
      <c r="IJ8" s="169"/>
      <c r="IK8" s="169"/>
      <c r="IL8" s="169"/>
      <c r="IM8" s="169"/>
      <c r="IN8" s="169"/>
      <c r="IO8" s="169"/>
      <c r="IP8" s="169"/>
      <c r="IQ8" s="169"/>
      <c r="IR8" s="169"/>
      <c r="IS8" s="169"/>
      <c r="IT8" s="169"/>
      <c r="IU8" s="169"/>
    </row>
    <row r="9" spans="1:255" ht="19">
      <c r="A9" s="170"/>
      <c r="B9" s="171"/>
      <c r="C9" s="171"/>
      <c r="D9" s="171"/>
      <c r="E9" s="171"/>
      <c r="F9" s="171"/>
      <c r="G9" s="171"/>
      <c r="H9" s="171"/>
      <c r="I9" s="171"/>
      <c r="J9" s="171"/>
      <c r="K9" s="169"/>
      <c r="L9" s="169"/>
      <c r="M9" s="169"/>
      <c r="N9" s="169"/>
      <c r="O9" s="169"/>
      <c r="P9" s="169"/>
      <c r="Q9" s="169"/>
      <c r="R9" s="169"/>
      <c r="S9" s="169"/>
      <c r="T9" s="169"/>
      <c r="U9" s="169"/>
      <c r="V9" s="169"/>
      <c r="W9" s="169"/>
      <c r="X9" s="169"/>
      <c r="Y9" s="169"/>
      <c r="Z9" s="169"/>
      <c r="AA9" s="169"/>
      <c r="AB9" s="169"/>
      <c r="AC9" s="169"/>
      <c r="AD9" s="169"/>
      <c r="AE9" s="169"/>
      <c r="AF9" s="169"/>
      <c r="AG9" s="169"/>
      <c r="AH9" s="169"/>
      <c r="AI9" s="169"/>
      <c r="AJ9" s="169"/>
      <c r="AK9" s="169"/>
      <c r="AL9" s="169"/>
      <c r="AM9" s="169"/>
      <c r="AN9" s="169"/>
      <c r="AO9" s="169"/>
      <c r="AP9" s="169"/>
      <c r="AQ9" s="169"/>
      <c r="AR9" s="169"/>
      <c r="AS9" s="169"/>
      <c r="AT9" s="169"/>
      <c r="AU9" s="169"/>
      <c r="AV9" s="169"/>
      <c r="AW9" s="169"/>
      <c r="AX9" s="169"/>
      <c r="AY9" s="169"/>
      <c r="AZ9" s="169"/>
      <c r="BA9" s="169"/>
      <c r="BB9" s="169"/>
      <c r="BC9" s="169"/>
      <c r="BD9" s="169"/>
      <c r="BE9" s="169"/>
      <c r="BF9" s="169"/>
      <c r="BG9" s="169"/>
      <c r="BH9" s="169"/>
      <c r="BI9" s="169"/>
      <c r="BJ9" s="169"/>
      <c r="BK9" s="169"/>
      <c r="BL9" s="169"/>
      <c r="BM9" s="169"/>
      <c r="BN9" s="169"/>
      <c r="BO9" s="169"/>
      <c r="BP9" s="169"/>
      <c r="BQ9" s="169"/>
      <c r="BR9" s="169"/>
      <c r="BS9" s="169"/>
      <c r="BT9" s="169"/>
      <c r="BU9" s="169"/>
      <c r="BV9" s="169"/>
      <c r="BW9" s="169"/>
      <c r="BX9" s="169"/>
      <c r="BY9" s="169"/>
      <c r="BZ9" s="169"/>
      <c r="CA9" s="169"/>
      <c r="CB9" s="169"/>
      <c r="CC9" s="169"/>
      <c r="CD9" s="169"/>
      <c r="CE9" s="169"/>
      <c r="CF9" s="169"/>
      <c r="CG9" s="169"/>
      <c r="CH9" s="169"/>
      <c r="CI9" s="169"/>
      <c r="CJ9" s="169"/>
      <c r="CK9" s="169"/>
      <c r="CL9" s="169"/>
      <c r="CM9" s="169"/>
      <c r="CN9" s="169"/>
      <c r="CO9" s="169"/>
      <c r="CP9" s="169"/>
      <c r="CQ9" s="169"/>
      <c r="CR9" s="169"/>
      <c r="CS9" s="169"/>
      <c r="CT9" s="169"/>
      <c r="CU9" s="169"/>
      <c r="CV9" s="169"/>
      <c r="CW9" s="169"/>
      <c r="CX9" s="169"/>
      <c r="CY9" s="169"/>
      <c r="CZ9" s="169"/>
      <c r="DA9" s="169"/>
      <c r="DB9" s="169"/>
      <c r="DC9" s="169"/>
      <c r="DD9" s="169"/>
      <c r="DE9" s="169"/>
      <c r="DF9" s="169"/>
      <c r="DG9" s="169"/>
      <c r="DH9" s="169"/>
      <c r="DI9" s="169"/>
      <c r="DJ9" s="169"/>
      <c r="DK9" s="169"/>
      <c r="DL9" s="169"/>
      <c r="DM9" s="169"/>
      <c r="DN9" s="169"/>
      <c r="DO9" s="169"/>
      <c r="DP9" s="169"/>
      <c r="DQ9" s="169"/>
      <c r="DR9" s="169"/>
      <c r="DS9" s="169"/>
      <c r="DT9" s="169"/>
      <c r="DU9" s="169"/>
      <c r="DV9" s="169"/>
      <c r="DW9" s="169"/>
      <c r="DX9" s="169"/>
      <c r="DY9" s="169"/>
      <c r="DZ9" s="169"/>
      <c r="EA9" s="169"/>
      <c r="EB9" s="169"/>
      <c r="EC9" s="169"/>
      <c r="ED9" s="169"/>
      <c r="EE9" s="169"/>
      <c r="EF9" s="169"/>
      <c r="EG9" s="169"/>
      <c r="EH9" s="169"/>
      <c r="EI9" s="169"/>
      <c r="EJ9" s="169"/>
      <c r="EK9" s="169"/>
      <c r="EL9" s="169"/>
      <c r="EM9" s="169"/>
      <c r="EN9" s="169"/>
      <c r="EO9" s="169"/>
      <c r="EP9" s="169"/>
      <c r="EQ9" s="169"/>
      <c r="ER9" s="169"/>
      <c r="ES9" s="169"/>
      <c r="ET9" s="169"/>
      <c r="EU9" s="169"/>
      <c r="EV9" s="169"/>
      <c r="EW9" s="169"/>
      <c r="EX9" s="169"/>
      <c r="EY9" s="169"/>
      <c r="EZ9" s="169"/>
      <c r="FA9" s="169"/>
      <c r="FB9" s="169"/>
      <c r="FC9" s="169"/>
      <c r="FD9" s="169"/>
      <c r="FE9" s="169"/>
      <c r="FF9" s="169"/>
      <c r="FG9" s="169"/>
      <c r="FH9" s="169"/>
      <c r="FI9" s="169"/>
      <c r="FJ9" s="169"/>
      <c r="FK9" s="169"/>
      <c r="FL9" s="169"/>
      <c r="FM9" s="169"/>
      <c r="FN9" s="169"/>
      <c r="FO9" s="169"/>
      <c r="FP9" s="169"/>
      <c r="FQ9" s="169"/>
      <c r="FR9" s="169"/>
      <c r="FS9" s="169"/>
      <c r="FT9" s="169"/>
      <c r="FU9" s="169"/>
      <c r="FV9" s="169"/>
      <c r="FW9" s="169"/>
      <c r="FX9" s="169"/>
      <c r="FY9" s="169"/>
      <c r="FZ9" s="169"/>
      <c r="GA9" s="169"/>
      <c r="GB9" s="169"/>
      <c r="GC9" s="169"/>
      <c r="GD9" s="169"/>
      <c r="GE9" s="169"/>
      <c r="GF9" s="169"/>
      <c r="GG9" s="169"/>
      <c r="GH9" s="169"/>
      <c r="GI9" s="169"/>
      <c r="GJ9" s="169"/>
      <c r="GK9" s="169"/>
      <c r="GL9" s="169"/>
      <c r="GM9" s="169"/>
      <c r="GN9" s="169"/>
      <c r="GO9" s="169"/>
      <c r="GP9" s="169"/>
      <c r="GQ9" s="169"/>
      <c r="GR9" s="169"/>
      <c r="GS9" s="169"/>
      <c r="GT9" s="169"/>
      <c r="GU9" s="169"/>
      <c r="GV9" s="169"/>
      <c r="GW9" s="169"/>
      <c r="GX9" s="169"/>
      <c r="GY9" s="169"/>
      <c r="GZ9" s="169"/>
      <c r="HA9" s="169"/>
      <c r="HB9" s="169"/>
      <c r="HC9" s="169"/>
      <c r="HD9" s="169"/>
      <c r="HE9" s="169"/>
      <c r="HF9" s="169"/>
      <c r="HG9" s="169"/>
      <c r="HH9" s="169"/>
      <c r="HI9" s="169"/>
      <c r="HJ9" s="169"/>
      <c r="HK9" s="169"/>
      <c r="HL9" s="169"/>
      <c r="HM9" s="169"/>
      <c r="HN9" s="169"/>
      <c r="HO9" s="169"/>
      <c r="HP9" s="169"/>
      <c r="HQ9" s="169"/>
      <c r="HR9" s="169"/>
      <c r="HS9" s="169"/>
      <c r="HT9" s="169"/>
      <c r="HU9" s="169"/>
      <c r="HV9" s="169"/>
      <c r="HW9" s="169"/>
      <c r="HX9" s="169"/>
      <c r="HY9" s="169"/>
      <c r="HZ9" s="169"/>
      <c r="IA9" s="169"/>
      <c r="IB9" s="169"/>
      <c r="IC9" s="169"/>
      <c r="ID9" s="169"/>
      <c r="IE9" s="169"/>
      <c r="IF9" s="169"/>
      <c r="IG9" s="169"/>
      <c r="IH9" s="169"/>
      <c r="II9" s="169"/>
      <c r="IJ9" s="169"/>
      <c r="IK9" s="169"/>
      <c r="IL9" s="169"/>
      <c r="IM9" s="169"/>
      <c r="IN9" s="169"/>
      <c r="IO9" s="169"/>
      <c r="IP9" s="169"/>
      <c r="IQ9" s="169"/>
      <c r="IR9" s="169"/>
      <c r="IS9" s="169"/>
      <c r="IT9" s="169"/>
      <c r="IU9" s="169"/>
    </row>
    <row r="10" spans="1:255">
      <c r="A10" s="172" t="s">
        <v>487</v>
      </c>
      <c r="B10" s="173"/>
      <c r="C10" s="174">
        <v>45565</v>
      </c>
      <c r="D10" s="174">
        <v>45657</v>
      </c>
      <c r="E10" s="174">
        <v>45747</v>
      </c>
      <c r="F10" s="174">
        <v>45838</v>
      </c>
      <c r="G10" s="174">
        <v>45930</v>
      </c>
      <c r="H10" s="174">
        <v>46022</v>
      </c>
      <c r="I10" s="174">
        <v>46112</v>
      </c>
      <c r="J10" s="174">
        <v>46119</v>
      </c>
    </row>
    <row r="11" spans="1:255">
      <c r="A11" s="172" t="s">
        <v>488</v>
      </c>
      <c r="B11" s="175" t="s">
        <v>489</v>
      </c>
      <c r="C11" s="176">
        <v>0.51745584374999998</v>
      </c>
      <c r="D11" s="176">
        <v>0.527671265625</v>
      </c>
      <c r="E11" s="176">
        <v>0.48941468333333332</v>
      </c>
      <c r="F11" s="176">
        <v>0.40564106451612902</v>
      </c>
      <c r="G11" s="176">
        <v>0.42812634375000003</v>
      </c>
      <c r="H11" s="176">
        <v>0.44885026562500002</v>
      </c>
      <c r="I11" s="176">
        <v>0.39558675409836064</v>
      </c>
      <c r="J11" s="176">
        <v>0.37610100000000002</v>
      </c>
    </row>
    <row r="12" spans="1:255">
      <c r="A12" s="175"/>
      <c r="B12" s="175" t="s">
        <v>490</v>
      </c>
      <c r="C12" s="177">
        <v>0.58053200000000005</v>
      </c>
      <c r="D12" s="177">
        <v>0.570689</v>
      </c>
      <c r="E12" s="177">
        <v>0.53819300000000003</v>
      </c>
      <c r="F12" s="177">
        <v>0.44759599999999999</v>
      </c>
      <c r="G12" s="177">
        <v>0.455347</v>
      </c>
      <c r="H12" s="177">
        <v>0.48332799999999998</v>
      </c>
      <c r="I12" s="177">
        <v>0.433643</v>
      </c>
      <c r="J12" s="177">
        <v>0.37731700000000001</v>
      </c>
    </row>
    <row r="13" spans="1:255">
      <c r="A13" s="175"/>
      <c r="B13" s="175" t="s">
        <v>491</v>
      </c>
      <c r="C13" s="177">
        <v>0.46873100000000001</v>
      </c>
      <c r="D13" s="177">
        <v>0.49577700000000002</v>
      </c>
      <c r="E13" s="177">
        <v>0.421518</v>
      </c>
      <c r="F13" s="177">
        <v>0.341254</v>
      </c>
      <c r="G13" s="177">
        <v>0.39257700000000001</v>
      </c>
      <c r="H13" s="177">
        <v>0.40739199999999998</v>
      </c>
      <c r="I13" s="177">
        <v>0.35675299999999999</v>
      </c>
      <c r="J13" s="177">
        <v>0.37491000000000002</v>
      </c>
    </row>
    <row r="14" spans="1:255">
      <c r="A14" s="175"/>
      <c r="B14" s="175" t="s">
        <v>492</v>
      </c>
      <c r="C14" s="177">
        <v>0.58053200000000005</v>
      </c>
      <c r="D14" s="177">
        <v>0.51135900000000001</v>
      </c>
      <c r="E14" s="177">
        <v>0.43002099999999999</v>
      </c>
      <c r="F14" s="177">
        <v>0.40792499999999998</v>
      </c>
      <c r="G14" s="177">
        <v>0.44100299999999998</v>
      </c>
      <c r="H14" s="177">
        <v>0.40739199999999998</v>
      </c>
      <c r="I14" s="177">
        <v>0.37581300000000001</v>
      </c>
      <c r="J14" s="177">
        <v>0.37491000000000002</v>
      </c>
    </row>
    <row r="15" spans="1:255">
      <c r="A15" s="172"/>
      <c r="B15" s="175"/>
      <c r="C15" s="175"/>
      <c r="D15" s="175"/>
      <c r="E15" s="175"/>
      <c r="F15" s="175"/>
      <c r="G15" s="175"/>
      <c r="H15" s="175"/>
      <c r="I15" s="175"/>
      <c r="J15" s="175"/>
    </row>
    <row r="16" spans="1:255">
      <c r="A16" s="172" t="s">
        <v>493</v>
      </c>
      <c r="B16" s="175" t="s">
        <v>489</v>
      </c>
      <c r="C16" s="176">
        <v>0.52594099999999999</v>
      </c>
      <c r="D16" s="176">
        <v>0.53484699999999996</v>
      </c>
      <c r="E16" s="176">
        <v>0.49428800000000001</v>
      </c>
      <c r="F16" s="176">
        <v>0.40535599999999999</v>
      </c>
      <c r="G16" s="176">
        <v>0.425871</v>
      </c>
      <c r="H16" s="176">
        <v>0.44406699999999999</v>
      </c>
      <c r="I16" s="176">
        <v>0.39289600000000002</v>
      </c>
      <c r="J16" s="176">
        <v>0.37529299999999999</v>
      </c>
    </row>
    <row r="17" spans="1:10">
      <c r="A17" s="175"/>
      <c r="B17" s="175" t="s">
        <v>490</v>
      </c>
      <c r="C17" s="177">
        <v>0.58785100000000001</v>
      </c>
      <c r="D17" s="177">
        <v>0.57788300000000004</v>
      </c>
      <c r="E17" s="177">
        <v>0.54673400000000005</v>
      </c>
      <c r="F17" s="177">
        <v>0.44674999999999998</v>
      </c>
      <c r="G17" s="177">
        <v>0.45027699999999998</v>
      </c>
      <c r="H17" s="177">
        <v>0.47819200000000001</v>
      </c>
      <c r="I17" s="177">
        <v>0.429257</v>
      </c>
      <c r="J17" s="177">
        <v>0.37650699999999998</v>
      </c>
    </row>
    <row r="18" spans="1:10">
      <c r="A18" s="175"/>
      <c r="B18" s="175" t="s">
        <v>491</v>
      </c>
      <c r="C18" s="177">
        <v>0.47737000000000002</v>
      </c>
      <c r="D18" s="177">
        <v>0.50243599999999999</v>
      </c>
      <c r="E18" s="177">
        <v>0.41984500000000002</v>
      </c>
      <c r="F18" s="177">
        <v>0.34055099999999999</v>
      </c>
      <c r="G18" s="177">
        <v>0.39183499999999999</v>
      </c>
      <c r="H18" s="177">
        <v>0.40327099999999999</v>
      </c>
      <c r="I18" s="177">
        <v>0.35598600000000002</v>
      </c>
      <c r="J18" s="177">
        <v>0.37410399999999999</v>
      </c>
    </row>
    <row r="19" spans="1:10">
      <c r="A19" s="175"/>
      <c r="B19" s="175" t="s">
        <v>492</v>
      </c>
      <c r="C19" s="177">
        <v>0.58785100000000001</v>
      </c>
      <c r="D19" s="177">
        <v>0.51950200000000002</v>
      </c>
      <c r="E19" s="177">
        <v>0.42839100000000002</v>
      </c>
      <c r="F19" s="177">
        <v>0.40715400000000002</v>
      </c>
      <c r="G19" s="177">
        <v>0.43609199999999998</v>
      </c>
      <c r="H19" s="177">
        <v>0.40327099999999999</v>
      </c>
      <c r="I19" s="177">
        <v>0.37500499999999998</v>
      </c>
      <c r="J19" s="177">
        <v>0.37410399999999999</v>
      </c>
    </row>
    <row r="20" spans="1:10">
      <c r="A20" s="172"/>
      <c r="B20" s="175"/>
      <c r="C20" s="175"/>
      <c r="D20" s="175"/>
      <c r="E20" s="175"/>
      <c r="F20" s="175"/>
      <c r="G20" s="175"/>
      <c r="H20" s="175"/>
      <c r="I20" s="175"/>
      <c r="J20" s="175"/>
    </row>
    <row r="21" spans="1:10">
      <c r="A21" s="172" t="s">
        <v>494</v>
      </c>
      <c r="B21" s="175" t="s">
        <v>489</v>
      </c>
      <c r="C21" s="176">
        <v>6.0192870781250001</v>
      </c>
      <c r="D21" s="176">
        <v>6.0896658124999998</v>
      </c>
      <c r="E21" s="176">
        <v>5.6394372500000003</v>
      </c>
      <c r="F21" s="176">
        <v>4.6657831451612903</v>
      </c>
      <c r="G21" s="176">
        <v>4.9412116718750001</v>
      </c>
      <c r="H21" s="176">
        <v>5.2026954999999999</v>
      </c>
      <c r="I21" s="176">
        <v>4.5722296721311473</v>
      </c>
      <c r="J21" s="176">
        <v>4.3303095000000003</v>
      </c>
    </row>
    <row r="22" spans="1:10">
      <c r="A22" s="175"/>
      <c r="B22" s="175" t="s">
        <v>490</v>
      </c>
      <c r="C22" s="177">
        <v>6.7030719999999997</v>
      </c>
      <c r="D22" s="177">
        <v>6.5894139999999997</v>
      </c>
      <c r="E22" s="177">
        <v>6.205838</v>
      </c>
      <c r="F22" s="177">
        <v>5.1497510000000002</v>
      </c>
      <c r="G22" s="177">
        <v>5.2835549999999998</v>
      </c>
      <c r="H22" s="177">
        <v>5.6082299999999998</v>
      </c>
      <c r="I22" s="177">
        <v>5.0178849999999997</v>
      </c>
      <c r="J22" s="177">
        <v>4.3443139999999998</v>
      </c>
    </row>
    <row r="23" spans="1:10">
      <c r="A23" s="175"/>
      <c r="B23" s="175" t="s">
        <v>491</v>
      </c>
      <c r="C23" s="177">
        <v>5.4764629999999999</v>
      </c>
      <c r="D23" s="177">
        <v>5.7244510000000002</v>
      </c>
      <c r="E23" s="177">
        <v>4.8503270000000001</v>
      </c>
      <c r="F23" s="177">
        <v>3.9245730000000001</v>
      </c>
      <c r="G23" s="177">
        <v>4.5167380000000001</v>
      </c>
      <c r="H23" s="177">
        <v>4.7141190000000002</v>
      </c>
      <c r="I23" s="177">
        <v>4.1075390000000001</v>
      </c>
      <c r="J23" s="177">
        <v>4.3165940000000003</v>
      </c>
    </row>
    <row r="24" spans="1:10">
      <c r="A24" s="175"/>
      <c r="B24" s="175" t="s">
        <v>492</v>
      </c>
      <c r="C24" s="177">
        <v>6.7030719999999997</v>
      </c>
      <c r="D24" s="177">
        <v>5.8964119999999998</v>
      </c>
      <c r="E24" s="177">
        <v>4.9454219999999998</v>
      </c>
      <c r="F24" s="177">
        <v>4.6933249999999997</v>
      </c>
      <c r="G24" s="177">
        <v>5.1171150000000001</v>
      </c>
      <c r="H24" s="177">
        <v>4.7141190000000002</v>
      </c>
      <c r="I24" s="177">
        <v>4.3269890000000002</v>
      </c>
      <c r="J24" s="177">
        <v>4.3165940000000003</v>
      </c>
    </row>
    <row r="25" spans="1:10">
      <c r="A25" s="172"/>
      <c r="B25" s="175"/>
      <c r="C25" s="175"/>
      <c r="D25" s="175"/>
      <c r="E25" s="175"/>
      <c r="F25" s="175"/>
      <c r="G25" s="175"/>
      <c r="H25" s="175"/>
      <c r="I25" s="175"/>
      <c r="J25" s="175"/>
    </row>
    <row r="26" spans="1:10">
      <c r="A26" s="172" t="s">
        <v>495</v>
      </c>
      <c r="B26" s="175" t="s">
        <v>489</v>
      </c>
      <c r="C26" s="176">
        <v>8.3025929999999999</v>
      </c>
      <c r="D26" s="176">
        <v>8.3665149999999997</v>
      </c>
      <c r="E26" s="176">
        <v>7.7942609999999997</v>
      </c>
      <c r="F26" s="176">
        <v>6.4574490000000004</v>
      </c>
      <c r="G26" s="176">
        <v>6.8278239999999997</v>
      </c>
      <c r="H26" s="176">
        <v>7.0836759999999996</v>
      </c>
      <c r="I26" s="176">
        <v>6.2287949999999999</v>
      </c>
      <c r="J26" s="176">
        <v>5.9109559999999997</v>
      </c>
    </row>
    <row r="27" spans="1:10">
      <c r="A27" s="175"/>
      <c r="B27" s="175" t="s">
        <v>490</v>
      </c>
      <c r="C27" s="177">
        <v>9.1692370000000007</v>
      </c>
      <c r="D27" s="177">
        <v>9.0137630000000009</v>
      </c>
      <c r="E27" s="177">
        <v>8.6171150000000001</v>
      </c>
      <c r="F27" s="177">
        <v>7.1613389999999999</v>
      </c>
      <c r="G27" s="177">
        <v>7.2180660000000003</v>
      </c>
      <c r="H27" s="177">
        <v>7.6601889999999999</v>
      </c>
      <c r="I27" s="177">
        <v>6.808821</v>
      </c>
      <c r="J27" s="177">
        <v>5.9300730000000001</v>
      </c>
    </row>
    <row r="28" spans="1:10">
      <c r="A28" s="175"/>
      <c r="B28" s="175" t="s">
        <v>491</v>
      </c>
      <c r="C28" s="177">
        <v>7.5855579999999998</v>
      </c>
      <c r="D28" s="177">
        <v>7.8489089999999999</v>
      </c>
      <c r="E28" s="177">
        <v>6.6274670000000002</v>
      </c>
      <c r="F28" s="177">
        <v>5.3909750000000001</v>
      </c>
      <c r="G28" s="177">
        <v>6.2810579999999998</v>
      </c>
      <c r="H28" s="177">
        <v>6.3966370000000001</v>
      </c>
      <c r="I28" s="177">
        <v>5.6068699999999998</v>
      </c>
      <c r="J28" s="177">
        <v>5.8922340000000002</v>
      </c>
    </row>
    <row r="29" spans="1:10">
      <c r="A29" s="175"/>
      <c r="B29" s="175" t="s">
        <v>492</v>
      </c>
      <c r="C29" s="177">
        <v>9.1692370000000007</v>
      </c>
      <c r="D29" s="177">
        <v>8.1899850000000001</v>
      </c>
      <c r="E29" s="177">
        <v>6.7672249999999998</v>
      </c>
      <c r="F29" s="177">
        <v>6.5266229999999998</v>
      </c>
      <c r="G29" s="177">
        <v>6.9893830000000001</v>
      </c>
      <c r="H29" s="177">
        <v>6.3966370000000001</v>
      </c>
      <c r="I29" s="177">
        <v>5.9064240000000003</v>
      </c>
      <c r="J29" s="177">
        <v>5.8922340000000002</v>
      </c>
    </row>
    <row r="30" spans="1:10">
      <c r="A30" s="172"/>
      <c r="B30" s="175"/>
      <c r="C30" s="175"/>
      <c r="D30" s="175"/>
      <c r="E30" s="175"/>
      <c r="F30" s="175"/>
      <c r="G30" s="175"/>
      <c r="H30" s="175"/>
      <c r="I30" s="175"/>
      <c r="J30" s="175"/>
    </row>
    <row r="31" spans="1:10">
      <c r="A31" s="172" t="s">
        <v>496</v>
      </c>
      <c r="B31" s="175" t="s">
        <v>489</v>
      </c>
      <c r="C31" s="176">
        <v>12.505056671875</v>
      </c>
      <c r="D31" s="176">
        <v>12.5235135625</v>
      </c>
      <c r="E31" s="176">
        <v>11.62159495</v>
      </c>
      <c r="F31" s="176">
        <v>9.6876225483870968</v>
      </c>
      <c r="G31" s="176">
        <v>10.253602750000001</v>
      </c>
      <c r="H31" s="176">
        <v>10.755262015625</v>
      </c>
      <c r="I31" s="176">
        <v>9.3612818852459014</v>
      </c>
      <c r="J31" s="176">
        <v>8.8437959999999993</v>
      </c>
    </row>
    <row r="32" spans="1:10">
      <c r="A32" s="175"/>
      <c r="B32" s="175" t="s">
        <v>490</v>
      </c>
      <c r="C32" s="177">
        <v>13.795596</v>
      </c>
      <c r="D32" s="177">
        <v>13.561678000000001</v>
      </c>
      <c r="E32" s="177">
        <v>12.745810000000001</v>
      </c>
      <c r="F32" s="177">
        <v>10.680472</v>
      </c>
      <c r="G32" s="177">
        <v>10.974244000000001</v>
      </c>
      <c r="H32" s="177">
        <v>11.648612999999999</v>
      </c>
      <c r="I32" s="177">
        <v>10.2935</v>
      </c>
      <c r="J32" s="177">
        <v>8.8723969999999994</v>
      </c>
    </row>
    <row r="33" spans="1:10">
      <c r="A33" s="175"/>
      <c r="B33" s="175" t="s">
        <v>491</v>
      </c>
      <c r="C33" s="177">
        <v>11.439723000000001</v>
      </c>
      <c r="D33" s="177">
        <v>11.781497</v>
      </c>
      <c r="E33" s="177">
        <v>10.071823999999999</v>
      </c>
      <c r="F33" s="177">
        <v>8.1539889999999993</v>
      </c>
      <c r="G33" s="177">
        <v>9.3676159999999999</v>
      </c>
      <c r="H33" s="177">
        <v>9.6703650000000003</v>
      </c>
      <c r="I33" s="177">
        <v>8.3888320000000007</v>
      </c>
      <c r="J33" s="177">
        <v>8.815785</v>
      </c>
    </row>
    <row r="34" spans="1:10">
      <c r="A34" s="175"/>
      <c r="B34" s="175" t="s">
        <v>492</v>
      </c>
      <c r="C34" s="177">
        <v>13.795596</v>
      </c>
      <c r="D34" s="177">
        <v>12.110298</v>
      </c>
      <c r="E34" s="177">
        <v>10.274982</v>
      </c>
      <c r="F34" s="177">
        <v>9.7338529999999999</v>
      </c>
      <c r="G34" s="177">
        <v>10.628538000000001</v>
      </c>
      <c r="H34" s="177">
        <v>9.6703650000000003</v>
      </c>
      <c r="I34" s="177">
        <v>8.8370139999999999</v>
      </c>
      <c r="J34" s="177">
        <v>8.815785</v>
      </c>
    </row>
    <row r="35" spans="1:10">
      <c r="A35" s="172"/>
      <c r="B35" s="175"/>
      <c r="C35" s="175"/>
      <c r="D35" s="175"/>
      <c r="E35" s="175"/>
      <c r="F35" s="175"/>
      <c r="G35" s="175"/>
      <c r="H35" s="175"/>
      <c r="I35" s="175"/>
      <c r="J35" s="175"/>
    </row>
    <row r="36" spans="1:10">
      <c r="A36" s="172" t="s">
        <v>497</v>
      </c>
      <c r="B36" s="175" t="s">
        <v>489</v>
      </c>
      <c r="C36" s="176">
        <v>12.507386</v>
      </c>
      <c r="D36" s="176">
        <v>12.523776</v>
      </c>
      <c r="E36" s="176">
        <v>11.678864000000001</v>
      </c>
      <c r="F36" s="176">
        <v>9.6829099999999997</v>
      </c>
      <c r="G36" s="176">
        <v>10.091067000000001</v>
      </c>
      <c r="H36" s="176">
        <v>10.375192999999999</v>
      </c>
      <c r="I36" s="176">
        <v>9.1018720000000002</v>
      </c>
      <c r="J36" s="176">
        <v>8.6546629999999993</v>
      </c>
    </row>
    <row r="37" spans="1:10">
      <c r="A37" s="175"/>
      <c r="B37" s="175" t="s">
        <v>490</v>
      </c>
      <c r="C37" s="177">
        <v>13.717762</v>
      </c>
      <c r="D37" s="177">
        <v>13.485163</v>
      </c>
      <c r="E37" s="177">
        <v>12.913261</v>
      </c>
      <c r="F37" s="177">
        <v>10.622188</v>
      </c>
      <c r="G37" s="177">
        <v>10.704603000000001</v>
      </c>
      <c r="H37" s="177">
        <v>11.246026000000001</v>
      </c>
      <c r="I37" s="177">
        <v>9.9338960000000007</v>
      </c>
      <c r="J37" s="177">
        <v>8.6826530000000002</v>
      </c>
    </row>
    <row r="38" spans="1:10">
      <c r="A38" s="175"/>
      <c r="B38" s="175" t="s">
        <v>491</v>
      </c>
      <c r="C38" s="177">
        <v>11.469426</v>
      </c>
      <c r="D38" s="177">
        <v>11.740587</v>
      </c>
      <c r="E38" s="177">
        <v>9.9214839999999995</v>
      </c>
      <c r="F38" s="177">
        <v>8.1046700000000005</v>
      </c>
      <c r="G38" s="177">
        <v>9.316497</v>
      </c>
      <c r="H38" s="177">
        <v>9.3325300000000002</v>
      </c>
      <c r="I38" s="177">
        <v>8.2094290000000001</v>
      </c>
      <c r="J38" s="177">
        <v>8.6272509999999993</v>
      </c>
    </row>
    <row r="39" spans="1:10">
      <c r="A39" s="175"/>
      <c r="B39" s="175" t="s">
        <v>492</v>
      </c>
      <c r="C39" s="177">
        <v>13.717762</v>
      </c>
      <c r="D39" s="177">
        <v>12.270232</v>
      </c>
      <c r="E39" s="177">
        <v>10.131239000000001</v>
      </c>
      <c r="F39" s="177">
        <v>9.6807350000000003</v>
      </c>
      <c r="G39" s="177">
        <v>10.264651000000001</v>
      </c>
      <c r="H39" s="177">
        <v>9.3325300000000002</v>
      </c>
      <c r="I39" s="177">
        <v>8.6480270000000008</v>
      </c>
      <c r="J39" s="177">
        <v>8.6272509999999993</v>
      </c>
    </row>
    <row r="40" spans="1:10">
      <c r="A40" s="172"/>
      <c r="B40" s="175"/>
      <c r="C40" s="175"/>
      <c r="D40" s="175"/>
      <c r="E40" s="175"/>
      <c r="F40" s="175"/>
      <c r="G40" s="175"/>
      <c r="H40" s="175"/>
      <c r="I40" s="175"/>
      <c r="J40" s="175"/>
    </row>
    <row r="41" spans="1:10">
      <c r="A41" s="172" t="s">
        <v>498</v>
      </c>
      <c r="B41" s="175" t="s">
        <v>489</v>
      </c>
      <c r="C41" s="176">
        <v>15.702454765624999</v>
      </c>
      <c r="D41" s="176">
        <v>15.70024653125</v>
      </c>
      <c r="E41" s="176">
        <v>15.657332083333333</v>
      </c>
      <c r="F41" s="176">
        <v>16.123612387096774</v>
      </c>
      <c r="G41" s="176">
        <v>18.343876843749999</v>
      </c>
      <c r="H41" s="176">
        <v>22.606235937499999</v>
      </c>
      <c r="I41" s="176">
        <v>18.811628114754097</v>
      </c>
      <c r="J41" s="176">
        <v>12.749503499999999</v>
      </c>
    </row>
    <row r="42" spans="1:10">
      <c r="A42" s="175"/>
      <c r="B42" s="175" t="s">
        <v>490</v>
      </c>
      <c r="C42" s="177">
        <v>17.825702</v>
      </c>
      <c r="D42" s="177">
        <v>17.489204999999998</v>
      </c>
      <c r="E42" s="177">
        <v>18.553737999999999</v>
      </c>
      <c r="F42" s="177">
        <v>18.266454</v>
      </c>
      <c r="G42" s="177">
        <v>21.625823</v>
      </c>
      <c r="H42" s="177">
        <v>26.795909999999999</v>
      </c>
      <c r="I42" s="177">
        <v>23.880721000000001</v>
      </c>
      <c r="J42" s="177">
        <v>12.797618999999999</v>
      </c>
    </row>
    <row r="43" spans="1:10">
      <c r="A43" s="175"/>
      <c r="B43" s="175" t="s">
        <v>491</v>
      </c>
      <c r="C43" s="177">
        <v>14.066098</v>
      </c>
      <c r="D43" s="177">
        <v>14.573741</v>
      </c>
      <c r="E43" s="177">
        <v>14.009264999999999</v>
      </c>
      <c r="F43" s="177">
        <v>13.123830999999999</v>
      </c>
      <c r="G43" s="177">
        <v>15.635363</v>
      </c>
      <c r="H43" s="177">
        <v>19.412524999999999</v>
      </c>
      <c r="I43" s="177">
        <v>11.984126</v>
      </c>
      <c r="J43" s="177">
        <v>12.70238</v>
      </c>
    </row>
    <row r="44" spans="1:10">
      <c r="A44" s="175"/>
      <c r="B44" s="175" t="s">
        <v>492</v>
      </c>
      <c r="C44" s="177">
        <v>17.825702</v>
      </c>
      <c r="D44" s="177">
        <v>14.676373</v>
      </c>
      <c r="E44" s="177">
        <v>17.198598</v>
      </c>
      <c r="F44" s="177">
        <v>16.369337000000002</v>
      </c>
      <c r="G44" s="177">
        <v>20.843036999999999</v>
      </c>
      <c r="H44" s="177">
        <v>22.146829</v>
      </c>
      <c r="I44" s="177">
        <v>12.738095</v>
      </c>
      <c r="J44" s="177">
        <v>12.70238</v>
      </c>
    </row>
    <row r="45" spans="1:10">
      <c r="A45" s="172"/>
      <c r="B45" s="175"/>
      <c r="C45" s="175"/>
      <c r="D45" s="175"/>
      <c r="E45" s="175"/>
      <c r="F45" s="175"/>
      <c r="G45" s="175"/>
      <c r="H45" s="175"/>
      <c r="I45" s="175"/>
      <c r="J45" s="175"/>
    </row>
    <row r="46" spans="1:10">
      <c r="A46" s="172" t="s">
        <v>499</v>
      </c>
      <c r="B46" s="175" t="s">
        <v>489</v>
      </c>
      <c r="C46" s="176">
        <v>14.12308</v>
      </c>
      <c r="D46" s="176">
        <v>13.965771999999999</v>
      </c>
      <c r="E46" s="176">
        <v>12.817335999999999</v>
      </c>
      <c r="F46" s="176">
        <v>10.813829999999999</v>
      </c>
      <c r="G46" s="176">
        <v>11.244334</v>
      </c>
      <c r="H46" s="176">
        <v>11.640285</v>
      </c>
      <c r="I46" s="176">
        <v>9.9861509999999996</v>
      </c>
      <c r="J46" s="176">
        <v>9.8782759999999996</v>
      </c>
    </row>
    <row r="47" spans="1:10">
      <c r="A47" s="175"/>
      <c r="B47" s="175" t="s">
        <v>490</v>
      </c>
      <c r="C47" s="177">
        <v>15.762328999999999</v>
      </c>
      <c r="D47" s="177">
        <v>15.464782</v>
      </c>
      <c r="E47" s="177">
        <v>14.100857</v>
      </c>
      <c r="F47" s="177">
        <v>11.929027</v>
      </c>
      <c r="G47" s="177">
        <v>12.092535</v>
      </c>
      <c r="H47" s="177">
        <v>12.939399999999999</v>
      </c>
      <c r="I47" s="177">
        <v>10.849857</v>
      </c>
      <c r="J47" s="177">
        <v>9.9155560000000005</v>
      </c>
    </row>
    <row r="48" spans="1:10">
      <c r="A48" s="175"/>
      <c r="B48" s="175" t="s">
        <v>491</v>
      </c>
      <c r="C48" s="177">
        <v>12.770189999999999</v>
      </c>
      <c r="D48" s="177">
        <v>13.133756999999999</v>
      </c>
      <c r="E48" s="177">
        <v>11.042382</v>
      </c>
      <c r="F48" s="177">
        <v>8.9123780000000004</v>
      </c>
      <c r="G48" s="177">
        <v>10.151994</v>
      </c>
      <c r="H48" s="177">
        <v>10.062089</v>
      </c>
      <c r="I48" s="177">
        <v>9.2852650000000008</v>
      </c>
      <c r="J48" s="177">
        <v>9.8417659999999998</v>
      </c>
    </row>
    <row r="49" spans="1:10">
      <c r="A49" s="175"/>
      <c r="B49" s="175" t="s">
        <v>492</v>
      </c>
      <c r="C49" s="177">
        <v>15.762328999999999</v>
      </c>
      <c r="D49" s="177">
        <v>13.242784</v>
      </c>
      <c r="E49" s="177">
        <v>11.595084</v>
      </c>
      <c r="F49" s="177">
        <v>10.627720999999999</v>
      </c>
      <c r="G49" s="177">
        <v>11.654824</v>
      </c>
      <c r="H49" s="177">
        <v>10.062089</v>
      </c>
      <c r="I49" s="177">
        <v>9.8694369999999996</v>
      </c>
      <c r="J49" s="177">
        <v>9.8417659999999998</v>
      </c>
    </row>
    <row r="50" spans="1:10">
      <c r="A50" s="172"/>
      <c r="B50" s="175"/>
      <c r="C50" s="175"/>
      <c r="D50" s="175"/>
      <c r="E50" s="175"/>
      <c r="F50" s="175"/>
      <c r="G50" s="175"/>
      <c r="H50" s="175"/>
      <c r="I50" s="175"/>
      <c r="J50" s="175"/>
    </row>
    <row r="51" spans="1:10">
      <c r="A51" s="172" t="s">
        <v>500</v>
      </c>
      <c r="B51" s="175" t="s">
        <v>489</v>
      </c>
      <c r="C51" s="176">
        <v>17.421249562500002</v>
      </c>
      <c r="D51" s="176">
        <v>17.338442703125001</v>
      </c>
      <c r="E51" s="176">
        <v>15.775772033333332</v>
      </c>
      <c r="F51" s="176">
        <v>13.300017887096773</v>
      </c>
      <c r="G51" s="176">
        <v>14.060120625</v>
      </c>
      <c r="H51" s="176">
        <v>14.828431265624999</v>
      </c>
      <c r="I51" s="176">
        <v>12.508829049180328</v>
      </c>
      <c r="J51" s="176">
        <v>12.15519875</v>
      </c>
    </row>
    <row r="52" spans="1:10">
      <c r="A52" s="175"/>
      <c r="B52" s="175" t="s">
        <v>490</v>
      </c>
      <c r="C52" s="177">
        <v>19.651866999999999</v>
      </c>
      <c r="D52" s="177">
        <v>19.280897</v>
      </c>
      <c r="E52" s="177">
        <v>17.261787000000002</v>
      </c>
      <c r="F52" s="177">
        <v>14.819305</v>
      </c>
      <c r="G52" s="177">
        <v>15.395585000000001</v>
      </c>
      <c r="H52" s="177">
        <v>16.482655999999999</v>
      </c>
      <c r="I52" s="177">
        <v>13.801301</v>
      </c>
      <c r="J52" s="177">
        <v>12.201071000000001</v>
      </c>
    </row>
    <row r="53" spans="1:10">
      <c r="A53" s="175"/>
      <c r="B53" s="175" t="s">
        <v>491</v>
      </c>
      <c r="C53" s="177">
        <v>15.664852</v>
      </c>
      <c r="D53" s="177">
        <v>16.143844999999999</v>
      </c>
      <c r="E53" s="177">
        <v>13.756729999999999</v>
      </c>
      <c r="F53" s="177">
        <v>10.991686</v>
      </c>
      <c r="G53" s="177">
        <v>12.564605999999999</v>
      </c>
      <c r="H53" s="177">
        <v>12.799239</v>
      </c>
      <c r="I53" s="177">
        <v>11.425499</v>
      </c>
      <c r="J53" s="177">
        <v>12.110272</v>
      </c>
    </row>
    <row r="54" spans="1:10">
      <c r="A54" s="175"/>
      <c r="B54" s="175" t="s">
        <v>492</v>
      </c>
      <c r="C54" s="177">
        <v>19.651866999999999</v>
      </c>
      <c r="D54" s="177">
        <v>16.257534</v>
      </c>
      <c r="E54" s="177">
        <v>14.404450000000001</v>
      </c>
      <c r="F54" s="177">
        <v>13.154429</v>
      </c>
      <c r="G54" s="177">
        <v>14.838314</v>
      </c>
      <c r="H54" s="177">
        <v>12.799239</v>
      </c>
      <c r="I54" s="177">
        <v>12.144322000000001</v>
      </c>
      <c r="J54" s="177">
        <v>12.110272</v>
      </c>
    </row>
    <row r="55" spans="1:10">
      <c r="A55" s="172"/>
      <c r="B55" s="175"/>
      <c r="C55" s="175"/>
      <c r="D55" s="175"/>
      <c r="E55" s="175"/>
      <c r="F55" s="175"/>
      <c r="G55" s="175"/>
      <c r="H55" s="175"/>
      <c r="I55" s="175"/>
      <c r="J55" s="175"/>
    </row>
    <row r="56" spans="1:10">
      <c r="A56" s="172" t="s">
        <v>501</v>
      </c>
      <c r="B56" s="175" t="s">
        <v>489</v>
      </c>
      <c r="C56" s="176">
        <v>6.288740953125</v>
      </c>
      <c r="D56" s="176">
        <v>6.3246452968750004</v>
      </c>
      <c r="E56" s="176">
        <v>5.876876283333333</v>
      </c>
      <c r="F56" s="176">
        <v>5.1453011612903223</v>
      </c>
      <c r="G56" s="176">
        <v>5.5134959375000001</v>
      </c>
      <c r="H56" s="176">
        <v>5.9607666406249997</v>
      </c>
      <c r="I56" s="176">
        <v>5.0104570327868849</v>
      </c>
      <c r="J56" s="176">
        <v>4.5331452499999996</v>
      </c>
    </row>
    <row r="57" spans="1:10">
      <c r="A57" s="175"/>
      <c r="B57" s="175" t="s">
        <v>490</v>
      </c>
      <c r="C57" s="177">
        <v>7.1482140000000003</v>
      </c>
      <c r="D57" s="177">
        <v>7.0132760000000003</v>
      </c>
      <c r="E57" s="177">
        <v>6.3196560000000002</v>
      </c>
      <c r="F57" s="177">
        <v>5.7287309999999998</v>
      </c>
      <c r="G57" s="177">
        <v>6.0780500000000002</v>
      </c>
      <c r="H57" s="177">
        <v>6.5072159999999997</v>
      </c>
      <c r="I57" s="177">
        <v>5.7126650000000003</v>
      </c>
      <c r="J57" s="177">
        <v>4.5502529999999997</v>
      </c>
    </row>
    <row r="58" spans="1:10">
      <c r="A58" s="175"/>
      <c r="B58" s="175" t="s">
        <v>491</v>
      </c>
      <c r="C58" s="177">
        <v>5.6254710000000001</v>
      </c>
      <c r="D58" s="177">
        <v>5.9103700000000003</v>
      </c>
      <c r="E58" s="177">
        <v>5.347607</v>
      </c>
      <c r="F58" s="177">
        <v>4.2287520000000001</v>
      </c>
      <c r="G58" s="177">
        <v>4.9035669999999998</v>
      </c>
      <c r="H58" s="177">
        <v>5.2978889999999996</v>
      </c>
      <c r="I58" s="177">
        <v>4.261012</v>
      </c>
      <c r="J58" s="177">
        <v>4.5163900000000003</v>
      </c>
    </row>
    <row r="59" spans="1:10">
      <c r="A59" s="175"/>
      <c r="B59" s="175" t="s">
        <v>492</v>
      </c>
      <c r="C59" s="177">
        <v>7.1482140000000003</v>
      </c>
      <c r="D59" s="177">
        <v>5.9519919999999997</v>
      </c>
      <c r="E59" s="177">
        <v>5.5417209999999999</v>
      </c>
      <c r="F59" s="177">
        <v>5.133756</v>
      </c>
      <c r="G59" s="177">
        <v>5.8580439999999996</v>
      </c>
      <c r="H59" s="177">
        <v>5.2978889999999996</v>
      </c>
      <c r="I59" s="177">
        <v>4.5290889999999999</v>
      </c>
      <c r="J59" s="177">
        <v>4.5163900000000003</v>
      </c>
    </row>
    <row r="60" spans="1:10">
      <c r="A60" s="172"/>
      <c r="B60" s="175"/>
      <c r="C60" s="175"/>
      <c r="D60" s="175"/>
      <c r="E60" s="175"/>
      <c r="F60" s="175"/>
      <c r="G60" s="175"/>
      <c r="H60" s="175"/>
      <c r="I60" s="175"/>
      <c r="J60" s="175"/>
    </row>
    <row r="61" spans="1:10">
      <c r="A61" s="172" t="s">
        <v>502</v>
      </c>
      <c r="B61" s="175" t="s">
        <v>489</v>
      </c>
      <c r="C61" s="176">
        <v>12.134943078125</v>
      </c>
      <c r="D61" s="176">
        <v>12.083495593749999</v>
      </c>
      <c r="E61" s="176">
        <v>10.602179749999999</v>
      </c>
      <c r="F61" s="176">
        <v>7.9464557096774193</v>
      </c>
      <c r="G61" s="176">
        <v>8.5231350312499998</v>
      </c>
      <c r="H61" s="176">
        <v>8.9901005468750004</v>
      </c>
      <c r="I61" s="176">
        <v>7.0617510655737705</v>
      </c>
      <c r="J61" s="176">
        <v>6.1946715000000001</v>
      </c>
    </row>
    <row r="62" spans="1:10">
      <c r="A62" s="175"/>
      <c r="B62" s="175" t="s">
        <v>490</v>
      </c>
      <c r="C62" s="177">
        <v>13.684227</v>
      </c>
      <c r="D62" s="177">
        <v>13.425909000000001</v>
      </c>
      <c r="E62" s="177">
        <v>12.272955</v>
      </c>
      <c r="F62" s="177">
        <v>8.8575730000000004</v>
      </c>
      <c r="G62" s="177">
        <v>9.4655869999999993</v>
      </c>
      <c r="H62" s="177">
        <v>10.133945000000001</v>
      </c>
      <c r="I62" s="177">
        <v>8.1657860000000007</v>
      </c>
      <c r="J62" s="177">
        <v>6.2180489999999997</v>
      </c>
    </row>
    <row r="63" spans="1:10">
      <c r="A63" s="175"/>
      <c r="B63" s="175" t="s">
        <v>491</v>
      </c>
      <c r="C63" s="177">
        <v>10.994104999999999</v>
      </c>
      <c r="D63" s="177">
        <v>11.147095999999999</v>
      </c>
      <c r="E63" s="177">
        <v>7.9032</v>
      </c>
      <c r="F63" s="177">
        <v>6.5640340000000004</v>
      </c>
      <c r="G63" s="177">
        <v>7.5817329999999998</v>
      </c>
      <c r="H63" s="177">
        <v>7.5728980000000004</v>
      </c>
      <c r="I63" s="177">
        <v>5.822794</v>
      </c>
      <c r="J63" s="177">
        <v>6.1717760000000004</v>
      </c>
    </row>
    <row r="64" spans="1:10">
      <c r="A64" s="175"/>
      <c r="B64" s="175" t="s">
        <v>492</v>
      </c>
      <c r="C64" s="177">
        <v>13.684227</v>
      </c>
      <c r="D64" s="177">
        <v>11.558941000000001</v>
      </c>
      <c r="E64" s="177">
        <v>8.6020749999999992</v>
      </c>
      <c r="F64" s="177">
        <v>7.9376439999999997</v>
      </c>
      <c r="G64" s="177">
        <v>9.1229630000000004</v>
      </c>
      <c r="H64" s="177">
        <v>7.5728980000000004</v>
      </c>
      <c r="I64" s="177">
        <v>6.1891280000000002</v>
      </c>
      <c r="J64" s="177">
        <v>6.1717760000000004</v>
      </c>
    </row>
    <row r="65" spans="1:10">
      <c r="A65" s="172"/>
      <c r="B65" s="175"/>
      <c r="C65" s="175"/>
      <c r="D65" s="175"/>
      <c r="E65" s="175"/>
      <c r="F65" s="175"/>
      <c r="G65" s="175"/>
      <c r="H65" s="175"/>
      <c r="I65" s="175"/>
      <c r="J65" s="175"/>
    </row>
    <row r="66" spans="1:10">
      <c r="A66" s="172" t="s">
        <v>503</v>
      </c>
      <c r="B66" s="175" t="s">
        <v>489</v>
      </c>
      <c r="C66" s="176">
        <v>8.6741890000000001</v>
      </c>
      <c r="D66" s="176">
        <v>8.4966449999999991</v>
      </c>
      <c r="E66" s="176">
        <v>7.7099339999999996</v>
      </c>
      <c r="F66" s="176">
        <v>6.6427509999999996</v>
      </c>
      <c r="G66" s="176">
        <v>7.3274229999999996</v>
      </c>
      <c r="H66" s="176">
        <v>8.0728100000000005</v>
      </c>
      <c r="I66" s="176">
        <v>7.1274790000000001</v>
      </c>
      <c r="J66" s="176">
        <v>6.8487410000000004</v>
      </c>
    </row>
    <row r="67" spans="1:10">
      <c r="A67" s="175"/>
      <c r="B67" s="175" t="s">
        <v>490</v>
      </c>
      <c r="C67" s="177">
        <v>9.6506880000000006</v>
      </c>
      <c r="D67" s="177">
        <v>9.4685109999999995</v>
      </c>
      <c r="E67" s="177">
        <v>8.4283169999999998</v>
      </c>
      <c r="F67" s="177">
        <v>7.556057</v>
      </c>
      <c r="G67" s="177">
        <v>8.3624890000000001</v>
      </c>
      <c r="H67" s="177">
        <v>9.4786610000000007</v>
      </c>
      <c r="I67" s="177">
        <v>8.8036829999999995</v>
      </c>
      <c r="J67" s="177">
        <v>6.8745880000000001</v>
      </c>
    </row>
    <row r="68" spans="1:10">
      <c r="A68" s="175"/>
      <c r="B68" s="175" t="s">
        <v>491</v>
      </c>
      <c r="C68" s="177">
        <v>7.8614470000000001</v>
      </c>
      <c r="D68" s="177">
        <v>7.882466</v>
      </c>
      <c r="E68" s="177">
        <v>6.7367489999999997</v>
      </c>
      <c r="F68" s="177">
        <v>5.3826910000000003</v>
      </c>
      <c r="G68" s="177">
        <v>6.4676859999999996</v>
      </c>
      <c r="H68" s="177">
        <v>7.2438979999999997</v>
      </c>
      <c r="I68" s="177">
        <v>6.4375980000000004</v>
      </c>
      <c r="J68" s="177">
        <v>6.8234279999999998</v>
      </c>
    </row>
    <row r="69" spans="1:10">
      <c r="A69" s="175"/>
      <c r="B69" s="175" t="s">
        <v>492</v>
      </c>
      <c r="C69" s="177">
        <v>9.6506880000000006</v>
      </c>
      <c r="D69" s="177">
        <v>7.9379759999999999</v>
      </c>
      <c r="E69" s="177">
        <v>7.053941</v>
      </c>
      <c r="F69" s="177">
        <v>6.7713000000000001</v>
      </c>
      <c r="G69" s="177">
        <v>7.8569490000000002</v>
      </c>
      <c r="H69" s="177">
        <v>7.2438979999999997</v>
      </c>
      <c r="I69" s="177">
        <v>6.8426130000000001</v>
      </c>
      <c r="J69" s="177">
        <v>6.8234279999999998</v>
      </c>
    </row>
    <row r="70" spans="1:10">
      <c r="A70" s="172"/>
      <c r="B70" s="175"/>
      <c r="C70" s="175"/>
      <c r="D70" s="175"/>
      <c r="E70" s="175"/>
      <c r="F70" s="175"/>
      <c r="G70" s="175"/>
      <c r="H70" s="175"/>
      <c r="I70" s="175"/>
      <c r="J70" s="175"/>
    </row>
    <row r="71" spans="1:10">
      <c r="A71" s="172" t="s">
        <v>504</v>
      </c>
      <c r="B71" s="175" t="s">
        <v>489</v>
      </c>
      <c r="C71" s="176">
        <v>17.997201375</v>
      </c>
      <c r="D71" s="176">
        <v>16.991190546875</v>
      </c>
      <c r="E71" s="176">
        <v>16.400948983333333</v>
      </c>
      <c r="F71" s="176">
        <v>11.677619451612903</v>
      </c>
      <c r="G71" s="176">
        <v>13.610586218750001</v>
      </c>
      <c r="H71" s="176">
        <v>16.167296265625001</v>
      </c>
      <c r="I71" s="176">
        <v>16.366192688524592</v>
      </c>
      <c r="J71" s="176">
        <v>17.984287999999999</v>
      </c>
    </row>
    <row r="72" spans="1:10">
      <c r="A72" s="175"/>
      <c r="B72" s="175" t="s">
        <v>490</v>
      </c>
      <c r="C72" s="177">
        <v>19.635605999999999</v>
      </c>
      <c r="D72" s="177">
        <v>22.499783000000001</v>
      </c>
      <c r="E72" s="177">
        <v>18.799113999999999</v>
      </c>
      <c r="F72" s="177">
        <v>14.435938999999999</v>
      </c>
      <c r="G72" s="177">
        <v>18.579128000000001</v>
      </c>
      <c r="H72" s="177">
        <v>19.927434000000002</v>
      </c>
      <c r="I72" s="177">
        <v>22.974188999999999</v>
      </c>
      <c r="J72" s="177">
        <v>18.042449999999999</v>
      </c>
    </row>
    <row r="73" spans="1:10">
      <c r="A73" s="175"/>
      <c r="B73" s="175" t="s">
        <v>491</v>
      </c>
      <c r="C73" s="177">
        <v>16.060953999999999</v>
      </c>
      <c r="D73" s="177">
        <v>14.595643000000001</v>
      </c>
      <c r="E73" s="177">
        <v>11.838502</v>
      </c>
      <c r="F73" s="177">
        <v>9.5255469999999995</v>
      </c>
      <c r="G73" s="177">
        <v>11.407624</v>
      </c>
      <c r="H73" s="177">
        <v>14.502976</v>
      </c>
      <c r="I73" s="177">
        <v>13.550604</v>
      </c>
      <c r="J73" s="177">
        <v>17.927325</v>
      </c>
    </row>
    <row r="74" spans="1:10">
      <c r="A74" s="175"/>
      <c r="B74" s="175" t="s">
        <v>492</v>
      </c>
      <c r="C74" s="177">
        <v>17.090833</v>
      </c>
      <c r="D74" s="177">
        <v>17.861782000000002</v>
      </c>
      <c r="E74" s="177">
        <v>12.003307</v>
      </c>
      <c r="F74" s="177">
        <v>11.853617</v>
      </c>
      <c r="G74" s="177">
        <v>15.539904</v>
      </c>
      <c r="H74" s="177">
        <v>14.502976</v>
      </c>
      <c r="I74" s="177">
        <v>17.970497000000002</v>
      </c>
      <c r="J74" s="177">
        <v>17.927325</v>
      </c>
    </row>
    <row r="75" spans="1:10">
      <c r="A75" s="172"/>
      <c r="B75" s="175"/>
      <c r="C75" s="175"/>
      <c r="D75" s="175"/>
      <c r="E75" s="175"/>
      <c r="F75" s="175"/>
      <c r="G75" s="175"/>
      <c r="H75" s="175"/>
      <c r="I75" s="175"/>
      <c r="J75" s="175"/>
    </row>
    <row r="76" spans="1:10">
      <c r="A76" s="172" t="s">
        <v>505</v>
      </c>
      <c r="B76" s="175" t="s">
        <v>489</v>
      </c>
      <c r="C76" s="176">
        <v>16.217202609375001</v>
      </c>
      <c r="D76" s="176">
        <v>15.207591796875001</v>
      </c>
      <c r="E76" s="176">
        <v>14.40072445</v>
      </c>
      <c r="F76" s="176">
        <v>10.186779129032258</v>
      </c>
      <c r="G76" s="176">
        <v>11.894595499999999</v>
      </c>
      <c r="H76" s="176">
        <v>14.216574250000001</v>
      </c>
      <c r="I76" s="176">
        <v>14.100354213114754</v>
      </c>
      <c r="J76" s="176">
        <v>15.949021999999999</v>
      </c>
    </row>
    <row r="77" spans="1:10">
      <c r="A77" s="175"/>
      <c r="B77" s="175" t="s">
        <v>490</v>
      </c>
      <c r="C77" s="177">
        <v>17.939564000000001</v>
      </c>
      <c r="D77" s="177">
        <v>19.774621</v>
      </c>
      <c r="E77" s="177">
        <v>16.556607</v>
      </c>
      <c r="F77" s="177">
        <v>12.403627999999999</v>
      </c>
      <c r="G77" s="177">
        <v>16.511292999999998</v>
      </c>
      <c r="H77" s="177">
        <v>17.321456000000001</v>
      </c>
      <c r="I77" s="177">
        <v>20.479434999999999</v>
      </c>
      <c r="J77" s="177">
        <v>16.009212000000002</v>
      </c>
    </row>
    <row r="78" spans="1:10">
      <c r="A78" s="175"/>
      <c r="B78" s="175" t="s">
        <v>491</v>
      </c>
      <c r="C78" s="177">
        <v>14.657745</v>
      </c>
      <c r="D78" s="177">
        <v>13.158052</v>
      </c>
      <c r="E78" s="177">
        <v>10.518575</v>
      </c>
      <c r="F78" s="177">
        <v>8.1549809999999994</v>
      </c>
      <c r="G78" s="177">
        <v>9.7178550000000001</v>
      </c>
      <c r="H78" s="177">
        <v>12.256224</v>
      </c>
      <c r="I78" s="177">
        <v>11.278363000000001</v>
      </c>
      <c r="J78" s="177">
        <v>15.890072999999999</v>
      </c>
    </row>
    <row r="79" spans="1:10">
      <c r="A79" s="175"/>
      <c r="B79" s="175" t="s">
        <v>492</v>
      </c>
      <c r="C79" s="177">
        <v>15.711788</v>
      </c>
      <c r="D79" s="177">
        <v>15.59338</v>
      </c>
      <c r="E79" s="177">
        <v>10.686989000000001</v>
      </c>
      <c r="F79" s="177">
        <v>10.174042999999999</v>
      </c>
      <c r="G79" s="177">
        <v>13.824543999999999</v>
      </c>
      <c r="H79" s="177">
        <v>12.256224</v>
      </c>
      <c r="I79" s="177">
        <v>15.934749999999999</v>
      </c>
      <c r="J79" s="177">
        <v>15.890072999999999</v>
      </c>
    </row>
    <row r="80" spans="1:10">
      <c r="A80" s="172"/>
      <c r="B80" s="175"/>
      <c r="C80" s="175"/>
      <c r="D80" s="175"/>
      <c r="E80" s="175"/>
      <c r="F80" s="175"/>
      <c r="G80" s="175"/>
      <c r="H80" s="175"/>
      <c r="I80" s="175"/>
      <c r="J80" s="175"/>
    </row>
    <row r="81" spans="1:1">
      <c r="A81" s="178" t="s">
        <v>506</v>
      </c>
    </row>
    <row r="83" spans="1:1">
      <c r="A83" s="178" t="s">
        <v>507</v>
      </c>
    </row>
    <row r="87" spans="1:1" ht="25" customHeight="1">
      <c r="A87" s="179" t="s">
        <v>482</v>
      </c>
    </row>
  </sheetData>
  <pageMargins left="0.2" right="0.2" top="0.5" bottom="0.5" header="0.5" footer="0.5"/>
  <pageSetup fitToWidth="0" fitToHeight="0" orientation="landscape" horizontalDpi="0" verticalDpi="0"/>
  <headerFooter alignWithMargins="0"/>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5226CE-BAA6-DE41-9A46-9D2E9AC4EBF7}">
  <sheetPr>
    <tabColor theme="9" tint="-0.249977111117893"/>
  </sheetPr>
  <dimension ref="A1:N27"/>
  <sheetViews>
    <sheetView showGridLines="0" workbookViewId="0">
      <selection sqref="A1:N27"/>
    </sheetView>
  </sheetViews>
  <sheetFormatPr baseColWidth="10" defaultColWidth="8.83203125" defaultRowHeight="13"/>
  <sheetData>
    <row r="1" spans="1:14">
      <c r="A1" s="642" t="s">
        <v>508</v>
      </c>
      <c r="B1" s="642"/>
      <c r="C1" s="642"/>
      <c r="D1" s="642"/>
      <c r="E1" s="642"/>
      <c r="F1" s="642"/>
      <c r="G1" s="642"/>
      <c r="H1" s="642"/>
      <c r="I1" s="642"/>
      <c r="J1" s="642"/>
      <c r="K1" s="642"/>
      <c r="L1" s="642"/>
      <c r="M1" s="642"/>
      <c r="N1" s="642"/>
    </row>
    <row r="2" spans="1:14">
      <c r="A2" s="642"/>
      <c r="B2" s="642"/>
      <c r="C2" s="642"/>
      <c r="D2" s="642"/>
      <c r="E2" s="642"/>
      <c r="F2" s="642"/>
      <c r="G2" s="642"/>
      <c r="H2" s="642"/>
      <c r="I2" s="642"/>
      <c r="J2" s="642"/>
      <c r="K2" s="642"/>
      <c r="L2" s="642"/>
      <c r="M2" s="642"/>
      <c r="N2" s="642"/>
    </row>
    <row r="3" spans="1:14">
      <c r="A3" s="642"/>
      <c r="B3" s="642"/>
      <c r="C3" s="642"/>
      <c r="D3" s="642"/>
      <c r="E3" s="642"/>
      <c r="F3" s="642"/>
      <c r="G3" s="642"/>
      <c r="H3" s="642"/>
      <c r="I3" s="642"/>
      <c r="J3" s="642"/>
      <c r="K3" s="642"/>
      <c r="L3" s="642"/>
      <c r="M3" s="642"/>
      <c r="N3" s="642"/>
    </row>
    <row r="4" spans="1:14">
      <c r="A4" s="642"/>
      <c r="B4" s="642"/>
      <c r="C4" s="642"/>
      <c r="D4" s="642"/>
      <c r="E4" s="642"/>
      <c r="F4" s="642"/>
      <c r="G4" s="642"/>
      <c r="H4" s="642"/>
      <c r="I4" s="642"/>
      <c r="J4" s="642"/>
      <c r="K4" s="642"/>
      <c r="L4" s="642"/>
      <c r="M4" s="642"/>
      <c r="N4" s="642"/>
    </row>
    <row r="5" spans="1:14">
      <c r="A5" s="642"/>
      <c r="B5" s="642"/>
      <c r="C5" s="642"/>
      <c r="D5" s="642"/>
      <c r="E5" s="642"/>
      <c r="F5" s="642"/>
      <c r="G5" s="642"/>
      <c r="H5" s="642"/>
      <c r="I5" s="642"/>
      <c r="J5" s="642"/>
      <c r="K5" s="642"/>
      <c r="L5" s="642"/>
      <c r="M5" s="642"/>
      <c r="N5" s="642"/>
    </row>
    <row r="6" spans="1:14">
      <c r="A6" s="642"/>
      <c r="B6" s="642"/>
      <c r="C6" s="642"/>
      <c r="D6" s="642"/>
      <c r="E6" s="642"/>
      <c r="F6" s="642"/>
      <c r="G6" s="642"/>
      <c r="H6" s="642"/>
      <c r="I6" s="642"/>
      <c r="J6" s="642"/>
      <c r="K6" s="642"/>
      <c r="L6" s="642"/>
      <c r="M6" s="642"/>
      <c r="N6" s="642"/>
    </row>
    <row r="7" spans="1:14">
      <c r="A7" s="642"/>
      <c r="B7" s="642"/>
      <c r="C7" s="642"/>
      <c r="D7" s="642"/>
      <c r="E7" s="642"/>
      <c r="F7" s="642"/>
      <c r="G7" s="642"/>
      <c r="H7" s="642"/>
      <c r="I7" s="642"/>
      <c r="J7" s="642"/>
      <c r="K7" s="642"/>
      <c r="L7" s="642"/>
      <c r="M7" s="642"/>
      <c r="N7" s="642"/>
    </row>
    <row r="8" spans="1:14">
      <c r="A8" s="642"/>
      <c r="B8" s="642"/>
      <c r="C8" s="642"/>
      <c r="D8" s="642"/>
      <c r="E8" s="642"/>
      <c r="F8" s="642"/>
      <c r="G8" s="642"/>
      <c r="H8" s="642"/>
      <c r="I8" s="642"/>
      <c r="J8" s="642"/>
      <c r="K8" s="642"/>
      <c r="L8" s="642"/>
      <c r="M8" s="642"/>
      <c r="N8" s="642"/>
    </row>
    <row r="9" spans="1:14">
      <c r="A9" s="642"/>
      <c r="B9" s="642"/>
      <c r="C9" s="642"/>
      <c r="D9" s="642"/>
      <c r="E9" s="642"/>
      <c r="F9" s="642"/>
      <c r="G9" s="642"/>
      <c r="H9" s="642"/>
      <c r="I9" s="642"/>
      <c r="J9" s="642"/>
      <c r="K9" s="642"/>
      <c r="L9" s="642"/>
      <c r="M9" s="642"/>
      <c r="N9" s="642"/>
    </row>
    <row r="10" spans="1:14">
      <c r="A10" s="642"/>
      <c r="B10" s="642"/>
      <c r="C10" s="642"/>
      <c r="D10" s="642"/>
      <c r="E10" s="642"/>
      <c r="F10" s="642"/>
      <c r="G10" s="642"/>
      <c r="H10" s="642"/>
      <c r="I10" s="642"/>
      <c r="J10" s="642"/>
      <c r="K10" s="642"/>
      <c r="L10" s="642"/>
      <c r="M10" s="642"/>
      <c r="N10" s="642"/>
    </row>
    <row r="11" spans="1:14">
      <c r="A11" s="642"/>
      <c r="B11" s="642"/>
      <c r="C11" s="642"/>
      <c r="D11" s="642"/>
      <c r="E11" s="642"/>
      <c r="F11" s="642"/>
      <c r="G11" s="642"/>
      <c r="H11" s="642"/>
      <c r="I11" s="642"/>
      <c r="J11" s="642"/>
      <c r="K11" s="642"/>
      <c r="L11" s="642"/>
      <c r="M11" s="642"/>
      <c r="N11" s="642"/>
    </row>
    <row r="12" spans="1:14">
      <c r="A12" s="642"/>
      <c r="B12" s="642"/>
      <c r="C12" s="642"/>
      <c r="D12" s="642"/>
      <c r="E12" s="642"/>
      <c r="F12" s="642"/>
      <c r="G12" s="642"/>
      <c r="H12" s="642"/>
      <c r="I12" s="642"/>
      <c r="J12" s="642"/>
      <c r="K12" s="642"/>
      <c r="L12" s="642"/>
      <c r="M12" s="642"/>
      <c r="N12" s="642"/>
    </row>
    <row r="13" spans="1:14">
      <c r="A13" s="642"/>
      <c r="B13" s="642"/>
      <c r="C13" s="642"/>
      <c r="D13" s="642"/>
      <c r="E13" s="642"/>
      <c r="F13" s="642"/>
      <c r="G13" s="642"/>
      <c r="H13" s="642"/>
      <c r="I13" s="642"/>
      <c r="J13" s="642"/>
      <c r="K13" s="642"/>
      <c r="L13" s="642"/>
      <c r="M13" s="642"/>
      <c r="N13" s="642"/>
    </row>
    <row r="14" spans="1:14">
      <c r="A14" s="642"/>
      <c r="B14" s="642"/>
      <c r="C14" s="642"/>
      <c r="D14" s="642"/>
      <c r="E14" s="642"/>
      <c r="F14" s="642"/>
      <c r="G14" s="642"/>
      <c r="H14" s="642"/>
      <c r="I14" s="642"/>
      <c r="J14" s="642"/>
      <c r="K14" s="642"/>
      <c r="L14" s="642"/>
      <c r="M14" s="642"/>
      <c r="N14" s="642"/>
    </row>
    <row r="15" spans="1:14">
      <c r="A15" s="642"/>
      <c r="B15" s="642"/>
      <c r="C15" s="642"/>
      <c r="D15" s="642"/>
      <c r="E15" s="642"/>
      <c r="F15" s="642"/>
      <c r="G15" s="642"/>
      <c r="H15" s="642"/>
      <c r="I15" s="642"/>
      <c r="J15" s="642"/>
      <c r="K15" s="642"/>
      <c r="L15" s="642"/>
      <c r="M15" s="642"/>
      <c r="N15" s="642"/>
    </row>
    <row r="16" spans="1:14">
      <c r="A16" s="642"/>
      <c r="B16" s="642"/>
      <c r="C16" s="642"/>
      <c r="D16" s="642"/>
      <c r="E16" s="642"/>
      <c r="F16" s="642"/>
      <c r="G16" s="642"/>
      <c r="H16" s="642"/>
      <c r="I16" s="642"/>
      <c r="J16" s="642"/>
      <c r="K16" s="642"/>
      <c r="L16" s="642"/>
      <c r="M16" s="642"/>
      <c r="N16" s="642"/>
    </row>
    <row r="17" spans="1:14">
      <c r="A17" s="642"/>
      <c r="B17" s="642"/>
      <c r="C17" s="642"/>
      <c r="D17" s="642"/>
      <c r="E17" s="642"/>
      <c r="F17" s="642"/>
      <c r="G17" s="642"/>
      <c r="H17" s="642"/>
      <c r="I17" s="642"/>
      <c r="J17" s="642"/>
      <c r="K17" s="642"/>
      <c r="L17" s="642"/>
      <c r="M17" s="642"/>
      <c r="N17" s="642"/>
    </row>
    <row r="18" spans="1:14">
      <c r="A18" s="642"/>
      <c r="B18" s="642"/>
      <c r="C18" s="642"/>
      <c r="D18" s="642"/>
      <c r="E18" s="642"/>
      <c r="F18" s="642"/>
      <c r="G18" s="642"/>
      <c r="H18" s="642"/>
      <c r="I18" s="642"/>
      <c r="J18" s="642"/>
      <c r="K18" s="642"/>
      <c r="L18" s="642"/>
      <c r="M18" s="642"/>
      <c r="N18" s="642"/>
    </row>
    <row r="19" spans="1:14">
      <c r="A19" s="642"/>
      <c r="B19" s="642"/>
      <c r="C19" s="642"/>
      <c r="D19" s="642"/>
      <c r="E19" s="642"/>
      <c r="F19" s="642"/>
      <c r="G19" s="642"/>
      <c r="H19" s="642"/>
      <c r="I19" s="642"/>
      <c r="J19" s="642"/>
      <c r="K19" s="642"/>
      <c r="L19" s="642"/>
      <c r="M19" s="642"/>
      <c r="N19" s="642"/>
    </row>
    <row r="20" spans="1:14">
      <c r="A20" s="642"/>
      <c r="B20" s="642"/>
      <c r="C20" s="642"/>
      <c r="D20" s="642"/>
      <c r="E20" s="642"/>
      <c r="F20" s="642"/>
      <c r="G20" s="642"/>
      <c r="H20" s="642"/>
      <c r="I20" s="642"/>
      <c r="J20" s="642"/>
      <c r="K20" s="642"/>
      <c r="L20" s="642"/>
      <c r="M20" s="642"/>
      <c r="N20" s="642"/>
    </row>
    <row r="21" spans="1:14">
      <c r="A21" s="642"/>
      <c r="B21" s="642"/>
      <c r="C21" s="642"/>
      <c r="D21" s="642"/>
      <c r="E21" s="642"/>
      <c r="F21" s="642"/>
      <c r="G21" s="642"/>
      <c r="H21" s="642"/>
      <c r="I21" s="642"/>
      <c r="J21" s="642"/>
      <c r="K21" s="642"/>
      <c r="L21" s="642"/>
      <c r="M21" s="642"/>
      <c r="N21" s="642"/>
    </row>
    <row r="22" spans="1:14">
      <c r="A22" s="642"/>
      <c r="B22" s="642"/>
      <c r="C22" s="642"/>
      <c r="D22" s="642"/>
      <c r="E22" s="642"/>
      <c r="F22" s="642"/>
      <c r="G22" s="642"/>
      <c r="H22" s="642"/>
      <c r="I22" s="642"/>
      <c r="J22" s="642"/>
      <c r="K22" s="642"/>
      <c r="L22" s="642"/>
      <c r="M22" s="642"/>
      <c r="N22" s="642"/>
    </row>
    <row r="23" spans="1:14">
      <c r="A23" s="642"/>
      <c r="B23" s="642"/>
      <c r="C23" s="642"/>
      <c r="D23" s="642"/>
      <c r="E23" s="642"/>
      <c r="F23" s="642"/>
      <c r="G23" s="642"/>
      <c r="H23" s="642"/>
      <c r="I23" s="642"/>
      <c r="J23" s="642"/>
      <c r="K23" s="642"/>
      <c r="L23" s="642"/>
      <c r="M23" s="642"/>
      <c r="N23" s="642"/>
    </row>
    <row r="24" spans="1:14">
      <c r="A24" s="642"/>
      <c r="B24" s="642"/>
      <c r="C24" s="642"/>
      <c r="D24" s="642"/>
      <c r="E24" s="642"/>
      <c r="F24" s="642"/>
      <c r="G24" s="642"/>
      <c r="H24" s="642"/>
      <c r="I24" s="642"/>
      <c r="J24" s="642"/>
      <c r="K24" s="642"/>
      <c r="L24" s="642"/>
      <c r="M24" s="642"/>
      <c r="N24" s="642"/>
    </row>
    <row r="25" spans="1:14">
      <c r="A25" s="642"/>
      <c r="B25" s="642"/>
      <c r="C25" s="642"/>
      <c r="D25" s="642"/>
      <c r="E25" s="642"/>
      <c r="F25" s="642"/>
      <c r="G25" s="642"/>
      <c r="H25" s="642"/>
      <c r="I25" s="642"/>
      <c r="J25" s="642"/>
      <c r="K25" s="642"/>
      <c r="L25" s="642"/>
      <c r="M25" s="642"/>
      <c r="N25" s="642"/>
    </row>
    <row r="26" spans="1:14">
      <c r="A26" s="642"/>
      <c r="B26" s="642"/>
      <c r="C26" s="642"/>
      <c r="D26" s="642"/>
      <c r="E26" s="642"/>
      <c r="F26" s="642"/>
      <c r="G26" s="642"/>
      <c r="H26" s="642"/>
      <c r="I26" s="642"/>
      <c r="J26" s="642"/>
      <c r="K26" s="642"/>
      <c r="L26" s="642"/>
      <c r="M26" s="642"/>
      <c r="N26" s="642"/>
    </row>
    <row r="27" spans="1:14">
      <c r="A27" s="642"/>
      <c r="B27" s="642"/>
      <c r="C27" s="642"/>
      <c r="D27" s="642"/>
      <c r="E27" s="642"/>
      <c r="F27" s="642"/>
      <c r="G27" s="642"/>
      <c r="H27" s="642"/>
      <c r="I27" s="642"/>
      <c r="J27" s="642"/>
      <c r="K27" s="642"/>
      <c r="L27" s="642"/>
      <c r="M27" s="642"/>
      <c r="N27" s="642"/>
    </row>
  </sheetData>
  <mergeCells count="1">
    <mergeCell ref="A1:N27"/>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003A8B-2A14-2E45-824B-B9435C7312E5}">
  <sheetPr>
    <tabColor theme="9" tint="-0.249977111117893"/>
  </sheetPr>
  <dimension ref="B1:N19"/>
  <sheetViews>
    <sheetView showGridLines="0" workbookViewId="0">
      <selection activeCell="I10" sqref="I10"/>
    </sheetView>
  </sheetViews>
  <sheetFormatPr baseColWidth="10" defaultColWidth="9.1640625" defaultRowHeight="13"/>
  <cols>
    <col min="1" max="1" width="3" style="194" customWidth="1"/>
    <col min="2" max="2" width="38" style="194" customWidth="1"/>
    <col min="3" max="10" width="13" style="194" customWidth="1"/>
    <col min="11" max="12" width="10.5" style="194" bestFit="1" customWidth="1"/>
    <col min="13" max="13" width="15.5" style="194" bestFit="1" customWidth="1"/>
    <col min="14" max="16384" width="9.1640625" style="194"/>
  </cols>
  <sheetData>
    <row r="1" spans="2:14" customFormat="1" ht="20">
      <c r="B1" s="643" t="s">
        <v>509</v>
      </c>
      <c r="C1" s="643"/>
      <c r="D1" s="643"/>
      <c r="E1" s="643"/>
      <c r="F1" s="643"/>
      <c r="G1" s="643"/>
      <c r="H1" s="643"/>
      <c r="I1" s="643"/>
      <c r="J1" s="643"/>
      <c r="K1" s="643"/>
      <c r="L1" s="643"/>
      <c r="M1" s="643"/>
      <c r="N1" s="551"/>
    </row>
    <row r="2" spans="2:14">
      <c r="B2" s="644" t="s">
        <v>510</v>
      </c>
      <c r="C2" s="645"/>
      <c r="D2" s="645"/>
      <c r="E2" s="645"/>
      <c r="F2" s="645"/>
      <c r="G2" s="645"/>
      <c r="H2" s="645"/>
      <c r="I2" s="645"/>
      <c r="J2" s="645"/>
    </row>
    <row r="3" spans="2:14" ht="15.75" customHeight="1">
      <c r="B3" s="552" t="s">
        <v>120</v>
      </c>
      <c r="C3" s="35" t="s">
        <v>122</v>
      </c>
      <c r="D3" s="35" t="s">
        <v>123</v>
      </c>
      <c r="E3" s="35" t="s">
        <v>124</v>
      </c>
      <c r="F3" s="35" t="s">
        <v>125</v>
      </c>
      <c r="G3" s="35" t="s">
        <v>126</v>
      </c>
      <c r="H3" s="193" t="s">
        <v>127</v>
      </c>
      <c r="I3" s="35" t="s">
        <v>36</v>
      </c>
      <c r="J3" s="35" t="s">
        <v>37</v>
      </c>
      <c r="K3" s="35" t="s">
        <v>38</v>
      </c>
      <c r="L3" s="35" t="s">
        <v>39</v>
      </c>
      <c r="M3" s="35" t="s">
        <v>40</v>
      </c>
    </row>
    <row r="4" spans="2:14">
      <c r="B4" s="212" t="s">
        <v>511</v>
      </c>
      <c r="C4" s="213"/>
      <c r="D4" s="213"/>
      <c r="E4" s="213"/>
      <c r="F4" s="213"/>
      <c r="G4" s="213"/>
      <c r="H4" s="214"/>
      <c r="I4" s="213"/>
      <c r="J4" s="213"/>
      <c r="K4" s="213"/>
      <c r="L4" s="213"/>
      <c r="M4" s="213"/>
    </row>
    <row r="5" spans="2:14">
      <c r="B5" s="197" t="s">
        <v>153</v>
      </c>
      <c r="C5" s="194">
        <f>'Revenue Build - Top Down'!D37</f>
        <v>40114</v>
      </c>
      <c r="D5" s="194">
        <f>'Revenue Build - Top Down'!E37</f>
        <v>43293</v>
      </c>
      <c r="E5" s="194">
        <f>'Revenue Build - Top Down'!F37</f>
        <v>47830</v>
      </c>
      <c r="F5" s="194">
        <f>'Revenue Build - Top Down'!G37</f>
        <v>42794</v>
      </c>
      <c r="G5" s="194">
        <f>'Revenue Build - Top Down'!H37</f>
        <v>40097</v>
      </c>
      <c r="H5" s="196">
        <f>'Revenue Build - Top Down'!I37</f>
        <v>38238</v>
      </c>
      <c r="I5" s="194">
        <f>H5*(1+Assumptions!B7)</f>
        <v>38620.379999999997</v>
      </c>
      <c r="J5" s="194">
        <f>I5*(1+Assumptions!C7)</f>
        <v>39199.685699999995</v>
      </c>
      <c r="K5" s="194">
        <f>J5*(1+Assumptions!D7)</f>
        <v>39983.679413999998</v>
      </c>
      <c r="L5" s="194">
        <f>K5*(1+Assumptions!E7)</f>
        <v>40783.353002279997</v>
      </c>
      <c r="M5" s="194">
        <f>L5*(1+Assumptions!F7)</f>
        <v>41599.020062325595</v>
      </c>
    </row>
    <row r="6" spans="2:14">
      <c r="B6" s="197" t="s">
        <v>512</v>
      </c>
      <c r="C6" s="191">
        <f t="shared" ref="C6:H6" si="0">(D5-C5)/C5</f>
        <v>7.9249139951139247E-2</v>
      </c>
      <c r="D6" s="191">
        <f t="shared" si="0"/>
        <v>0.10479754232785901</v>
      </c>
      <c r="E6" s="191">
        <f t="shared" si="0"/>
        <v>-0.10528956721722768</v>
      </c>
      <c r="F6" s="191">
        <f t="shared" si="0"/>
        <v>-6.302285367107538E-2</v>
      </c>
      <c r="G6" s="191">
        <f t="shared" si="0"/>
        <v>-4.6362570765892709E-2</v>
      </c>
      <c r="H6" s="198">
        <f t="shared" si="0"/>
        <v>9.9999999999999308E-3</v>
      </c>
      <c r="I6" s="199">
        <f>Assumptions!B24</f>
        <v>4.0000000000000001E-3</v>
      </c>
      <c r="J6" s="191">
        <f>Assumptions!C24</f>
        <v>0.01</v>
      </c>
      <c r="K6" s="191">
        <f>Assumptions!D24</f>
        <v>2.2800000000000001E-2</v>
      </c>
      <c r="L6" s="191">
        <f>Assumptions!E24</f>
        <v>0.03</v>
      </c>
      <c r="M6" s="191">
        <f>L6</f>
        <v>0.03</v>
      </c>
    </row>
    <row r="7" spans="2:14">
      <c r="B7" s="200" t="s">
        <v>513</v>
      </c>
      <c r="C7" s="194">
        <f t="shared" ref="C7:M7" si="1">C5*(1+C6)</f>
        <v>43293</v>
      </c>
      <c r="D7" s="194">
        <f t="shared" si="1"/>
        <v>47830.000000000007</v>
      </c>
      <c r="E7" s="194">
        <f t="shared" si="1"/>
        <v>42794</v>
      </c>
      <c r="F7" s="194">
        <f t="shared" si="1"/>
        <v>40097</v>
      </c>
      <c r="G7" s="194">
        <f t="shared" si="1"/>
        <v>38238</v>
      </c>
      <c r="H7" s="196">
        <f t="shared" si="1"/>
        <v>38620.379999999997</v>
      </c>
      <c r="I7" s="194">
        <f t="shared" si="1"/>
        <v>38774.861519999999</v>
      </c>
      <c r="J7" s="194">
        <f t="shared" si="1"/>
        <v>39591.682556999993</v>
      </c>
      <c r="K7" s="194">
        <f t="shared" si="1"/>
        <v>40895.307304639195</v>
      </c>
      <c r="L7" s="194">
        <f t="shared" si="1"/>
        <v>42006.853592348401</v>
      </c>
      <c r="M7" s="194">
        <f t="shared" si="1"/>
        <v>42846.990664195364</v>
      </c>
    </row>
    <row r="8" spans="2:14">
      <c r="B8" s="195" t="s">
        <v>514</v>
      </c>
      <c r="C8" s="201"/>
      <c r="D8" s="201"/>
      <c r="E8" s="201"/>
      <c r="F8" s="201"/>
      <c r="G8" s="201"/>
      <c r="H8" s="202"/>
      <c r="I8" s="201"/>
      <c r="J8" s="213"/>
      <c r="K8" s="213"/>
      <c r="L8" s="213"/>
      <c r="M8" s="213"/>
    </row>
    <row r="9" spans="2:14">
      <c r="B9" s="205" t="s">
        <v>515</v>
      </c>
      <c r="C9" s="206">
        <f>'Revenue Build - Top Down'!D51</f>
        <v>4511.45</v>
      </c>
      <c r="D9" s="206">
        <f>'Revenue Build - Top Down'!E51</f>
        <v>4481.1539999999995</v>
      </c>
      <c r="E9" s="206">
        <f>'Revenue Build - Top Down'!F51</f>
        <v>3737.6459999999997</v>
      </c>
      <c r="F9" s="206">
        <f>'Revenue Build - Top Down'!G51</f>
        <v>3402.3563749999998</v>
      </c>
      <c r="G9" s="206">
        <f>'Revenue Build - Top Down'!H51</f>
        <v>3338.2249999999999</v>
      </c>
      <c r="H9" s="207">
        <f>'Revenue Build - Top Down'!I51</f>
        <v>3365.6699999999996</v>
      </c>
      <c r="I9" s="206">
        <f>H9*(1+Assumptions!B8)</f>
        <v>3399.3266999999996</v>
      </c>
      <c r="J9" s="206">
        <f>I9*(1+Assumptions!C8)</f>
        <v>3450.3166004999994</v>
      </c>
      <c r="K9" s="206">
        <f>J9*(1+Assumptions!D8)</f>
        <v>3519.3229325099992</v>
      </c>
      <c r="L9" s="206">
        <f>K9*(1+Assumptions!E8)</f>
        <v>3589.7093911601992</v>
      </c>
      <c r="M9" s="206">
        <f>L9*(1+Assumptions!F8)</f>
        <v>3661.5035789834033</v>
      </c>
    </row>
    <row r="10" spans="2:14">
      <c r="B10" s="210" t="s">
        <v>516</v>
      </c>
      <c r="C10" s="211">
        <f t="shared" ref="C10:M10" si="2">C7+C9</f>
        <v>47804.45</v>
      </c>
      <c r="D10" s="211">
        <f t="shared" si="2"/>
        <v>52311.15400000001</v>
      </c>
      <c r="E10" s="211">
        <f t="shared" si="2"/>
        <v>46531.646000000001</v>
      </c>
      <c r="F10" s="211">
        <f t="shared" si="2"/>
        <v>43499.356375000003</v>
      </c>
      <c r="G10" s="211">
        <f t="shared" si="2"/>
        <v>41576.224999999999</v>
      </c>
      <c r="H10" s="553">
        <f t="shared" si="2"/>
        <v>41986.049999999996</v>
      </c>
      <c r="I10" s="211">
        <f t="shared" si="2"/>
        <v>42174.188219999996</v>
      </c>
      <c r="J10" s="211">
        <f t="shared" si="2"/>
        <v>43041.999157499995</v>
      </c>
      <c r="K10" s="211">
        <f t="shared" si="2"/>
        <v>44414.630237149191</v>
      </c>
      <c r="L10" s="211">
        <f t="shared" si="2"/>
        <v>45596.5629835086</v>
      </c>
      <c r="M10" s="211">
        <f t="shared" si="2"/>
        <v>46508.494243178764</v>
      </c>
    </row>
    <row r="11" spans="2:14">
      <c r="H11" s="196"/>
    </row>
    <row r="12" spans="2:14">
      <c r="B12" s="246" t="s">
        <v>517</v>
      </c>
      <c r="C12" s="247">
        <f>C10-'Revenue Build - Top Down'!D69</f>
        <v>542.44999999999709</v>
      </c>
      <c r="D12" s="248">
        <f>D10-'Revenue Build - Top Down'!E69</f>
        <v>550.15400000000955</v>
      </c>
      <c r="E12" s="248">
        <f>E10-'Revenue Build - Top Down'!F69</f>
        <v>233.64600000000064</v>
      </c>
      <c r="F12" s="248">
        <f>F10-'Revenue Build - Top Down'!G69</f>
        <v>47.356375000003027</v>
      </c>
      <c r="G12" s="248">
        <f>G10-'Revenue Build - Top Down'!H69</f>
        <v>48.224999999998545</v>
      </c>
      <c r="H12" s="554">
        <f>H10-'Revenue Build - Top Down'!I69</f>
        <v>295.04999999999563</v>
      </c>
      <c r="I12" s="248">
        <f>I10-'Revenue Build - Top Down'!J69</f>
        <v>318.55821999999898</v>
      </c>
      <c r="J12" s="248">
        <f>J10-'Revenue Build - Top Down'!K69</f>
        <v>-36.555042500003765</v>
      </c>
      <c r="K12" s="248">
        <f>K10-'Revenue Build - Top Down'!L69</f>
        <v>135.75653114919987</v>
      </c>
      <c r="L12" s="248">
        <f>L10-'Revenue Build - Top Down'!M69</f>
        <v>312.29104388860287</v>
      </c>
      <c r="M12" s="248">
        <f>M10-'Revenue Build - Top Down'!N69</f>
        <v>198.13058136136533</v>
      </c>
    </row>
    <row r="13" spans="2:14">
      <c r="B13" s="194" t="s">
        <v>518</v>
      </c>
      <c r="H13" s="196"/>
    </row>
    <row r="14" spans="2:14">
      <c r="B14" s="195" t="s">
        <v>519</v>
      </c>
      <c r="C14" s="201"/>
      <c r="D14" s="201"/>
      <c r="E14" s="201"/>
      <c r="F14" s="201"/>
      <c r="G14" s="201"/>
      <c r="H14" s="202"/>
      <c r="I14" s="201"/>
      <c r="J14" s="201"/>
      <c r="K14" s="213"/>
      <c r="L14" s="213"/>
      <c r="M14" s="213"/>
    </row>
    <row r="15" spans="2:14">
      <c r="B15" s="60" t="s">
        <v>520</v>
      </c>
      <c r="C15" s="203">
        <f>'Revenue Build - Top Down'!D9</f>
        <v>0.33</v>
      </c>
      <c r="D15" s="203">
        <f>'Revenue Build - Top Down'!E9</f>
        <v>0.36</v>
      </c>
      <c r="E15" s="203">
        <f>'Revenue Build - Top Down'!F9</f>
        <v>0.34</v>
      </c>
      <c r="F15" s="203">
        <f>'Revenue Build - Top Down'!G9</f>
        <v>0.38</v>
      </c>
      <c r="G15" s="203">
        <f>'Revenue Build - Top Down'!H9</f>
        <v>0.39500000000000002</v>
      </c>
      <c r="H15" s="204">
        <f>'Revenue Build - Top Down'!I9</f>
        <v>0.39</v>
      </c>
      <c r="I15" s="203">
        <f>Assumptions!B9</f>
        <v>0.4</v>
      </c>
      <c r="J15" s="203">
        <f>Assumptions!C9</f>
        <v>0.41</v>
      </c>
      <c r="K15" s="203">
        <f>Assumptions!D9</f>
        <v>0.42</v>
      </c>
      <c r="L15" s="203">
        <f>Assumptions!E9</f>
        <v>0.43</v>
      </c>
      <c r="M15" s="203">
        <f>Assumptions!F9</f>
        <v>0.44</v>
      </c>
    </row>
    <row r="16" spans="2:14">
      <c r="B16" s="205" t="s">
        <v>521</v>
      </c>
      <c r="C16" s="194">
        <f t="shared" ref="C16:M16" si="3">C15*C7</f>
        <v>14286.69</v>
      </c>
      <c r="D16" s="194">
        <f t="shared" si="3"/>
        <v>17218.800000000003</v>
      </c>
      <c r="E16" s="194">
        <f t="shared" si="3"/>
        <v>14549.960000000001</v>
      </c>
      <c r="F16" s="194">
        <f t="shared" si="3"/>
        <v>15236.86</v>
      </c>
      <c r="G16" s="194">
        <f t="shared" si="3"/>
        <v>15104.01</v>
      </c>
      <c r="H16" s="196">
        <f t="shared" si="3"/>
        <v>15061.948199999999</v>
      </c>
      <c r="I16" s="194">
        <f t="shared" si="3"/>
        <v>15509.944608</v>
      </c>
      <c r="J16" s="194">
        <f t="shared" si="3"/>
        <v>16232.589848369997</v>
      </c>
      <c r="K16" s="194">
        <f t="shared" si="3"/>
        <v>17176.029067948461</v>
      </c>
      <c r="L16" s="194">
        <f t="shared" si="3"/>
        <v>18062.947044709814</v>
      </c>
      <c r="M16" s="194">
        <f t="shared" si="3"/>
        <v>18852.675892245959</v>
      </c>
    </row>
    <row r="17" spans="2:13">
      <c r="B17" s="195" t="s">
        <v>522</v>
      </c>
      <c r="C17" s="201"/>
      <c r="D17" s="201"/>
      <c r="E17" s="201"/>
      <c r="F17" s="201"/>
      <c r="G17" s="201"/>
      <c r="H17" s="202"/>
      <c r="I17" s="201"/>
      <c r="J17" s="213"/>
      <c r="K17" s="213"/>
      <c r="L17" s="213"/>
      <c r="M17" s="213"/>
    </row>
    <row r="18" spans="2:13">
      <c r="B18" s="205" t="s">
        <v>523</v>
      </c>
      <c r="C18" s="208">
        <f>'Revenue Build - Top Down'!D67</f>
        <v>2252</v>
      </c>
      <c r="D18" s="208">
        <f>'Revenue Build - Top Down'!E67</f>
        <v>2380</v>
      </c>
      <c r="E18" s="208">
        <f>'Revenue Build - Top Down'!F67</f>
        <v>2332</v>
      </c>
      <c r="F18" s="208">
        <f>'Revenue Build - Top Down'!G67</f>
        <v>2530</v>
      </c>
      <c r="G18" s="208">
        <f>'Revenue Build - Top Down'!H67</f>
        <v>2631</v>
      </c>
      <c r="H18" s="209">
        <f>'Revenue Build - Top Down'!I67</f>
        <v>2656</v>
      </c>
      <c r="I18" s="206">
        <f>H18*(1+Assumptions!B26)</f>
        <v>2948.1600000000003</v>
      </c>
      <c r="J18" s="245">
        <f>I18*(1+Assumptions!C26)</f>
        <v>3301.9392000000007</v>
      </c>
      <c r="K18" s="245">
        <f>J18*(1+Assumptions!D26)</f>
        <v>3698.1719040000012</v>
      </c>
      <c r="L18" s="245">
        <f>K18*(1+Assumptions!E26)</f>
        <v>4067.9890944000017</v>
      </c>
      <c r="M18" s="245">
        <f>L18*(1+Assumptions!F26)</f>
        <v>4434.1081128960022</v>
      </c>
    </row>
    <row r="19" spans="2:13">
      <c r="B19" s="205"/>
    </row>
  </sheetData>
  <mergeCells count="2">
    <mergeCell ref="B2:J2"/>
    <mergeCell ref="B1:M1"/>
  </mergeCells>
  <pageMargins left="0.75" right="0.75" top="1" bottom="1" header="0.5" footer="0.5"/>
  <pageSetup orientation="portrait" horizontalDpi="0" verticalDpi="0"/>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242137-17AD-4929-B25B-C6C345421939}">
  <sheetPr>
    <tabColor theme="9" tint="-0.249977111117893"/>
  </sheetPr>
  <dimension ref="B1:N53"/>
  <sheetViews>
    <sheetView showGridLines="0" topLeftCell="A2" zoomScale="99" workbookViewId="0">
      <selection activeCell="M8" sqref="M8"/>
    </sheetView>
  </sheetViews>
  <sheetFormatPr baseColWidth="10" defaultColWidth="8.83203125" defaultRowHeight="13"/>
  <cols>
    <col min="1" max="1" width="3.6640625" customWidth="1"/>
    <col min="2" max="2" width="36" customWidth="1"/>
    <col min="3" max="3" width="11.33203125" bestFit="1" customWidth="1"/>
    <col min="5" max="5" width="13.5" bestFit="1" customWidth="1"/>
    <col min="7" max="7" width="8.5" bestFit="1" customWidth="1"/>
    <col min="9" max="9" width="11.5" customWidth="1"/>
  </cols>
  <sheetData>
    <row r="1" spans="2:14" ht="18">
      <c r="B1" s="646" t="s">
        <v>524</v>
      </c>
      <c r="C1" s="646"/>
      <c r="D1" s="646"/>
      <c r="E1" s="646"/>
      <c r="F1" s="646"/>
      <c r="G1" s="646"/>
      <c r="H1" s="646"/>
      <c r="J1" s="19"/>
    </row>
    <row r="2" spans="2:14">
      <c r="B2" s="647" t="s">
        <v>525</v>
      </c>
      <c r="C2" s="647"/>
      <c r="D2" s="647"/>
      <c r="E2" s="647"/>
      <c r="F2" s="647"/>
      <c r="G2" s="647"/>
      <c r="H2" s="647"/>
      <c r="J2" s="25"/>
    </row>
    <row r="3" spans="2:14">
      <c r="B3" s="182" t="s">
        <v>526</v>
      </c>
      <c r="C3" s="461">
        <f>WACC!C22</f>
        <v>0.10490729436769394</v>
      </c>
      <c r="D3" s="269"/>
      <c r="E3" s="269"/>
      <c r="F3" s="269"/>
      <c r="G3" s="269"/>
      <c r="H3" s="269"/>
      <c r="J3" s="25"/>
    </row>
    <row r="4" spans="2:14">
      <c r="B4" s="182" t="s">
        <v>527</v>
      </c>
      <c r="C4" s="268">
        <f>Assumptions!B30</f>
        <v>0.02</v>
      </c>
      <c r="D4" s="269"/>
      <c r="E4" s="269"/>
      <c r="F4" s="269"/>
      <c r="G4" s="269"/>
      <c r="H4" s="269"/>
      <c r="J4" s="25"/>
    </row>
    <row r="5" spans="2:14">
      <c r="B5" s="35" t="s">
        <v>120</v>
      </c>
      <c r="C5" s="405" t="s">
        <v>127</v>
      </c>
      <c r="D5" s="405" t="s">
        <v>36</v>
      </c>
      <c r="E5" s="405" t="s">
        <v>37</v>
      </c>
      <c r="F5" s="405" t="s">
        <v>38</v>
      </c>
      <c r="G5" s="405" t="s">
        <v>39</v>
      </c>
      <c r="H5" s="405" t="s">
        <v>40</v>
      </c>
      <c r="I5" s="404"/>
    </row>
    <row r="6" spans="2:14">
      <c r="B6" s="182" t="s">
        <v>165</v>
      </c>
      <c r="C6" s="183">
        <f>'Revenue Build - Top Down'!I69</f>
        <v>41691</v>
      </c>
      <c r="D6" s="183">
        <f>'Revenue Build - Top Down'!J69</f>
        <v>41855.629999999997</v>
      </c>
      <c r="E6" s="183">
        <f>'Revenue Build - Top Down'!K69</f>
        <v>43078.554199999999</v>
      </c>
      <c r="F6" s="183">
        <f>'Revenue Build - Top Down'!L69</f>
        <v>44278.873705999991</v>
      </c>
      <c r="G6" s="183">
        <f>'Revenue Build - Top Down'!M69</f>
        <v>45284.271939619997</v>
      </c>
      <c r="H6" s="183">
        <f>'Revenue Build - Top Down'!N69</f>
        <v>46310.363661817399</v>
      </c>
      <c r="I6" s="450"/>
    </row>
    <row r="7" spans="2:14">
      <c r="B7" s="112" t="s">
        <v>528</v>
      </c>
      <c r="C7" s="112"/>
      <c r="D7" s="112"/>
      <c r="E7" s="112"/>
      <c r="F7" s="112"/>
      <c r="G7" s="112"/>
      <c r="H7" s="112"/>
    </row>
    <row r="8" spans="2:14">
      <c r="B8" s="275" t="s">
        <v>529</v>
      </c>
      <c r="C8" s="277">
        <f>'Pro Forma Income Statement'!F15</f>
        <v>1763.8963350028898</v>
      </c>
      <c r="D8" s="277">
        <f>D6*Assumptions!B37</f>
        <v>1799.7920899999997</v>
      </c>
      <c r="E8" s="277">
        <f>E6*Assumptions!C37</f>
        <v>1981.6134932</v>
      </c>
      <c r="F8" s="277">
        <f>F6*Assumptions!D37</f>
        <v>2169.6648115939997</v>
      </c>
      <c r="G8" s="277">
        <f>G6*Assumptions!E37</f>
        <v>2309.4978689206196</v>
      </c>
      <c r="H8" s="277">
        <f>H6*Assumptions!F37</f>
        <v>2454.4492740763221</v>
      </c>
      <c r="I8" s="272">
        <f>(D8-C8)/C8</f>
        <v>2.0350263382712369E-2</v>
      </c>
      <c r="J8" s="272">
        <f>(E8-$C$8)/$C$8</f>
        <v>0.12342967887438434</v>
      </c>
      <c r="K8" s="272">
        <f t="shared" ref="K8:L8" si="0">(F8-$C$8)/$C$8</f>
        <v>0.23004099988134796</v>
      </c>
      <c r="L8" s="272">
        <f t="shared" si="0"/>
        <v>0.30931609930287418</v>
      </c>
      <c r="M8" s="272">
        <f>(H8-$C$8)/$C$8</f>
        <v>0.391492926976517</v>
      </c>
      <c r="N8" s="272"/>
    </row>
    <row r="9" spans="2:14">
      <c r="B9" s="184" t="s">
        <v>530</v>
      </c>
      <c r="C9" s="187">
        <f>Assumptions!B33*C8</f>
        <v>423.33512040069354</v>
      </c>
      <c r="D9" s="187">
        <f>Assumptions!B33*D8</f>
        <v>431.95010159999993</v>
      </c>
      <c r="E9" s="187">
        <f>Assumptions!C33*E8</f>
        <v>475.58723836799999</v>
      </c>
      <c r="F9" s="187">
        <f>Assumptions!D33*F8</f>
        <v>520.71955478255995</v>
      </c>
      <c r="G9" s="187">
        <f>Assumptions!E33*G8</f>
        <v>554.27948854094871</v>
      </c>
      <c r="H9" s="187">
        <f>Assumptions!F33*H8</f>
        <v>589.06782577831734</v>
      </c>
      <c r="I9" s="187"/>
    </row>
    <row r="10" spans="2:14">
      <c r="B10" s="278" t="s">
        <v>531</v>
      </c>
      <c r="C10" s="279">
        <f>C8-C9</f>
        <v>1340.5612146021963</v>
      </c>
      <c r="D10" s="279">
        <f>D8-D9</f>
        <v>1367.8419883999998</v>
      </c>
      <c r="E10" s="279">
        <f t="shared" ref="E10:H10" si="1">E8-E9</f>
        <v>1506.0262548319999</v>
      </c>
      <c r="F10" s="279">
        <f t="shared" si="1"/>
        <v>1648.9452568114398</v>
      </c>
      <c r="G10" s="279">
        <f t="shared" si="1"/>
        <v>1755.2183803796709</v>
      </c>
      <c r="H10" s="279">
        <f t="shared" si="1"/>
        <v>1865.3814482980047</v>
      </c>
    </row>
    <row r="11" spans="2:14">
      <c r="B11" s="184" t="s">
        <v>532</v>
      </c>
      <c r="C11" s="184"/>
      <c r="D11" s="187">
        <f>Assumptions!B34</f>
        <v>800</v>
      </c>
      <c r="E11" s="187">
        <f>Assumptions!C34</f>
        <v>793</v>
      </c>
      <c r="F11" s="187">
        <f>Assumptions!D34</f>
        <v>782</v>
      </c>
      <c r="G11" s="187">
        <f>Assumptions!E34</f>
        <v>772</v>
      </c>
      <c r="H11" s="187">
        <f>Assumptions!F34</f>
        <v>762</v>
      </c>
    </row>
    <row r="12" spans="2:14">
      <c r="B12" s="184" t="s">
        <v>533</v>
      </c>
      <c r="C12" s="184">
        <f>-'Historical Cash Flow'!G30</f>
        <v>704</v>
      </c>
      <c r="D12" s="187">
        <f>Assumptions!B35</f>
        <v>750</v>
      </c>
      <c r="E12" s="187">
        <f>Assumptions!C35</f>
        <v>710</v>
      </c>
      <c r="F12" s="187">
        <f>Assumptions!D35</f>
        <v>700</v>
      </c>
      <c r="G12" s="187">
        <f>Assumptions!E35</f>
        <v>690</v>
      </c>
      <c r="H12" s="187">
        <f>Assumptions!F35</f>
        <v>680</v>
      </c>
    </row>
    <row r="13" spans="2:14">
      <c r="B13" s="184" t="s">
        <v>534</v>
      </c>
      <c r="C13" s="184"/>
      <c r="D13" s="187">
        <f>Assumptions!B36</f>
        <v>75</v>
      </c>
      <c r="E13" s="187">
        <f>Assumptions!C36</f>
        <v>50</v>
      </c>
      <c r="F13" s="187">
        <f>Assumptions!D36</f>
        <v>35</v>
      </c>
      <c r="G13" s="187">
        <f>Assumptions!E36</f>
        <v>25</v>
      </c>
      <c r="H13" s="187">
        <f>Assumptions!F36</f>
        <v>20</v>
      </c>
    </row>
    <row r="14" spans="2:14">
      <c r="B14" s="275" t="s">
        <v>535</v>
      </c>
      <c r="C14" s="276">
        <f>'Historical Cash Flow'!G28+('Historical Cash Flow'!G59*Assumptions!B33)-C12</f>
        <v>1268.56</v>
      </c>
      <c r="D14" s="276">
        <f>D10+D11-D12-D13</f>
        <v>1342.8419883999995</v>
      </c>
      <c r="E14" s="276">
        <f>E10+E11-E12-E13</f>
        <v>1539.0262548319997</v>
      </c>
      <c r="F14" s="276">
        <f>F10+F11-F12-F13</f>
        <v>1695.9452568114398</v>
      </c>
      <c r="G14" s="276">
        <f>G10+G11-G12-G13</f>
        <v>1812.2183803796706</v>
      </c>
      <c r="H14" s="276">
        <f>H10+H11-H12-H13</f>
        <v>1927.3814482980047</v>
      </c>
      <c r="I14" s="450"/>
      <c r="J14" s="451"/>
    </row>
    <row r="15" spans="2:14">
      <c r="B15" s="263" t="s">
        <v>536</v>
      </c>
      <c r="C15" s="263" t="s">
        <v>245</v>
      </c>
      <c r="D15" s="264">
        <f>D14/(1+$C$3)^1</f>
        <v>1215.3435815341129</v>
      </c>
      <c r="E15" s="264">
        <f>E14/(1+$C$3)^1</f>
        <v>1392.900800526201</v>
      </c>
      <c r="F15" s="264">
        <f>F14/(1+$C$3)^1</f>
        <v>1534.9208621000005</v>
      </c>
      <c r="G15" s="264">
        <f>G14/(1+$C$3)^1</f>
        <v>1640.1542370274153</v>
      </c>
      <c r="H15" s="264">
        <f>H14/(1+$C$3)^1</f>
        <v>1744.382952418636</v>
      </c>
    </row>
    <row r="16" spans="2:14">
      <c r="B16" s="112" t="s">
        <v>537</v>
      </c>
      <c r="C16" s="112"/>
      <c r="D16" s="112"/>
      <c r="E16" s="112"/>
      <c r="F16" s="112"/>
      <c r="G16" s="112"/>
      <c r="H16" s="112"/>
    </row>
    <row r="17" spans="2:8" ht="15">
      <c r="B17" s="184" t="s">
        <v>538</v>
      </c>
      <c r="C17" s="184"/>
      <c r="D17" s="181"/>
      <c r="E17" s="181"/>
      <c r="F17" s="181"/>
      <c r="G17" s="181"/>
      <c r="H17" s="187">
        <f>(H14*(1+$C$4))/($C$3-$C$4)</f>
        <v>23153.830208632509</v>
      </c>
    </row>
    <row r="18" spans="2:8" ht="15">
      <c r="B18" s="184" t="s">
        <v>539</v>
      </c>
      <c r="C18" s="181"/>
      <c r="D18" s="181"/>
      <c r="E18" s="181"/>
      <c r="F18" s="181"/>
      <c r="G18" s="181"/>
      <c r="H18" s="187">
        <f>H17/(1+C3)^5</f>
        <v>14060.269356874785</v>
      </c>
    </row>
    <row r="19" spans="2:8">
      <c r="B19" s="112" t="s">
        <v>540</v>
      </c>
      <c r="C19" s="112"/>
      <c r="D19" s="112"/>
      <c r="E19" s="112"/>
      <c r="F19" s="112"/>
      <c r="G19" s="112"/>
      <c r="H19" s="112"/>
    </row>
    <row r="20" spans="2:8" ht="15">
      <c r="B20" s="184" t="s">
        <v>541</v>
      </c>
      <c r="C20" s="187">
        <f>SUM(D15:H15)</f>
        <v>7527.702433606366</v>
      </c>
      <c r="D20" s="181"/>
    </row>
    <row r="21" spans="2:8" ht="15">
      <c r="B21" s="184" t="s">
        <v>539</v>
      </c>
      <c r="C21" s="187">
        <f>H18</f>
        <v>14060.269356874785</v>
      </c>
      <c r="D21" s="181"/>
    </row>
    <row r="22" spans="2:8" ht="15">
      <c r="B22" s="188" t="s">
        <v>542</v>
      </c>
      <c r="C22" s="189">
        <f>C21/C23</f>
        <v>0.65130108068208714</v>
      </c>
      <c r="D22" s="181"/>
    </row>
    <row r="23" spans="2:8" ht="16" thickBot="1">
      <c r="B23" s="263" t="s">
        <v>543</v>
      </c>
      <c r="C23" s="280">
        <f>C21+C20</f>
        <v>21587.971790481151</v>
      </c>
      <c r="D23" s="181"/>
    </row>
    <row r="24" spans="2:8" ht="16" thickTop="1">
      <c r="B24" s="184" t="s">
        <v>544</v>
      </c>
      <c r="C24" s="187">
        <v>-1155</v>
      </c>
      <c r="D24" s="181"/>
    </row>
    <row r="25" spans="2:8" ht="16" thickBot="1">
      <c r="B25" s="263" t="s">
        <v>545</v>
      </c>
      <c r="C25" s="280">
        <f>C23+C24</f>
        <v>20432.971790481151</v>
      </c>
      <c r="D25" s="181"/>
    </row>
    <row r="26" spans="2:8" ht="16" thickTop="1">
      <c r="B26" s="181"/>
      <c r="C26" s="181"/>
      <c r="D26" s="181"/>
    </row>
    <row r="27" spans="2:8" ht="15">
      <c r="B27" s="184" t="s">
        <v>546</v>
      </c>
      <c r="C27" s="184">
        <v>210</v>
      </c>
      <c r="D27" s="181"/>
    </row>
    <row r="28" spans="2:8" ht="15">
      <c r="B28" s="181"/>
      <c r="C28" s="181"/>
      <c r="D28" s="181"/>
      <c r="E28" s="181"/>
      <c r="F28" s="181"/>
      <c r="G28" s="181"/>
      <c r="H28" s="181"/>
    </row>
    <row r="29" spans="2:8" ht="17" thickBot="1">
      <c r="B29" s="270" t="s">
        <v>547</v>
      </c>
      <c r="C29" s="271">
        <f>C25/C27</f>
        <v>97.299865668957864</v>
      </c>
      <c r="D29" s="181" t="s">
        <v>245</v>
      </c>
      <c r="E29" s="375"/>
      <c r="F29" s="376"/>
      <c r="G29" s="181" t="s">
        <v>245</v>
      </c>
      <c r="H29" s="181" t="s">
        <v>245</v>
      </c>
    </row>
    <row r="30" spans="2:8" ht="17" thickTop="1">
      <c r="B30" s="409"/>
      <c r="C30" s="410"/>
      <c r="D30" s="181"/>
      <c r="E30" s="411"/>
      <c r="F30" s="376"/>
      <c r="G30" s="181"/>
      <c r="H30" s="181"/>
    </row>
    <row r="31" spans="2:8">
      <c r="B31" s="112" t="s">
        <v>548</v>
      </c>
      <c r="C31" s="112"/>
      <c r="D31" s="112"/>
      <c r="E31" s="112"/>
      <c r="F31" s="112"/>
      <c r="G31" s="112"/>
      <c r="H31" s="112"/>
    </row>
    <row r="32" spans="2:8" ht="15">
      <c r="B32" s="406" t="s">
        <v>391</v>
      </c>
      <c r="C32" s="407">
        <f>H8+H11</f>
        <v>3216.4492740763221</v>
      </c>
      <c r="D32" s="181"/>
      <c r="E32" s="181"/>
    </row>
    <row r="33" spans="2:14" ht="15">
      <c r="B33" s="406" t="s">
        <v>549</v>
      </c>
      <c r="C33" s="408">
        <v>5.2</v>
      </c>
      <c r="D33" s="181"/>
      <c r="E33" s="181"/>
    </row>
    <row r="34" spans="2:14" ht="16" thickBot="1">
      <c r="B34" s="264" t="s">
        <v>543</v>
      </c>
      <c r="C34" s="280">
        <f>C32*C33</f>
        <v>16725.536225196876</v>
      </c>
      <c r="D34" s="181"/>
      <c r="E34" s="181"/>
    </row>
    <row r="35" spans="2:14" ht="16" thickTop="1">
      <c r="B35" s="184" t="s">
        <v>544</v>
      </c>
      <c r="C35" s="407">
        <f>C24</f>
        <v>-1155</v>
      </c>
      <c r="D35" s="181"/>
      <c r="E35" s="181"/>
    </row>
    <row r="36" spans="2:14" ht="15">
      <c r="B36" s="263" t="s">
        <v>545</v>
      </c>
      <c r="C36" s="413">
        <f>C34-C35</f>
        <v>17880.536225196876</v>
      </c>
      <c r="D36" s="181"/>
      <c r="E36" s="181"/>
    </row>
    <row r="37" spans="2:14" ht="15">
      <c r="B37" s="181"/>
      <c r="C37" s="181"/>
      <c r="D37" s="181"/>
      <c r="E37" s="181"/>
    </row>
    <row r="38" spans="2:14" ht="16">
      <c r="B38" s="270" t="s">
        <v>547</v>
      </c>
      <c r="C38" s="412">
        <f>C36/C27</f>
        <v>85.145410596175608</v>
      </c>
      <c r="D38" s="181"/>
      <c r="E38" s="181"/>
    </row>
    <row r="39" spans="2:14">
      <c r="B39" s="399"/>
      <c r="C39" s="399"/>
      <c r="D39" s="399"/>
      <c r="E39" s="399"/>
      <c r="F39" s="399"/>
      <c r="G39" s="399"/>
      <c r="H39" s="399"/>
    </row>
    <row r="40" spans="2:14">
      <c r="B40" s="436" t="s">
        <v>550</v>
      </c>
      <c r="C40" s="382"/>
      <c r="D40" s="382"/>
      <c r="E40" s="382"/>
      <c r="F40" s="382"/>
      <c r="G40" s="382"/>
      <c r="H40" s="301"/>
      <c r="I40" s="436" t="s">
        <v>551</v>
      </c>
      <c r="J40" s="382"/>
      <c r="K40" s="382"/>
      <c r="L40" s="382"/>
      <c r="M40" s="382"/>
      <c r="N40" s="382"/>
    </row>
    <row r="41" spans="2:14">
      <c r="B41" s="281"/>
      <c r="C41" s="281"/>
      <c r="D41" s="281"/>
      <c r="E41" s="281"/>
      <c r="F41" s="281"/>
      <c r="G41" s="281"/>
      <c r="H41" s="281"/>
      <c r="I41" s="281"/>
      <c r="J41" s="281"/>
      <c r="K41" s="281"/>
      <c r="L41" s="281"/>
      <c r="M41" s="281"/>
      <c r="N41" s="281"/>
    </row>
    <row r="42" spans="2:14" ht="14">
      <c r="B42" s="297">
        <f>C29</f>
        <v>97.299865668957864</v>
      </c>
      <c r="C42" s="298">
        <v>9.5000000000000001E-2</v>
      </c>
      <c r="D42" s="298">
        <v>0.1</v>
      </c>
      <c r="E42" s="299">
        <v>0.105</v>
      </c>
      <c r="F42" s="298">
        <v>0.11</v>
      </c>
      <c r="G42" s="300">
        <v>0.115</v>
      </c>
      <c r="I42" s="417">
        <f>C38</f>
        <v>85.145410596175608</v>
      </c>
      <c r="J42" s="418">
        <v>9.5000000000000001E-2</v>
      </c>
      <c r="K42" s="418">
        <v>0.1</v>
      </c>
      <c r="L42" s="419">
        <v>0.105</v>
      </c>
      <c r="M42" s="418">
        <v>0.11</v>
      </c>
      <c r="N42" s="420">
        <v>0.115</v>
      </c>
    </row>
    <row r="43" spans="2:14" ht="17">
      <c r="B43" s="294">
        <v>0.01</v>
      </c>
      <c r="C43" s="282">
        <f t="dataTable" ref="C43:G47" dt2D="1" dtr="1" r1="C3" r2="C4"/>
        <v>99.946119591542114</v>
      </c>
      <c r="D43" s="282">
        <v>94.45954483028089</v>
      </c>
      <c r="E43" s="283">
        <v>89.572243497550829</v>
      </c>
      <c r="F43" s="284">
        <v>85.193412717645657</v>
      </c>
      <c r="G43" s="285">
        <v>81.249579683772097</v>
      </c>
      <c r="I43" s="421">
        <v>3.5</v>
      </c>
      <c r="J43" s="422">
        <f t="dataTable" ref="J43:N47" dt2D="1" dtr="1" r1="C3" r2="C33"/>
        <v>59.10748790127203</v>
      </c>
      <c r="K43" s="422">
        <v>59.10748790127203</v>
      </c>
      <c r="L43" s="423">
        <v>59.10748790127203</v>
      </c>
      <c r="M43" s="424">
        <v>59.10748790127203</v>
      </c>
      <c r="N43" s="425">
        <v>59.10748790127203</v>
      </c>
    </row>
    <row r="44" spans="2:14" ht="17">
      <c r="B44" s="294">
        <v>1.4999999999999999E-2</v>
      </c>
      <c r="C44" s="282">
        <v>104.64022669649081</v>
      </c>
      <c r="D44" s="282">
        <v>98.556735813189533</v>
      </c>
      <c r="E44" s="283">
        <v>93.172248939136423</v>
      </c>
      <c r="F44" s="284">
        <v>88.375432414353298</v>
      </c>
      <c r="G44" s="285">
        <v>84.077255486278943</v>
      </c>
      <c r="I44" s="426">
        <v>4</v>
      </c>
      <c r="J44" s="422">
        <v>66.765700458596612</v>
      </c>
      <c r="K44" s="422">
        <v>66.765700458596612</v>
      </c>
      <c r="L44" s="423">
        <v>66.765700458596612</v>
      </c>
      <c r="M44" s="424">
        <v>66.765700458596612</v>
      </c>
      <c r="N44" s="425">
        <v>66.765700458596612</v>
      </c>
    </row>
    <row r="45" spans="2:14" ht="17">
      <c r="B45" s="295">
        <v>0.02</v>
      </c>
      <c r="C45" s="283">
        <v>109.96021474876605</v>
      </c>
      <c r="D45" s="283">
        <v>103.1660756689618</v>
      </c>
      <c r="E45" s="286">
        <v>97.195784432673307</v>
      </c>
      <c r="F45" s="283">
        <v>91.911009855139554</v>
      </c>
      <c r="G45" s="287">
        <v>87.202581373260216</v>
      </c>
      <c r="I45" s="426">
        <v>4.62</v>
      </c>
      <c r="J45" s="423">
        <v>76.261884029679081</v>
      </c>
      <c r="K45" s="423">
        <v>76.261884029679081</v>
      </c>
      <c r="L45" s="427">
        <v>76.261884029679081</v>
      </c>
      <c r="M45" s="423">
        <v>76.261884029679081</v>
      </c>
      <c r="N45" s="428">
        <v>76.261884029679081</v>
      </c>
    </row>
    <row r="46" spans="2:14" ht="17">
      <c r="B46" s="294">
        <v>2.5000000000000001E-2</v>
      </c>
      <c r="C46" s="447">
        <v>116.04020109422345</v>
      </c>
      <c r="D46" s="447">
        <v>108.38999417217035</v>
      </c>
      <c r="E46" s="283">
        <v>101.72226186290227</v>
      </c>
      <c r="F46" s="282">
        <v>95.862537583077156</v>
      </c>
      <c r="G46" s="445">
        <v>90.675165692128317</v>
      </c>
      <c r="I46" s="426">
        <v>5</v>
      </c>
      <c r="J46" s="422">
        <v>82.082125573245762</v>
      </c>
      <c r="K46" s="422">
        <v>82.082125573245762</v>
      </c>
      <c r="L46" s="423">
        <v>82.082125573245762</v>
      </c>
      <c r="M46" s="429">
        <v>82.082125573245762</v>
      </c>
      <c r="N46" s="430">
        <v>82.082125573245762</v>
      </c>
    </row>
    <row r="47" spans="2:14" ht="17">
      <c r="B47" s="296">
        <v>0.03</v>
      </c>
      <c r="C47" s="448">
        <v>123.0555699543666</v>
      </c>
      <c r="D47" s="448">
        <v>114.36018674726583</v>
      </c>
      <c r="E47" s="291">
        <v>106.85226961716177</v>
      </c>
      <c r="F47" s="290">
        <v>100.30800627700692</v>
      </c>
      <c r="G47" s="446">
        <v>94.556289342627935</v>
      </c>
      <c r="I47" s="431">
        <v>5.5</v>
      </c>
      <c r="J47" s="432">
        <v>89.740338130570336</v>
      </c>
      <c r="K47" s="432">
        <v>89.740338130570336</v>
      </c>
      <c r="L47" s="433">
        <v>89.740338130570336</v>
      </c>
      <c r="M47" s="434">
        <v>89.740338130570336</v>
      </c>
      <c r="N47" s="435">
        <v>89.740338130570336</v>
      </c>
    </row>
    <row r="48" spans="2:14">
      <c r="C48" s="267"/>
      <c r="D48" s="267"/>
      <c r="E48" s="267"/>
      <c r="F48" s="267"/>
      <c r="G48" s="267"/>
    </row>
    <row r="49" spans="2:7">
      <c r="B49" s="345" t="s">
        <v>552</v>
      </c>
      <c r="C49" s="267"/>
      <c r="D49" s="267"/>
      <c r="E49" s="267"/>
      <c r="F49" s="267"/>
      <c r="G49" s="267"/>
    </row>
    <row r="50" spans="2:7">
      <c r="B50" s="274">
        <v>63.39</v>
      </c>
    </row>
    <row r="51" spans="2:7">
      <c r="B51" s="273">
        <f>(G43-B50)/B50</f>
        <v>0.28174127912560493</v>
      </c>
    </row>
    <row r="52" spans="2:7">
      <c r="B52" s="273">
        <f>(F44-B50)/B50</f>
        <v>0.39415416334363934</v>
      </c>
    </row>
    <row r="53" spans="2:7">
      <c r="B53" s="348" t="s">
        <v>553</v>
      </c>
    </row>
  </sheetData>
  <mergeCells count="2">
    <mergeCell ref="B1:H1"/>
    <mergeCell ref="B2:H2"/>
  </mergeCells>
  <pageMargins left="0.7" right="0.7" top="0.75" bottom="0.75" header="0.3" footer="0.3"/>
  <pageSetup orientation="portrait" horizontalDpi="0" verticalDpi="0"/>
  <legacyDrawing r:id="rId1"/>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661477-0525-4F3D-B6A6-5707834177AA}">
  <sheetPr>
    <tabColor theme="9" tint="-0.249977111117893"/>
  </sheetPr>
  <dimension ref="B1:O87"/>
  <sheetViews>
    <sheetView showGridLines="0" topLeftCell="A5" zoomScaleNormal="100" workbookViewId="0">
      <selection activeCell="O6" sqref="O6"/>
    </sheetView>
  </sheetViews>
  <sheetFormatPr baseColWidth="10" defaultColWidth="8.5" defaultRowHeight="13"/>
  <cols>
    <col min="1" max="1" width="3.6640625" style="36" customWidth="1"/>
    <col min="2" max="2" width="41.6640625" style="36" bestFit="1" customWidth="1"/>
    <col min="3" max="3" width="8.1640625" style="103" customWidth="1"/>
    <col min="4" max="14" width="11.1640625" style="36" bestFit="1" customWidth="1"/>
    <col min="15" max="16384" width="8.5" style="36"/>
  </cols>
  <sheetData>
    <row r="1" spans="2:15" ht="20">
      <c r="B1" s="643" t="s">
        <v>554</v>
      </c>
      <c r="C1" s="643"/>
      <c r="D1" s="643"/>
      <c r="E1" s="643"/>
      <c r="F1" s="643"/>
      <c r="G1" s="643"/>
      <c r="H1" s="643"/>
      <c r="I1" s="643"/>
      <c r="J1" s="643"/>
      <c r="K1" s="643"/>
      <c r="L1" s="643"/>
      <c r="M1" s="643"/>
      <c r="N1" s="551"/>
      <c r="O1"/>
    </row>
    <row r="3" spans="2:15" ht="12.75" customHeight="1">
      <c r="B3" s="35" t="s">
        <v>120</v>
      </c>
      <c r="C3" s="110" t="s">
        <v>121</v>
      </c>
      <c r="D3" s="35" t="s">
        <v>122</v>
      </c>
      <c r="E3" s="35" t="s">
        <v>123</v>
      </c>
      <c r="F3" s="35" t="s">
        <v>124</v>
      </c>
      <c r="G3" s="35" t="s">
        <v>125</v>
      </c>
      <c r="H3" s="35" t="s">
        <v>126</v>
      </c>
      <c r="I3" s="193" t="s">
        <v>127</v>
      </c>
      <c r="J3" s="35" t="s">
        <v>36</v>
      </c>
      <c r="K3" s="35" t="s">
        <v>37</v>
      </c>
      <c r="L3" s="35" t="s">
        <v>38</v>
      </c>
      <c r="M3" s="35" t="s">
        <v>39</v>
      </c>
      <c r="N3" s="35" t="s">
        <v>40</v>
      </c>
      <c r="O3" s="51"/>
    </row>
    <row r="4" spans="2:15" ht="12.75" customHeight="1">
      <c r="B4" s="112" t="s">
        <v>201</v>
      </c>
      <c r="C4" s="113"/>
      <c r="D4" s="114"/>
      <c r="E4" s="114"/>
      <c r="F4" s="114"/>
      <c r="G4" s="114"/>
      <c r="H4" s="114"/>
      <c r="I4" s="215"/>
      <c r="J4" s="114"/>
      <c r="K4" s="114"/>
      <c r="L4" s="114"/>
      <c r="M4" s="114"/>
      <c r="N4" s="114"/>
    </row>
    <row r="5" spans="2:15" ht="12.75" customHeight="1">
      <c r="B5" s="39" t="s">
        <v>129</v>
      </c>
      <c r="C5" s="102"/>
      <c r="D5" s="40"/>
      <c r="E5" s="40"/>
      <c r="F5" s="40"/>
      <c r="G5" s="40"/>
      <c r="H5" s="40"/>
      <c r="I5" s="216"/>
      <c r="J5" s="59"/>
      <c r="K5" s="59"/>
      <c r="L5" s="59"/>
      <c r="M5" s="59"/>
      <c r="N5" s="59"/>
    </row>
    <row r="6" spans="2:15" ht="12" customHeight="1">
      <c r="B6" s="60" t="s">
        <v>130</v>
      </c>
      <c r="C6" s="103" t="s">
        <v>202</v>
      </c>
      <c r="D6" s="41">
        <f>'Industry Metrics'!G3</f>
        <v>9.7000000000000003E-2</v>
      </c>
      <c r="E6" s="41">
        <f>'Industry Metrics'!F3</f>
        <v>0.104</v>
      </c>
      <c r="F6" s="41">
        <f>'Industry Metrics'!E3</f>
        <v>-9.9000000000000005E-2</v>
      </c>
      <c r="G6" s="41">
        <f>'Industry Metrics'!D3</f>
        <v>-6.8000000000000005E-2</v>
      </c>
      <c r="H6" s="41">
        <f>'Industry Metrics'!C3</f>
        <v>-2.3E-2</v>
      </c>
      <c r="I6" s="217">
        <f>'Industry Metrics'!B3</f>
        <v>5.0000000000000001E-3</v>
      </c>
      <c r="J6" s="476">
        <v>-0.03</v>
      </c>
      <c r="K6" s="476">
        <v>0.01</v>
      </c>
      <c r="L6" s="476">
        <v>1.4999999999999999E-2</v>
      </c>
      <c r="M6" s="476">
        <f>Assumptions!E6</f>
        <v>0.02</v>
      </c>
      <c r="N6" s="476">
        <f>Assumptions!F6</f>
        <v>0.02</v>
      </c>
      <c r="O6" s="36" t="s">
        <v>555</v>
      </c>
    </row>
    <row r="7" spans="2:15" ht="12" customHeight="1">
      <c r="B7" s="60" t="s">
        <v>132</v>
      </c>
      <c r="C7" s="103" t="s">
        <v>202</v>
      </c>
      <c r="D7" s="41">
        <f>'Industry Metrics'!G4</f>
        <v>9.1999999999999998E-2</v>
      </c>
      <c r="E7" s="41">
        <f>'Industry Metrics'!F4</f>
        <v>0.11</v>
      </c>
      <c r="F7" s="41">
        <f>'Industry Metrics'!E4</f>
        <v>-0.10299999999999999</v>
      </c>
      <c r="G7" s="41">
        <f>'Industry Metrics'!D4</f>
        <v>-7.0999999999999994E-2</v>
      </c>
      <c r="H7" s="41">
        <f>'Industry Metrics'!C4</f>
        <v>-2.5000000000000001E-2</v>
      </c>
      <c r="I7" s="217">
        <f>'Industry Metrics'!B4</f>
        <v>4.0000000000000001E-3</v>
      </c>
      <c r="J7" s="476">
        <v>-0.03</v>
      </c>
      <c r="K7" s="476">
        <v>0.01</v>
      </c>
      <c r="L7" s="476">
        <v>1.4999999999999999E-2</v>
      </c>
      <c r="M7" s="476">
        <f>Assumptions!E7</f>
        <v>0.02</v>
      </c>
      <c r="N7" s="476">
        <f>Assumptions!F7</f>
        <v>0.02</v>
      </c>
    </row>
    <row r="8" spans="2:15" ht="12" customHeight="1">
      <c r="B8" s="60" t="s">
        <v>133</v>
      </c>
      <c r="C8" s="103" t="s">
        <v>202</v>
      </c>
      <c r="D8" s="41">
        <f>'Industry Metrics'!G5</f>
        <v>0.15</v>
      </c>
      <c r="E8" s="41">
        <f>'Industry Metrics'!F5</f>
        <v>3.3000000000000002E-2</v>
      </c>
      <c r="F8" s="41">
        <f>'Industry Metrics'!E5</f>
        <v>-5.3999999999999999E-2</v>
      </c>
      <c r="G8" s="41">
        <f>'Industry Metrics'!D5</f>
        <v>-3.2000000000000001E-2</v>
      </c>
      <c r="H8" s="41">
        <f>'Industry Metrics'!C5</f>
        <v>-5.0000000000000001E-3</v>
      </c>
      <c r="I8" s="217">
        <f>'Industry Metrics'!B5</f>
        <v>2.3E-2</v>
      </c>
      <c r="J8" s="476">
        <v>-0.03</v>
      </c>
      <c r="K8" s="476">
        <v>0.01</v>
      </c>
      <c r="L8" s="476">
        <v>1.4999999999999999E-2</v>
      </c>
      <c r="M8" s="476">
        <f>Assumptions!E8</f>
        <v>0.02</v>
      </c>
      <c r="N8" s="476">
        <f>Assumptions!F8</f>
        <v>0.02</v>
      </c>
    </row>
    <row r="9" spans="2:15" ht="12" customHeight="1">
      <c r="B9" s="105" t="s">
        <v>134</v>
      </c>
      <c r="C9" s="106" t="s">
        <v>202</v>
      </c>
      <c r="D9" s="107">
        <f>'Industry Metrics'!G9</f>
        <v>0.33</v>
      </c>
      <c r="E9" s="107">
        <f>'Industry Metrics'!F9</f>
        <v>0.36</v>
      </c>
      <c r="F9" s="107">
        <f>'Industry Metrics'!E9</f>
        <v>0.34</v>
      </c>
      <c r="G9" s="107">
        <f>'Industry Metrics'!D9</f>
        <v>0.38</v>
      </c>
      <c r="H9" s="108">
        <f>'Industry Metrics'!C9</f>
        <v>0.39500000000000002</v>
      </c>
      <c r="I9" s="218">
        <f>'Industry Metrics'!B9</f>
        <v>0.39</v>
      </c>
      <c r="J9" s="477">
        <f>Assumptions!B9</f>
        <v>0.4</v>
      </c>
      <c r="K9" s="477">
        <f>Assumptions!C9</f>
        <v>0.41</v>
      </c>
      <c r="L9" s="477">
        <f>Assumptions!D9</f>
        <v>0.42</v>
      </c>
      <c r="M9" s="477">
        <f>Assumptions!E9</f>
        <v>0.43</v>
      </c>
      <c r="N9" s="477">
        <f>Assumptions!F9</f>
        <v>0.44</v>
      </c>
    </row>
    <row r="10" spans="2:15" ht="12.75" customHeight="1">
      <c r="B10" s="37" t="s">
        <v>136</v>
      </c>
      <c r="C10" s="101"/>
      <c r="D10" s="38"/>
      <c r="E10" s="38"/>
      <c r="F10" s="38"/>
      <c r="G10" s="38"/>
      <c r="H10" s="38"/>
      <c r="I10" s="219"/>
      <c r="J10" s="58"/>
      <c r="K10" s="58"/>
      <c r="L10" s="58"/>
      <c r="M10" s="58"/>
      <c r="N10" s="58"/>
    </row>
    <row r="11" spans="2:15" ht="12" customHeight="1">
      <c r="B11" s="60" t="s">
        <v>137</v>
      </c>
      <c r="C11" s="103" t="s">
        <v>203</v>
      </c>
      <c r="D11" s="36">
        <f>'Industry Metrics'!G12</f>
        <v>1231</v>
      </c>
      <c r="E11" s="36">
        <f>'Industry Metrics'!F12</f>
        <v>1159</v>
      </c>
      <c r="F11" s="36">
        <f>'Industry Metrics'!E12</f>
        <v>1144</v>
      </c>
      <c r="G11" s="36">
        <f>'Industry Metrics'!D12</f>
        <v>1138</v>
      </c>
      <c r="H11" s="36">
        <f>'Industry Metrics'!C12</f>
        <v>1125</v>
      </c>
      <c r="I11" s="220">
        <f>'Industry Metrics'!B12</f>
        <v>1117</v>
      </c>
      <c r="J11" s="44">
        <f>I14</f>
        <v>1068</v>
      </c>
      <c r="K11" s="44">
        <f>J14</f>
        <v>1056</v>
      </c>
      <c r="L11" s="44">
        <f>K14</f>
        <v>1044</v>
      </c>
      <c r="M11" s="44">
        <f>L14</f>
        <v>1033</v>
      </c>
      <c r="N11" s="44">
        <f>M14</f>
        <v>1023</v>
      </c>
    </row>
    <row r="12" spans="2:15" ht="12" customHeight="1">
      <c r="B12" s="60" t="s">
        <v>138</v>
      </c>
      <c r="C12" s="103" t="s">
        <v>203</v>
      </c>
      <c r="D12" s="36">
        <f>'Industry Metrics'!G19</f>
        <v>3</v>
      </c>
      <c r="E12" s="36">
        <f>'Industry Metrics'!F19</f>
        <v>13</v>
      </c>
      <c r="F12" s="36">
        <f>'Industry Metrics'!E19</f>
        <v>9</v>
      </c>
      <c r="G12" s="36">
        <f>'Industry Metrics'!D20</f>
        <v>15</v>
      </c>
      <c r="H12" s="36">
        <f>'Industry Metrics'!C19</f>
        <v>0</v>
      </c>
      <c r="I12" s="220">
        <f>'Industry Metrics'!B20</f>
        <v>0</v>
      </c>
      <c r="J12" s="45">
        <f>Assumptions!B11</f>
        <v>6</v>
      </c>
      <c r="K12" s="45">
        <f>Assumptions!C11</f>
        <v>6</v>
      </c>
      <c r="L12" s="45">
        <f>Assumptions!D11</f>
        <v>5</v>
      </c>
      <c r="M12" s="45">
        <f>Assumptions!E11</f>
        <v>5</v>
      </c>
      <c r="N12" s="45">
        <f>Assumptions!F11</f>
        <v>5</v>
      </c>
    </row>
    <row r="13" spans="2:15" ht="12" customHeight="1">
      <c r="B13" s="60" t="s">
        <v>140</v>
      </c>
      <c r="C13" s="103" t="s">
        <v>203</v>
      </c>
      <c r="D13" s="36">
        <f>'Industry Metrics'!G23</f>
        <v>75</v>
      </c>
      <c r="E13" s="36">
        <f>'Industry Metrics'!F23</f>
        <v>28</v>
      </c>
      <c r="F13" s="36">
        <f>'Industry Metrics'!E23</f>
        <v>15</v>
      </c>
      <c r="G13" s="36">
        <f>'Industry Metrics'!D23</f>
        <v>28</v>
      </c>
      <c r="H13" s="36">
        <f>'Industry Metrics'!C23</f>
        <v>8</v>
      </c>
      <c r="I13" s="220">
        <f>'Industry Metrics'!B23</f>
        <v>49</v>
      </c>
      <c r="J13" s="45">
        <f>Assumptions!B12</f>
        <v>18</v>
      </c>
      <c r="K13" s="45">
        <f>Assumptions!C12</f>
        <v>18</v>
      </c>
      <c r="L13" s="45">
        <f>Assumptions!D12</f>
        <v>16</v>
      </c>
      <c r="M13" s="45">
        <f>Assumptions!E12</f>
        <v>15</v>
      </c>
      <c r="N13" s="45">
        <f>Assumptions!F12</f>
        <v>15</v>
      </c>
    </row>
    <row r="14" spans="2:15" ht="12" customHeight="1">
      <c r="B14" s="40" t="s">
        <v>142</v>
      </c>
      <c r="C14" s="102" t="s">
        <v>203</v>
      </c>
      <c r="D14" s="40">
        <f t="shared" ref="D14:N14" si="0">D11+D12-D13</f>
        <v>1159</v>
      </c>
      <c r="E14" s="40">
        <f t="shared" si="0"/>
        <v>1144</v>
      </c>
      <c r="F14" s="40">
        <f t="shared" si="0"/>
        <v>1138</v>
      </c>
      <c r="G14" s="40">
        <f t="shared" si="0"/>
        <v>1125</v>
      </c>
      <c r="H14" s="40">
        <f t="shared" si="0"/>
        <v>1117</v>
      </c>
      <c r="I14" s="216">
        <f t="shared" si="0"/>
        <v>1068</v>
      </c>
      <c r="J14" s="59">
        <f t="shared" si="0"/>
        <v>1056</v>
      </c>
      <c r="K14" s="59">
        <f t="shared" si="0"/>
        <v>1044</v>
      </c>
      <c r="L14" s="59">
        <f t="shared" si="0"/>
        <v>1033</v>
      </c>
      <c r="M14" s="59">
        <f t="shared" si="0"/>
        <v>1023</v>
      </c>
      <c r="N14" s="59">
        <f t="shared" si="0"/>
        <v>1013</v>
      </c>
    </row>
    <row r="15" spans="2:15" ht="12" customHeight="1">
      <c r="B15" s="60" t="s">
        <v>143</v>
      </c>
      <c r="C15" s="103" t="s">
        <v>203</v>
      </c>
      <c r="D15" s="36">
        <f t="shared" ref="D15:N15" si="1">(D11+D14)/2</f>
        <v>1195</v>
      </c>
      <c r="E15" s="36">
        <f t="shared" si="1"/>
        <v>1151.5</v>
      </c>
      <c r="F15" s="36">
        <f t="shared" si="1"/>
        <v>1141</v>
      </c>
      <c r="G15" s="36">
        <f t="shared" si="1"/>
        <v>1131.5</v>
      </c>
      <c r="H15" s="36">
        <f t="shared" si="1"/>
        <v>1121</v>
      </c>
      <c r="I15" s="220">
        <f t="shared" si="1"/>
        <v>1092.5</v>
      </c>
      <c r="J15" s="44">
        <f>(J11+J14)/2</f>
        <v>1062</v>
      </c>
      <c r="K15" s="44">
        <f t="shared" si="1"/>
        <v>1050</v>
      </c>
      <c r="L15" s="44">
        <f t="shared" si="1"/>
        <v>1038.5</v>
      </c>
      <c r="M15" s="44">
        <f t="shared" si="1"/>
        <v>1028</v>
      </c>
      <c r="N15" s="44">
        <f t="shared" si="1"/>
        <v>1018</v>
      </c>
    </row>
    <row r="16" spans="2:15" ht="12.75" customHeight="1">
      <c r="B16" s="37" t="s">
        <v>144</v>
      </c>
      <c r="C16" s="101" t="s">
        <v>203</v>
      </c>
      <c r="D16" s="38"/>
      <c r="E16" s="38"/>
      <c r="F16" s="38"/>
      <c r="G16" s="38"/>
      <c r="H16" s="38"/>
      <c r="I16" s="219"/>
      <c r="J16" s="58"/>
      <c r="K16" s="58"/>
      <c r="L16" s="58"/>
      <c r="M16" s="58"/>
      <c r="N16" s="58"/>
    </row>
    <row r="17" spans="2:14" ht="12" customHeight="1">
      <c r="B17" s="60" t="s">
        <v>137</v>
      </c>
      <c r="C17" s="103" t="s">
        <v>203</v>
      </c>
      <c r="D17" s="36">
        <f>'Industry Metrics'!G13</f>
        <v>1009</v>
      </c>
      <c r="E17" s="36">
        <f>'Industry Metrics'!F13</f>
        <v>991</v>
      </c>
      <c r="F17" s="36">
        <f>'Industry Metrics'!E13</f>
        <v>984</v>
      </c>
      <c r="G17" s="36">
        <f>'Industry Metrics'!D13</f>
        <v>978</v>
      </c>
      <c r="H17" s="36">
        <f>'Industry Metrics'!C13</f>
        <v>965</v>
      </c>
      <c r="I17" s="220">
        <f>'Industry Metrics'!B13</f>
        <v>957</v>
      </c>
      <c r="J17" s="44">
        <f>I20</f>
        <v>926</v>
      </c>
      <c r="K17" s="44">
        <f>J20</f>
        <v>917</v>
      </c>
      <c r="L17" s="44">
        <f>K20</f>
        <v>908</v>
      </c>
      <c r="M17" s="44">
        <f>L20</f>
        <v>899</v>
      </c>
      <c r="N17" s="44">
        <f>M20</f>
        <v>891</v>
      </c>
    </row>
    <row r="18" spans="2:14" ht="12" customHeight="1">
      <c r="B18" s="60" t="s">
        <v>138</v>
      </c>
      <c r="C18" s="103" t="s">
        <v>203</v>
      </c>
      <c r="D18" s="36">
        <f>'Industry Metrics'!G21</f>
        <v>3</v>
      </c>
      <c r="E18" s="36">
        <f>'Industry Metrics'!F21</f>
        <v>13</v>
      </c>
      <c r="F18" s="36">
        <f>'Industry Metrics'!E21</f>
        <v>9</v>
      </c>
      <c r="G18" s="36">
        <f>'Industry Metrics'!D21</f>
        <v>14</v>
      </c>
      <c r="H18" s="36">
        <f>'Industry Metrics'!C21</f>
        <v>0</v>
      </c>
      <c r="I18" s="220">
        <f>'Industry Metrics'!B21</f>
        <v>0</v>
      </c>
      <c r="J18" s="45">
        <f>Assumptions!B13</f>
        <v>6</v>
      </c>
      <c r="K18" s="45">
        <f>Assumptions!C13</f>
        <v>6</v>
      </c>
      <c r="L18" s="45">
        <f>Assumptions!D13</f>
        <v>5</v>
      </c>
      <c r="M18" s="45">
        <f>Assumptions!E13</f>
        <v>5</v>
      </c>
      <c r="N18" s="45">
        <f>Assumptions!F13</f>
        <v>5</v>
      </c>
    </row>
    <row r="19" spans="2:14" ht="12" customHeight="1">
      <c r="B19" s="60" t="s">
        <v>140</v>
      </c>
      <c r="C19" s="103" t="s">
        <v>203</v>
      </c>
      <c r="D19" s="36">
        <f>'Industry Metrics'!G24</f>
        <v>21</v>
      </c>
      <c r="E19" s="36">
        <f>'Industry Metrics'!F24</f>
        <v>20</v>
      </c>
      <c r="F19" s="36">
        <f>'Industry Metrics'!E24</f>
        <v>15</v>
      </c>
      <c r="G19" s="36">
        <f>'Industry Metrics'!D24</f>
        <v>27</v>
      </c>
      <c r="H19" s="36">
        <f>'Industry Metrics'!C24</f>
        <v>8</v>
      </c>
      <c r="I19" s="220">
        <f>'Industry Metrics'!B24</f>
        <v>31</v>
      </c>
      <c r="J19" s="45">
        <f>Assumptions!B14</f>
        <v>15</v>
      </c>
      <c r="K19" s="45">
        <f>Assumptions!C14</f>
        <v>15</v>
      </c>
      <c r="L19" s="45">
        <f>Assumptions!D14</f>
        <v>14</v>
      </c>
      <c r="M19" s="45">
        <f>Assumptions!E14</f>
        <v>13</v>
      </c>
      <c r="N19" s="45">
        <f>Assumptions!F14</f>
        <v>13</v>
      </c>
    </row>
    <row r="20" spans="2:14" ht="12" customHeight="1">
      <c r="B20" s="40" t="s">
        <v>142</v>
      </c>
      <c r="C20" s="102" t="s">
        <v>203</v>
      </c>
      <c r="D20" s="40">
        <f t="shared" ref="D20:N20" si="2">D17+D18-D19</f>
        <v>991</v>
      </c>
      <c r="E20" s="40">
        <f t="shared" si="2"/>
        <v>984</v>
      </c>
      <c r="F20" s="40">
        <f t="shared" si="2"/>
        <v>978</v>
      </c>
      <c r="G20" s="40">
        <f t="shared" si="2"/>
        <v>965</v>
      </c>
      <c r="H20" s="40">
        <f t="shared" si="2"/>
        <v>957</v>
      </c>
      <c r="I20" s="216">
        <f>I17+I18-I19</f>
        <v>926</v>
      </c>
      <c r="J20" s="475">
        <f>J17+J18-J19</f>
        <v>917</v>
      </c>
      <c r="K20" s="59">
        <f>K17+K18-K19</f>
        <v>908</v>
      </c>
      <c r="L20" s="59">
        <f t="shared" si="2"/>
        <v>899</v>
      </c>
      <c r="M20" s="59">
        <f t="shared" si="2"/>
        <v>891</v>
      </c>
      <c r="N20" s="59">
        <f t="shared" si="2"/>
        <v>883</v>
      </c>
    </row>
    <row r="21" spans="2:14" ht="12" customHeight="1">
      <c r="B21" s="60" t="s">
        <v>143</v>
      </c>
      <c r="C21" s="103" t="s">
        <v>203</v>
      </c>
      <c r="D21" s="36">
        <f t="shared" ref="D21:N21" si="3">(D17+D20)/2</f>
        <v>1000</v>
      </c>
      <c r="E21" s="36">
        <f t="shared" si="3"/>
        <v>987.5</v>
      </c>
      <c r="F21" s="36">
        <f t="shared" si="3"/>
        <v>981</v>
      </c>
      <c r="G21" s="36">
        <f t="shared" si="3"/>
        <v>971.5</v>
      </c>
      <c r="H21" s="36">
        <f t="shared" si="3"/>
        <v>961</v>
      </c>
      <c r="I21" s="220">
        <f t="shared" si="3"/>
        <v>941.5</v>
      </c>
      <c r="J21" s="46">
        <f t="shared" si="3"/>
        <v>921.5</v>
      </c>
      <c r="K21" s="46">
        <f t="shared" si="3"/>
        <v>912.5</v>
      </c>
      <c r="L21" s="46">
        <f t="shared" si="3"/>
        <v>903.5</v>
      </c>
      <c r="M21" s="46">
        <f t="shared" si="3"/>
        <v>895</v>
      </c>
      <c r="N21" s="46">
        <f t="shared" si="3"/>
        <v>887</v>
      </c>
    </row>
    <row r="22" spans="2:14" ht="12.75" customHeight="1">
      <c r="B22" s="37" t="s">
        <v>145</v>
      </c>
      <c r="C22" s="101" t="s">
        <v>203</v>
      </c>
      <c r="D22" s="38"/>
      <c r="E22" s="38"/>
      <c r="F22" s="38"/>
      <c r="G22" s="38"/>
      <c r="H22" s="38"/>
      <c r="I22" s="219"/>
      <c r="J22" s="58"/>
      <c r="K22" s="58"/>
      <c r="L22" s="58"/>
      <c r="M22" s="58"/>
      <c r="N22" s="58"/>
    </row>
    <row r="23" spans="2:14" ht="12" customHeight="1">
      <c r="B23" s="60" t="s">
        <v>137</v>
      </c>
      <c r="C23" s="103" t="s">
        <v>203</v>
      </c>
      <c r="D23" s="36">
        <f>'Industry Metrics'!G14</f>
        <v>222</v>
      </c>
      <c r="E23" s="36">
        <f>'Industry Metrics'!F14</f>
        <v>168</v>
      </c>
      <c r="F23" s="36">
        <f>'Industry Metrics'!E14</f>
        <v>160</v>
      </c>
      <c r="G23" s="36">
        <f>'Industry Metrics'!D14</f>
        <v>160</v>
      </c>
      <c r="H23" s="36">
        <f>'Industry Metrics'!C14</f>
        <v>160</v>
      </c>
      <c r="I23" s="220">
        <f>'Industry Metrics'!B14</f>
        <v>160</v>
      </c>
      <c r="J23" s="44">
        <f>I26</f>
        <v>142</v>
      </c>
      <c r="K23" s="44">
        <f>J26</f>
        <v>139</v>
      </c>
      <c r="L23" s="44">
        <f>K26</f>
        <v>136</v>
      </c>
      <c r="M23" s="44">
        <f>L26</f>
        <v>134</v>
      </c>
      <c r="N23" s="44">
        <f>M26</f>
        <v>132</v>
      </c>
    </row>
    <row r="24" spans="2:14" ht="12" customHeight="1">
      <c r="B24" s="60" t="s">
        <v>138</v>
      </c>
      <c r="C24" s="103" t="s">
        <v>203</v>
      </c>
      <c r="D24" s="36">
        <f>'Industry Metrics'!G22</f>
        <v>0</v>
      </c>
      <c r="E24" s="36">
        <f>'Industry Metrics'!F22</f>
        <v>0</v>
      </c>
      <c r="F24" s="36">
        <f>'Industry Metrics'!E25</f>
        <v>0</v>
      </c>
      <c r="G24" s="36">
        <f>'Industry Metrics'!D25</f>
        <v>1</v>
      </c>
      <c r="H24" s="36">
        <f>'Industry Metrics'!C25</f>
        <v>0</v>
      </c>
      <c r="I24" s="220">
        <f>'Industry Metrics'!B22</f>
        <v>0</v>
      </c>
      <c r="J24" s="45">
        <f>Assumptions!B15</f>
        <v>0</v>
      </c>
      <c r="K24" s="45">
        <f>Assumptions!C15</f>
        <v>0</v>
      </c>
      <c r="L24" s="45">
        <f>Assumptions!D15</f>
        <v>0</v>
      </c>
      <c r="M24" s="45">
        <f>Assumptions!E15</f>
        <v>0</v>
      </c>
      <c r="N24" s="45">
        <f>Assumptions!F15</f>
        <v>0</v>
      </c>
    </row>
    <row r="25" spans="2:14" ht="12" customHeight="1">
      <c r="B25" s="60" t="s">
        <v>140</v>
      </c>
      <c r="C25" s="103" t="s">
        <v>203</v>
      </c>
      <c r="D25" s="36">
        <f>'Industry Metrics'!G25</f>
        <v>54</v>
      </c>
      <c r="E25" s="36">
        <f>'Industry Metrics'!F25</f>
        <v>8</v>
      </c>
      <c r="F25" s="36">
        <f>'Industry Metrics'!E25</f>
        <v>0</v>
      </c>
      <c r="G25" s="36">
        <f>'Industry Metrics'!D25</f>
        <v>1</v>
      </c>
      <c r="H25" s="36">
        <f>'Industry Metrics'!C25</f>
        <v>0</v>
      </c>
      <c r="I25" s="220">
        <f>'Industry Metrics'!B25</f>
        <v>18</v>
      </c>
      <c r="J25" s="45">
        <f>Assumptions!B16</f>
        <v>3</v>
      </c>
      <c r="K25" s="45">
        <f>Assumptions!C16</f>
        <v>3</v>
      </c>
      <c r="L25" s="45">
        <f>Assumptions!D16</f>
        <v>2</v>
      </c>
      <c r="M25" s="45">
        <f>Assumptions!E16</f>
        <v>2</v>
      </c>
      <c r="N25" s="45">
        <f>Assumptions!F16</f>
        <v>2</v>
      </c>
    </row>
    <row r="26" spans="2:14" ht="12" customHeight="1">
      <c r="B26" s="40" t="s">
        <v>142</v>
      </c>
      <c r="C26" s="102" t="s">
        <v>203</v>
      </c>
      <c r="D26" s="40">
        <f t="shared" ref="D26:N26" si="4">D23+D24-D25</f>
        <v>168</v>
      </c>
      <c r="E26" s="40">
        <f t="shared" si="4"/>
        <v>160</v>
      </c>
      <c r="F26" s="40">
        <f t="shared" si="4"/>
        <v>160</v>
      </c>
      <c r="G26" s="40">
        <f t="shared" si="4"/>
        <v>160</v>
      </c>
      <c r="H26" s="40">
        <f t="shared" si="4"/>
        <v>160</v>
      </c>
      <c r="I26" s="216">
        <f t="shared" si="4"/>
        <v>142</v>
      </c>
      <c r="J26" s="475">
        <f>J23+J24-J25</f>
        <v>139</v>
      </c>
      <c r="K26" s="59">
        <f t="shared" si="4"/>
        <v>136</v>
      </c>
      <c r="L26" s="59">
        <f t="shared" si="4"/>
        <v>134</v>
      </c>
      <c r="M26" s="59">
        <f t="shared" si="4"/>
        <v>132</v>
      </c>
      <c r="N26" s="59">
        <f t="shared" si="4"/>
        <v>130</v>
      </c>
    </row>
    <row r="27" spans="2:14" ht="12" customHeight="1">
      <c r="B27" s="105" t="s">
        <v>143</v>
      </c>
      <c r="C27" s="106" t="s">
        <v>203</v>
      </c>
      <c r="D27" s="111">
        <f t="shared" ref="D27:N27" si="5">(D23+D26)/2</f>
        <v>195</v>
      </c>
      <c r="E27" s="111">
        <f t="shared" si="5"/>
        <v>164</v>
      </c>
      <c r="F27" s="111">
        <f t="shared" si="5"/>
        <v>160</v>
      </c>
      <c r="G27" s="111">
        <f t="shared" si="5"/>
        <v>160</v>
      </c>
      <c r="H27" s="111">
        <f t="shared" si="5"/>
        <v>160</v>
      </c>
      <c r="I27" s="221">
        <f t="shared" si="5"/>
        <v>151</v>
      </c>
      <c r="J27" s="115">
        <f t="shared" si="5"/>
        <v>140.5</v>
      </c>
      <c r="K27" s="115">
        <f t="shared" si="5"/>
        <v>137.5</v>
      </c>
      <c r="L27" s="115">
        <f t="shared" si="5"/>
        <v>135</v>
      </c>
      <c r="M27" s="115">
        <f t="shared" si="5"/>
        <v>133</v>
      </c>
      <c r="N27" s="115">
        <f t="shared" si="5"/>
        <v>131</v>
      </c>
    </row>
    <row r="28" spans="2:14" ht="12.75" customHeight="1">
      <c r="B28" s="37" t="s">
        <v>146</v>
      </c>
      <c r="C28" s="101"/>
      <c r="D28" s="38"/>
      <c r="E28" s="38"/>
      <c r="F28" s="38"/>
      <c r="G28" s="38"/>
      <c r="H28" s="38"/>
      <c r="I28" s="219"/>
      <c r="J28" s="58"/>
      <c r="K28" s="58"/>
      <c r="L28" s="58"/>
      <c r="M28" s="58"/>
      <c r="N28" s="58"/>
    </row>
    <row r="29" spans="2:14" ht="12" customHeight="1">
      <c r="B29" s="60" t="s">
        <v>204</v>
      </c>
      <c r="C29" s="103" t="s">
        <v>205</v>
      </c>
      <c r="D29" s="88">
        <f>'Geographic Revenue'!F6/D21</f>
        <v>43.292999999999999</v>
      </c>
      <c r="E29" s="88">
        <f>'Geographic Revenue'!G6/E21</f>
        <v>48.435443037974686</v>
      </c>
      <c r="F29" s="88">
        <f>'Geographic Revenue'!H6/F21</f>
        <v>43.622833843017332</v>
      </c>
      <c r="G29" s="88">
        <f>'Geographic Revenue'!I6/G21</f>
        <v>41.273288728769941</v>
      </c>
      <c r="H29" s="88">
        <f>'Geographic Revenue'!J6/H21</f>
        <v>39.789802289282001</v>
      </c>
      <c r="I29" s="222">
        <f>'Geographic Revenue'!K6/I21</f>
        <v>40.656399362719064</v>
      </c>
      <c r="J29" s="88">
        <f>J43/J21</f>
        <v>40.421020208513845</v>
      </c>
      <c r="K29" s="88">
        <f>K43/K21</f>
        <v>41.362110152984947</v>
      </c>
      <c r="L29" s="88">
        <f>L43/L21</f>
        <v>42.516907306951786</v>
      </c>
      <c r="M29" s="88">
        <f>M43/M21</f>
        <v>43.900250704469585</v>
      </c>
      <c r="N29" s="88">
        <f>N43/N21</f>
        <v>45.3083252620143</v>
      </c>
    </row>
    <row r="30" spans="2:14" ht="12" customHeight="1">
      <c r="B30" s="60" t="s">
        <v>148</v>
      </c>
      <c r="C30" s="103" t="s">
        <v>202</v>
      </c>
      <c r="D30" s="95"/>
      <c r="E30" s="96">
        <f t="shared" ref="E30:N30" si="6">E29/D29-1</f>
        <v>0.11878232134466749</v>
      </c>
      <c r="F30" s="96">
        <f t="shared" si="6"/>
        <v>-9.936131256576175E-2</v>
      </c>
      <c r="G30" s="96">
        <f t="shared" si="6"/>
        <v>-5.3860442049742718E-2</v>
      </c>
      <c r="H30" s="96">
        <f t="shared" si="6"/>
        <v>-3.5943015087476216E-2</v>
      </c>
      <c r="I30" s="223">
        <f t="shared" si="6"/>
        <v>2.1779376211439327E-2</v>
      </c>
      <c r="J30" s="96">
        <f>J29/I29-1</f>
        <v>-5.7894736842105665E-3</v>
      </c>
      <c r="K30" s="96">
        <f t="shared" si="6"/>
        <v>2.3282191780822137E-2</v>
      </c>
      <c r="L30" s="96">
        <f t="shared" si="6"/>
        <v>2.7919203099059153E-2</v>
      </c>
      <c r="M30" s="96">
        <f t="shared" si="6"/>
        <v>3.2536312849161808E-2</v>
      </c>
      <c r="N30" s="96">
        <f t="shared" si="6"/>
        <v>3.2074408117249265E-2</v>
      </c>
    </row>
    <row r="31" spans="2:14" ht="12" customHeight="1">
      <c r="B31" s="60" t="s">
        <v>206</v>
      </c>
      <c r="C31" s="103" t="s">
        <v>205</v>
      </c>
      <c r="D31" s="88">
        <f>SUM('Geographic Revenue'!F7:F9)/D27</f>
        <v>22.246153846153845</v>
      </c>
      <c r="E31" s="88">
        <f>SUM('Geographic Revenue'!G7:G9)/E27</f>
        <v>24.091463414634145</v>
      </c>
      <c r="F31" s="88">
        <f>SUM('Geographic Revenue'!H7:H9)/F27</f>
        <v>21.9</v>
      </c>
      <c r="G31" s="88">
        <f>SUM('Geographic Revenue'!I7:I9)/G27</f>
        <v>20.96875</v>
      </c>
      <c r="H31" s="88">
        <f>SUM('Geographic Revenue'!J7:J9)/H27</f>
        <v>20.5625</v>
      </c>
      <c r="I31" s="222">
        <f>SUM('Geographic Revenue'!K7:K9)/I27</f>
        <v>22.602649006622517</v>
      </c>
      <c r="J31" s="88">
        <f>J51/J27</f>
        <v>23.56306049822064</v>
      </c>
      <c r="K31" s="88">
        <f>K51/K27</f>
        <v>24.317935272727272</v>
      </c>
      <c r="L31" s="88">
        <f>L51/L27</f>
        <v>25.139791418518517</v>
      </c>
      <c r="M31" s="88">
        <f>M51/M27</f>
        <v>26.028190062631577</v>
      </c>
      <c r="N31" s="88">
        <f>N51/N27</f>
        <v>26.954078350355726</v>
      </c>
    </row>
    <row r="32" spans="2:14" ht="12" customHeight="1">
      <c r="B32" s="105" t="s">
        <v>150</v>
      </c>
      <c r="C32" s="106" t="s">
        <v>202</v>
      </c>
      <c r="D32" s="116"/>
      <c r="E32" s="117">
        <f t="shared" ref="E32:N32" si="7">E31/D31-1</f>
        <v>8.2949600242890442E-2</v>
      </c>
      <c r="F32" s="117">
        <f t="shared" si="7"/>
        <v>-9.0964312832194416E-2</v>
      </c>
      <c r="G32" s="117">
        <f t="shared" si="7"/>
        <v>-4.2522831050228249E-2</v>
      </c>
      <c r="H32" s="117">
        <f t="shared" si="7"/>
        <v>-1.9374068554396384E-2</v>
      </c>
      <c r="I32" s="224">
        <f t="shared" si="7"/>
        <v>9.9216972966444494E-2</v>
      </c>
      <c r="J32" s="117">
        <f t="shared" si="7"/>
        <v>4.2491103202846991E-2</v>
      </c>
      <c r="K32" s="117">
        <f t="shared" si="7"/>
        <v>3.2036363636363641E-2</v>
      </c>
      <c r="L32" s="117">
        <f t="shared" si="7"/>
        <v>3.3796296296296324E-2</v>
      </c>
      <c r="M32" s="117">
        <f t="shared" si="7"/>
        <v>3.5338345864661669E-2</v>
      </c>
      <c r="N32" s="117">
        <f t="shared" si="7"/>
        <v>3.5572519083969523E-2</v>
      </c>
    </row>
    <row r="33" spans="2:14" ht="12" customHeight="1">
      <c r="B33" s="60"/>
      <c r="D33" s="95"/>
      <c r="E33" s="96"/>
      <c r="F33" s="96"/>
      <c r="G33" s="96"/>
      <c r="H33" s="96"/>
      <c r="I33" s="223"/>
      <c r="J33" s="96"/>
      <c r="K33" s="96"/>
      <c r="L33" s="96"/>
      <c r="M33" s="96"/>
      <c r="N33" s="96"/>
    </row>
    <row r="34" spans="2:14" ht="12" customHeight="1">
      <c r="B34" s="72" t="s">
        <v>207</v>
      </c>
      <c r="C34" s="104"/>
      <c r="D34" s="73"/>
      <c r="E34" s="73"/>
      <c r="F34" s="73"/>
      <c r="G34" s="73"/>
      <c r="H34" s="73"/>
      <c r="I34" s="225"/>
      <c r="J34" s="73"/>
      <c r="K34" s="73"/>
      <c r="L34" s="73"/>
      <c r="M34" s="73"/>
      <c r="N34" s="73"/>
    </row>
    <row r="35" spans="2:14" ht="12.75" customHeight="1">
      <c r="B35" s="37" t="s">
        <v>208</v>
      </c>
      <c r="C35" s="101"/>
      <c r="D35" s="97"/>
      <c r="E35" s="97"/>
      <c r="F35" s="97"/>
      <c r="G35" s="97"/>
      <c r="H35" s="97"/>
      <c r="I35" s="226"/>
      <c r="J35" s="98"/>
      <c r="K35" s="98"/>
      <c r="L35" s="98"/>
      <c r="M35" s="98"/>
      <c r="N35" s="98"/>
    </row>
    <row r="36" spans="2:14" ht="12" customHeight="1">
      <c r="B36" s="40" t="s">
        <v>152</v>
      </c>
      <c r="C36" s="102"/>
      <c r="D36" s="99"/>
      <c r="E36" s="99"/>
      <c r="F36" s="99"/>
      <c r="G36" s="99"/>
      <c r="H36" s="99"/>
      <c r="I36" s="227"/>
      <c r="J36" s="100"/>
      <c r="K36" s="100"/>
      <c r="L36" s="100"/>
      <c r="M36" s="100"/>
      <c r="N36" s="100"/>
    </row>
    <row r="37" spans="2:14" ht="12" customHeight="1">
      <c r="B37" s="60" t="s">
        <v>153</v>
      </c>
      <c r="C37" s="103" t="s">
        <v>205</v>
      </c>
      <c r="D37" s="87">
        <f>'Geographic Revenue'!E6</f>
        <v>40114</v>
      </c>
      <c r="E37" s="87">
        <f>'Geographic Revenue'!F6</f>
        <v>43293</v>
      </c>
      <c r="F37" s="87">
        <f>'Geographic Revenue'!G6</f>
        <v>47830</v>
      </c>
      <c r="G37" s="87">
        <f>'Geographic Revenue'!H6</f>
        <v>42794</v>
      </c>
      <c r="H37" s="87">
        <f>'Geographic Revenue'!I6</f>
        <v>40097</v>
      </c>
      <c r="I37" s="228">
        <f>'Geographic Revenue'!J6</f>
        <v>38238</v>
      </c>
      <c r="J37" s="87">
        <f>'Geographic Revenue'!K6</f>
        <v>38278</v>
      </c>
      <c r="K37" s="88">
        <f>J43</f>
        <v>37247.970122145511</v>
      </c>
      <c r="L37" s="88">
        <f>K43</f>
        <v>37742.925514598763</v>
      </c>
      <c r="M37" s="88">
        <f>L43</f>
        <v>38414.025751830937</v>
      </c>
      <c r="N37" s="88">
        <f>M43</f>
        <v>39290.72438050028</v>
      </c>
    </row>
    <row r="38" spans="2:14" ht="12" customHeight="1">
      <c r="B38" s="60" t="s">
        <v>154</v>
      </c>
      <c r="C38" s="103" t="s">
        <v>205</v>
      </c>
      <c r="D38" s="87">
        <f t="shared" ref="D38:N38" si="8">D37*(1+D7)</f>
        <v>43804.488000000005</v>
      </c>
      <c r="E38" s="87">
        <f t="shared" si="8"/>
        <v>48055.23</v>
      </c>
      <c r="F38" s="87">
        <f t="shared" si="8"/>
        <v>42903.51</v>
      </c>
      <c r="G38" s="87">
        <f t="shared" si="8"/>
        <v>39755.626000000004</v>
      </c>
      <c r="H38" s="87">
        <f t="shared" si="8"/>
        <v>39094.574999999997</v>
      </c>
      <c r="I38" s="228">
        <f t="shared" si="8"/>
        <v>38390.951999999997</v>
      </c>
      <c r="J38" s="88">
        <f>J37*(1+J7)</f>
        <v>37129.659999999996</v>
      </c>
      <c r="K38" s="88">
        <f t="shared" si="8"/>
        <v>37620.449823366966</v>
      </c>
      <c r="L38" s="88">
        <f t="shared" si="8"/>
        <v>38309.06939731774</v>
      </c>
      <c r="M38" s="88">
        <f t="shared" si="8"/>
        <v>39182.306266867556</v>
      </c>
      <c r="N38" s="88">
        <f t="shared" si="8"/>
        <v>40076.538868110285</v>
      </c>
    </row>
    <row r="39" spans="2:14" ht="12" customHeight="1">
      <c r="B39" s="40" t="s">
        <v>155</v>
      </c>
      <c r="C39" s="102"/>
      <c r="D39" s="99"/>
      <c r="E39" s="99"/>
      <c r="F39" s="99"/>
      <c r="G39" s="99"/>
      <c r="H39" s="99"/>
      <c r="I39" s="227"/>
      <c r="J39" s="100"/>
      <c r="K39" s="100"/>
      <c r="L39" s="100"/>
      <c r="M39" s="100"/>
      <c r="N39" s="100"/>
    </row>
    <row r="40" spans="2:14" ht="12" customHeight="1">
      <c r="B40" s="60" t="s">
        <v>156</v>
      </c>
      <c r="C40" s="103" t="s">
        <v>203</v>
      </c>
      <c r="D40" s="90">
        <f>'Industry Metrics'!G19</f>
        <v>3</v>
      </c>
      <c r="E40" s="90">
        <f>'Industry Metrics'!F19</f>
        <v>13</v>
      </c>
      <c r="F40" s="90">
        <f>'Industry Metrics'!E19</f>
        <v>9</v>
      </c>
      <c r="G40" s="90">
        <f>'Industry Metrics'!D19</f>
        <v>15</v>
      </c>
      <c r="H40" s="90">
        <f>'Industry Metrics'!C19</f>
        <v>0</v>
      </c>
      <c r="I40" s="229">
        <f>'Industry Metrics'!B20</f>
        <v>0</v>
      </c>
      <c r="J40" s="91">
        <f>J18</f>
        <v>6</v>
      </c>
      <c r="K40" s="91">
        <f>K18</f>
        <v>6</v>
      </c>
      <c r="L40" s="91">
        <f>L18</f>
        <v>5</v>
      </c>
      <c r="M40" s="91">
        <f>M18</f>
        <v>5</v>
      </c>
      <c r="N40" s="91">
        <f>N18</f>
        <v>5</v>
      </c>
    </row>
    <row r="41" spans="2:14" ht="12" customHeight="1">
      <c r="B41" s="60" t="s">
        <v>157</v>
      </c>
      <c r="C41" s="103" t="s">
        <v>203</v>
      </c>
      <c r="D41" s="90">
        <f>'Geographic Revenue'!F6/'Revenue Build - Final Bear Case'!D21*50%</f>
        <v>21.6465</v>
      </c>
      <c r="E41" s="90">
        <f>'Geographic Revenue'!G6/'Revenue Build - Final Bear Case'!E21*50%</f>
        <v>24.217721518987343</v>
      </c>
      <c r="F41" s="90">
        <f>'Geographic Revenue'!H6/'Revenue Build - Final Bear Case'!F21*50%</f>
        <v>21.811416921508666</v>
      </c>
      <c r="G41" s="90">
        <f>'Geographic Revenue'!I6/'Revenue Build - Final Bear Case'!G21*50%</f>
        <v>20.636644364384971</v>
      </c>
      <c r="H41" s="90">
        <f>'Geographic Revenue'!J6/'Revenue Build - Final Bear Case'!H21*50%</f>
        <v>19.894901144641</v>
      </c>
      <c r="I41" s="229">
        <f>'Geographic Revenue'!K6/'Revenue Build - Final Bear Case'!I21*50%</f>
        <v>20.328199681359532</v>
      </c>
      <c r="J41" s="91">
        <f>'Geographic Revenue'!K6/I21*(1+J7)*50%</f>
        <v>19.718353690918747</v>
      </c>
      <c r="K41" s="91">
        <f>J43/J21*(1+K7)*50%</f>
        <v>20.412615205299492</v>
      </c>
      <c r="L41" s="91">
        <f>K43/K21*(1+L7)*50%</f>
        <v>20.991270902639858</v>
      </c>
      <c r="M41" s="91">
        <f>L43/L21*(1+M7)*50%</f>
        <v>21.683622726545412</v>
      </c>
      <c r="N41" s="91">
        <f>M43/M21*(1+N7)*50%</f>
        <v>22.389127859279487</v>
      </c>
    </row>
    <row r="42" spans="2:14" ht="12" customHeight="1">
      <c r="B42" s="60" t="s">
        <v>159</v>
      </c>
      <c r="C42" s="103" t="s">
        <v>203</v>
      </c>
      <c r="D42" s="90">
        <f t="shared" ref="D42:N42" si="9">D40*D41</f>
        <v>64.939499999999995</v>
      </c>
      <c r="E42" s="90">
        <f t="shared" si="9"/>
        <v>314.83037974683543</v>
      </c>
      <c r="F42" s="90">
        <f t="shared" si="9"/>
        <v>196.30275229357801</v>
      </c>
      <c r="G42" s="90">
        <f t="shared" si="9"/>
        <v>309.54966546577458</v>
      </c>
      <c r="H42" s="90">
        <f t="shared" si="9"/>
        <v>0</v>
      </c>
      <c r="I42" s="229">
        <f t="shared" si="9"/>
        <v>0</v>
      </c>
      <c r="J42" s="91">
        <f t="shared" si="9"/>
        <v>118.31012214551248</v>
      </c>
      <c r="K42" s="91">
        <f t="shared" si="9"/>
        <v>122.47569123179696</v>
      </c>
      <c r="L42" s="91">
        <f t="shared" si="9"/>
        <v>104.95635451319929</v>
      </c>
      <c r="M42" s="91">
        <f t="shared" si="9"/>
        <v>108.41811363272706</v>
      </c>
      <c r="N42" s="91">
        <f t="shared" si="9"/>
        <v>111.94563929639743</v>
      </c>
    </row>
    <row r="43" spans="2:14" ht="12" customHeight="1">
      <c r="B43" s="105" t="s">
        <v>160</v>
      </c>
      <c r="C43" s="106" t="s">
        <v>205</v>
      </c>
      <c r="D43" s="118">
        <f>D42+D38</f>
        <v>43869.427500000005</v>
      </c>
      <c r="E43" s="118">
        <f t="shared" ref="E43:N43" si="10">E42+E38</f>
        <v>48370.060379746836</v>
      </c>
      <c r="F43" s="118">
        <f t="shared" si="10"/>
        <v>43099.812752293583</v>
      </c>
      <c r="G43" s="118">
        <f t="shared" si="10"/>
        <v>40065.17566546578</v>
      </c>
      <c r="H43" s="118">
        <f t="shared" si="10"/>
        <v>39094.574999999997</v>
      </c>
      <c r="I43" s="230">
        <f t="shared" si="10"/>
        <v>38390.951999999997</v>
      </c>
      <c r="J43" s="119">
        <f t="shared" si="10"/>
        <v>37247.970122145511</v>
      </c>
      <c r="K43" s="119">
        <f t="shared" si="10"/>
        <v>37742.925514598763</v>
      </c>
      <c r="L43" s="119">
        <f t="shared" si="10"/>
        <v>38414.025751830937</v>
      </c>
      <c r="M43" s="119">
        <f t="shared" si="10"/>
        <v>39290.72438050028</v>
      </c>
      <c r="N43" s="119">
        <f t="shared" si="10"/>
        <v>40188.484507406683</v>
      </c>
    </row>
    <row r="44" spans="2:14" ht="12.75" customHeight="1">
      <c r="B44" s="37" t="s">
        <v>209</v>
      </c>
      <c r="C44" s="101"/>
      <c r="D44" s="38"/>
      <c r="E44" s="38"/>
      <c r="F44" s="38"/>
      <c r="G44" s="38"/>
      <c r="H44" s="38"/>
      <c r="I44" s="219"/>
      <c r="J44" s="58"/>
      <c r="K44" s="58"/>
      <c r="L44" s="58"/>
      <c r="M44" s="58"/>
      <c r="N44" s="58"/>
    </row>
    <row r="45" spans="2:14" ht="12" customHeight="1">
      <c r="B45" s="60" t="s">
        <v>162</v>
      </c>
      <c r="C45" s="103" t="s">
        <v>205</v>
      </c>
      <c r="D45" s="92">
        <f>SUM('Geographic Revenue'!E7:E9)</f>
        <v>3923</v>
      </c>
      <c r="E45" s="92">
        <f>SUM('Geographic Revenue'!F7:F9)</f>
        <v>4338</v>
      </c>
      <c r="F45" s="92">
        <f>SUM('Geographic Revenue'!G7:G9)</f>
        <v>3951</v>
      </c>
      <c r="G45" s="92">
        <f>SUM('Geographic Revenue'!H7:H9)</f>
        <v>3504</v>
      </c>
      <c r="H45" s="92">
        <f>SUM('Geographic Revenue'!I7:I9)</f>
        <v>3355</v>
      </c>
      <c r="I45" s="231">
        <f>SUM('Geographic Revenue'!J7:J9)</f>
        <v>3290</v>
      </c>
      <c r="J45" s="92">
        <f>SUM('Geographic Revenue'!K7:K9)</f>
        <v>3413</v>
      </c>
      <c r="K45" s="93">
        <f>J51</f>
        <v>3310.61</v>
      </c>
      <c r="L45" s="93">
        <f>K51</f>
        <v>3343.7161000000001</v>
      </c>
      <c r="M45" s="93">
        <f>L51</f>
        <v>3393.8718414999998</v>
      </c>
      <c r="N45" s="93">
        <f>M51</f>
        <v>3461.7492783299999</v>
      </c>
    </row>
    <row r="46" spans="2:14" ht="12" customHeight="1">
      <c r="B46" s="60" t="s">
        <v>154</v>
      </c>
      <c r="C46" s="103" t="s">
        <v>205</v>
      </c>
      <c r="D46" s="92">
        <f t="shared" ref="D46:N46" si="11">D45*(1+D8)</f>
        <v>4511.45</v>
      </c>
      <c r="E46" s="92">
        <f t="shared" si="11"/>
        <v>4481.1539999999995</v>
      </c>
      <c r="F46" s="92">
        <f t="shared" si="11"/>
        <v>3737.6459999999997</v>
      </c>
      <c r="G46" s="92">
        <f t="shared" si="11"/>
        <v>3391.8719999999998</v>
      </c>
      <c r="H46" s="92">
        <f t="shared" si="11"/>
        <v>3338.2249999999999</v>
      </c>
      <c r="I46" s="231">
        <f t="shared" si="11"/>
        <v>3365.6699999999996</v>
      </c>
      <c r="J46" s="93">
        <f t="shared" si="11"/>
        <v>3310.61</v>
      </c>
      <c r="K46" s="93">
        <f t="shared" si="11"/>
        <v>3343.7161000000001</v>
      </c>
      <c r="L46" s="93">
        <f t="shared" si="11"/>
        <v>3393.8718414999998</v>
      </c>
      <c r="M46" s="93">
        <f t="shared" si="11"/>
        <v>3461.7492783299999</v>
      </c>
      <c r="N46" s="93">
        <f t="shared" si="11"/>
        <v>3530.9842638966002</v>
      </c>
    </row>
    <row r="47" spans="2:14" ht="12" customHeight="1">
      <c r="B47" s="89" t="s">
        <v>155</v>
      </c>
      <c r="D47" s="49"/>
      <c r="E47" s="49"/>
      <c r="F47" s="49"/>
      <c r="G47" s="49"/>
      <c r="H47" s="49"/>
      <c r="I47" s="232"/>
      <c r="J47" s="49"/>
      <c r="K47" s="49"/>
      <c r="L47" s="49"/>
      <c r="M47" s="49"/>
      <c r="N47" s="49"/>
    </row>
    <row r="48" spans="2:14" ht="12" customHeight="1">
      <c r="B48" s="89" t="s">
        <v>156</v>
      </c>
      <c r="C48" s="103" t="s">
        <v>203</v>
      </c>
      <c r="D48" s="49">
        <f>'Industry Metrics'!G22</f>
        <v>0</v>
      </c>
      <c r="E48" s="49">
        <f>'Industry Metrics'!F22</f>
        <v>0</v>
      </c>
      <c r="F48" s="49">
        <f>'Industry Metrics'!E25</f>
        <v>0</v>
      </c>
      <c r="G48" s="49">
        <f>'Industry Metrics'!D22</f>
        <v>1</v>
      </c>
      <c r="H48" s="49">
        <f>'Industry Metrics'!C22</f>
        <v>0</v>
      </c>
      <c r="I48" s="232">
        <f>'Industry Metrics'!B22</f>
        <v>0</v>
      </c>
      <c r="J48" s="94">
        <f>J24</f>
        <v>0</v>
      </c>
      <c r="K48" s="94">
        <f>K24</f>
        <v>0</v>
      </c>
      <c r="L48" s="94">
        <f>L24</f>
        <v>0</v>
      </c>
      <c r="M48" s="94">
        <f>M24</f>
        <v>0</v>
      </c>
      <c r="N48" s="94">
        <f>N24</f>
        <v>0</v>
      </c>
    </row>
    <row r="49" spans="2:15" ht="12" customHeight="1">
      <c r="B49" s="89" t="s">
        <v>157</v>
      </c>
      <c r="C49" s="103" t="s">
        <v>205</v>
      </c>
      <c r="D49" s="93">
        <f>SUM('Geographic Revenue'!F7:F9)/D27*50%</f>
        <v>11.123076923076923</v>
      </c>
      <c r="E49" s="93">
        <f>SUM('Geographic Revenue'!G7:G9)/E27*50%</f>
        <v>12.045731707317072</v>
      </c>
      <c r="F49" s="93">
        <f>SUM('Geographic Revenue'!H7:H9)/F27*50%</f>
        <v>10.95</v>
      </c>
      <c r="G49" s="93">
        <f>SUM('Geographic Revenue'!I7:I9)/G27*50%</f>
        <v>10.484375</v>
      </c>
      <c r="H49" s="93">
        <f>SUM('Geographic Revenue'!J7:J9)/H27*50%</f>
        <v>10.28125</v>
      </c>
      <c r="I49" s="233">
        <f>SUM('Geographic Revenue'!K7:K9)/I27*50%</f>
        <v>11.301324503311259</v>
      </c>
      <c r="J49" s="93">
        <f>SUM('Geographic Revenue'!K7:K9)/I27*(1+J8)*50%</f>
        <v>10.962284768211921</v>
      </c>
      <c r="K49" s="93">
        <f>J51/J27*(1+K8)*50%</f>
        <v>11.899345551601423</v>
      </c>
      <c r="L49" s="93">
        <f>K51/K27*(1+L8)*50%</f>
        <v>12.34135215090909</v>
      </c>
      <c r="M49" s="93">
        <f>L51/L27*(1+M8)*50%</f>
        <v>12.821293623444443</v>
      </c>
      <c r="N49" s="93">
        <f>M51/M27*(1+N8)*50%</f>
        <v>13.274376931942104</v>
      </c>
    </row>
    <row r="50" spans="2:15" ht="12" customHeight="1">
      <c r="B50" s="89" t="s">
        <v>163</v>
      </c>
      <c r="C50" s="103" t="s">
        <v>205</v>
      </c>
      <c r="D50" s="93">
        <f t="shared" ref="D50:N50" si="12">D48*D49</f>
        <v>0</v>
      </c>
      <c r="E50" s="93">
        <f t="shared" si="12"/>
        <v>0</v>
      </c>
      <c r="F50" s="93">
        <f t="shared" si="12"/>
        <v>0</v>
      </c>
      <c r="G50" s="93">
        <f t="shared" si="12"/>
        <v>10.484375</v>
      </c>
      <c r="H50" s="93">
        <f t="shared" si="12"/>
        <v>0</v>
      </c>
      <c r="I50" s="233">
        <f t="shared" si="12"/>
        <v>0</v>
      </c>
      <c r="J50" s="93">
        <f t="shared" si="12"/>
        <v>0</v>
      </c>
      <c r="K50" s="93">
        <f t="shared" si="12"/>
        <v>0</v>
      </c>
      <c r="L50" s="93">
        <f t="shared" si="12"/>
        <v>0</v>
      </c>
      <c r="M50" s="93">
        <f t="shared" si="12"/>
        <v>0</v>
      </c>
      <c r="N50" s="93">
        <f t="shared" si="12"/>
        <v>0</v>
      </c>
    </row>
    <row r="51" spans="2:15" ht="12" customHeight="1">
      <c r="B51" s="60" t="s">
        <v>164</v>
      </c>
      <c r="C51" s="103" t="s">
        <v>205</v>
      </c>
      <c r="D51" s="120">
        <f>D50+D46</f>
        <v>4511.45</v>
      </c>
      <c r="E51" s="120">
        <f t="shared" ref="E51:M51" si="13">E50+E46</f>
        <v>4481.1539999999995</v>
      </c>
      <c r="F51" s="120">
        <f t="shared" si="13"/>
        <v>3737.6459999999997</v>
      </c>
      <c r="G51" s="120">
        <f t="shared" si="13"/>
        <v>3402.3563749999998</v>
      </c>
      <c r="H51" s="120">
        <f t="shared" si="13"/>
        <v>3338.2249999999999</v>
      </c>
      <c r="I51" s="233">
        <f t="shared" si="13"/>
        <v>3365.6699999999996</v>
      </c>
      <c r="J51" s="120">
        <f t="shared" si="13"/>
        <v>3310.61</v>
      </c>
      <c r="K51" s="120">
        <f t="shared" si="13"/>
        <v>3343.7161000000001</v>
      </c>
      <c r="L51" s="120">
        <f t="shared" si="13"/>
        <v>3393.8718414999998</v>
      </c>
      <c r="M51" s="120">
        <f t="shared" si="13"/>
        <v>3461.7492783299999</v>
      </c>
      <c r="N51" s="120">
        <f>N50+N46</f>
        <v>3530.9842638966002</v>
      </c>
    </row>
    <row r="52" spans="2:15" ht="12" customHeight="1">
      <c r="B52" s="121" t="s">
        <v>210</v>
      </c>
      <c r="C52" s="122" t="s">
        <v>205</v>
      </c>
      <c r="D52" s="123">
        <f>D43+D51</f>
        <v>48380.877500000002</v>
      </c>
      <c r="E52" s="123">
        <f t="shared" ref="E52:N52" si="14">E43+E51</f>
        <v>52851.214379746838</v>
      </c>
      <c r="F52" s="123">
        <f t="shared" si="14"/>
        <v>46837.458752293584</v>
      </c>
      <c r="G52" s="123">
        <f t="shared" si="14"/>
        <v>43467.532040465783</v>
      </c>
      <c r="H52" s="123">
        <f t="shared" si="14"/>
        <v>42432.799999999996</v>
      </c>
      <c r="I52" s="234">
        <f t="shared" si="14"/>
        <v>41756.621999999996</v>
      </c>
      <c r="J52" s="123">
        <f t="shared" si="14"/>
        <v>40558.580122145511</v>
      </c>
      <c r="K52" s="123">
        <f t="shared" si="14"/>
        <v>41086.64161459876</v>
      </c>
      <c r="L52" s="123">
        <f t="shared" si="14"/>
        <v>41807.897593330934</v>
      </c>
      <c r="M52" s="123">
        <f t="shared" si="14"/>
        <v>42752.473658830277</v>
      </c>
      <c r="N52" s="123">
        <f t="shared" si="14"/>
        <v>43719.468771303284</v>
      </c>
    </row>
    <row r="53" spans="2:15" ht="12" customHeight="1">
      <c r="B53" s="51"/>
      <c r="C53" s="124"/>
      <c r="D53" s="125"/>
      <c r="E53" s="125"/>
      <c r="F53" s="125"/>
      <c r="G53" s="125"/>
      <c r="H53" s="125"/>
      <c r="I53" s="235"/>
      <c r="J53" s="125"/>
      <c r="K53" s="125"/>
      <c r="L53" s="125"/>
      <c r="M53" s="125"/>
      <c r="N53" s="125"/>
    </row>
    <row r="54" spans="2:15" ht="12" customHeight="1">
      <c r="B54" s="72" t="s">
        <v>166</v>
      </c>
      <c r="C54" s="104"/>
      <c r="D54" s="73"/>
      <c r="E54" s="73"/>
      <c r="F54" s="73"/>
      <c r="G54" s="73"/>
      <c r="H54" s="73"/>
      <c r="I54" s="225"/>
      <c r="J54" s="73"/>
      <c r="K54" s="73"/>
      <c r="L54" s="73"/>
      <c r="M54" s="73"/>
      <c r="N54" s="73"/>
    </row>
    <row r="55" spans="2:15" ht="12" customHeight="1">
      <c r="B55" s="37" t="s">
        <v>167</v>
      </c>
      <c r="C55" s="37"/>
      <c r="D55" s="37"/>
      <c r="E55" s="37"/>
      <c r="F55" s="37"/>
      <c r="G55" s="37"/>
      <c r="H55" s="37"/>
      <c r="I55" s="236"/>
      <c r="J55" s="37"/>
      <c r="K55" s="37"/>
      <c r="L55" s="37"/>
      <c r="M55" s="37"/>
      <c r="N55" s="37"/>
      <c r="O55" s="53"/>
    </row>
    <row r="56" spans="2:15" ht="12" customHeight="1">
      <c r="B56" s="89" t="s">
        <v>74</v>
      </c>
      <c r="C56" s="103" t="s">
        <v>202</v>
      </c>
      <c r="D56" s="54">
        <f>'Business Segment Revenue'!F28/100</f>
        <v>0.11619156</v>
      </c>
      <c r="E56" s="54">
        <f>'Business Segment Revenue'!G28/100</f>
        <v>3.8100960000000003E-2</v>
      </c>
      <c r="F56" s="54">
        <f>'Business Segment Revenue'!H28/100</f>
        <v>-0.1206513</v>
      </c>
      <c r="G56" s="54">
        <f>'Business Segment Revenue'!I28/100</f>
        <v>-6.4960030000000002E-2</v>
      </c>
      <c r="H56" s="54">
        <f>'Business Segment Revenue'!J28/100</f>
        <v>1.0767230000000001E-2</v>
      </c>
      <c r="I56" s="237">
        <f>'Business Segment Revenue'!K28/100</f>
        <v>5.5296830000000005E-2</v>
      </c>
      <c r="J56" s="42">
        <f>Assumptions!B18</f>
        <v>0.02</v>
      </c>
      <c r="K56" s="42">
        <f>Assumptions!C18</f>
        <v>0.04</v>
      </c>
      <c r="L56" s="42">
        <f>Assumptions!D18</f>
        <v>0.03</v>
      </c>
      <c r="M56" s="42">
        <f>Assumptions!E18</f>
        <v>0.02</v>
      </c>
      <c r="N56" s="42">
        <f>Assumptions!F18</f>
        <v>0.02</v>
      </c>
    </row>
    <row r="57" spans="2:15" ht="12" customHeight="1">
      <c r="B57" s="89" t="s">
        <v>77</v>
      </c>
      <c r="C57" s="103" t="s">
        <v>202</v>
      </c>
      <c r="D57" s="54">
        <f>'Business Segment Revenue'!F29/100</f>
        <v>-5.6675099999999997E-3</v>
      </c>
      <c r="E57" s="54">
        <f>'Business Segment Revenue'!G29/100</f>
        <v>0.14017309999999999</v>
      </c>
      <c r="F57" s="54">
        <f>'Business Segment Revenue'!H29/100</f>
        <v>-0.13016109000000001</v>
      </c>
      <c r="G57" s="54">
        <f>'Business Segment Revenue'!I29/100</f>
        <v>-7.9821199999999995E-2</v>
      </c>
      <c r="H57" s="54">
        <f>'Business Segment Revenue'!J29/100</f>
        <v>-6.9704680000000005E-2</v>
      </c>
      <c r="I57" s="237">
        <f>'Business Segment Revenue'!K29/100</f>
        <v>-5.0145049999999997E-2</v>
      </c>
      <c r="J57" s="42">
        <f>Assumptions!B19</f>
        <v>-0.02</v>
      </c>
      <c r="K57" s="42">
        <f>Assumptions!C19</f>
        <v>1.4999999999999999E-2</v>
      </c>
      <c r="L57" s="42">
        <f>Assumptions!D19</f>
        <v>0.02</v>
      </c>
      <c r="M57" s="42">
        <f>Assumptions!E19</f>
        <v>0.02</v>
      </c>
      <c r="N57" s="42">
        <f>Assumptions!F19</f>
        <v>0.02</v>
      </c>
    </row>
    <row r="58" spans="2:15" ht="12" customHeight="1">
      <c r="B58" s="89" t="s">
        <v>80</v>
      </c>
      <c r="C58" s="103" t="s">
        <v>202</v>
      </c>
      <c r="D58" s="54">
        <f>'Business Segment Revenue'!F30/100</f>
        <v>0.22099792000000001</v>
      </c>
      <c r="E58" s="54">
        <f>'Business Segment Revenue'!G30/100</f>
        <v>0.22033032999999999</v>
      </c>
      <c r="F58" s="54">
        <f>'Business Segment Revenue'!H30/100</f>
        <v>-6.0136740000000001E-2</v>
      </c>
      <c r="G58" s="54">
        <f>'Business Segment Revenue'!I30/100</f>
        <v>-0.13836104000000002</v>
      </c>
      <c r="H58" s="54">
        <f>'Business Segment Revenue'!J30/100</f>
        <v>-0.15403171000000002</v>
      </c>
      <c r="I58" s="237">
        <f>'Business Segment Revenue'!K30/100</f>
        <v>-8.9816699999999999E-2</v>
      </c>
      <c r="J58" s="42">
        <f>Assumptions!B20</f>
        <v>-0.05</v>
      </c>
      <c r="K58" s="42">
        <f>Assumptions!C20</f>
        <v>0</v>
      </c>
      <c r="L58" s="42">
        <f>Assumptions!D20</f>
        <v>2.5000000000000001E-2</v>
      </c>
      <c r="M58" s="42">
        <f>Assumptions!E20</f>
        <v>0.03</v>
      </c>
      <c r="N58" s="42">
        <f>Assumptions!F20</f>
        <v>0.03</v>
      </c>
    </row>
    <row r="59" spans="2:15" ht="12" customHeight="1">
      <c r="B59" s="89" t="s">
        <v>83</v>
      </c>
      <c r="C59" s="103" t="s">
        <v>202</v>
      </c>
      <c r="D59" s="54">
        <f>'Business Segment Revenue'!F31/100</f>
        <v>0.18559877</v>
      </c>
      <c r="E59" s="54">
        <f>'Business Segment Revenue'!G31/100</f>
        <v>6.3657030000000003E-2</v>
      </c>
      <c r="F59" s="54">
        <f>'Business Segment Revenue'!H31/100</f>
        <v>-6.7786260000000001E-2</v>
      </c>
      <c r="G59" s="54">
        <f>'Business Segment Revenue'!I31/100</f>
        <v>0.10153947000000001</v>
      </c>
      <c r="H59" s="54">
        <f>'Business Segment Revenue'!J31/100</f>
        <v>-0.13529586999999998</v>
      </c>
      <c r="I59" s="237">
        <f>'Business Segment Revenue'!K31/100</f>
        <v>6.327373E-2</v>
      </c>
      <c r="J59" s="42">
        <f>Assumptions!B21</f>
        <v>0.03</v>
      </c>
      <c r="K59" s="42">
        <f>Assumptions!C21</f>
        <v>2.5000000000000001E-2</v>
      </c>
      <c r="L59" s="42">
        <f>Assumptions!D21</f>
        <v>0.02</v>
      </c>
      <c r="M59" s="42">
        <f>Assumptions!E21</f>
        <v>0.02</v>
      </c>
      <c r="N59" s="42">
        <f>Assumptions!F21</f>
        <v>0.02</v>
      </c>
    </row>
    <row r="60" spans="2:15" ht="12" customHeight="1">
      <c r="B60" s="89" t="s">
        <v>168</v>
      </c>
      <c r="C60" s="103" t="s">
        <v>202</v>
      </c>
      <c r="D60" s="54">
        <f>'Business Segment Revenue'!F32/100</f>
        <v>-3.1397849999999998E-2</v>
      </c>
      <c r="E60" s="54">
        <f>'Business Segment Revenue'!G32/100</f>
        <v>5.6838360000000004E-2</v>
      </c>
      <c r="F60" s="54">
        <f>'Business Segment Revenue'!H32/100</f>
        <v>-2.016807E-2</v>
      </c>
      <c r="G60" s="54">
        <f>'Business Segment Revenue'!I32/100</f>
        <v>8.4905659999999994E-2</v>
      </c>
      <c r="H60" s="54">
        <f>'Business Segment Revenue'!J32/100</f>
        <v>3.9920949999999997E-2</v>
      </c>
      <c r="I60" s="237">
        <f>'Business Segment Revenue'!K32/100</f>
        <v>9.5020899999999995E-3</v>
      </c>
      <c r="J60" s="42">
        <f>Assumptions!B22</f>
        <v>0.04</v>
      </c>
      <c r="K60" s="42">
        <f>Assumptions!C22</f>
        <v>0.05</v>
      </c>
      <c r="L60" s="42">
        <f>Assumptions!D22</f>
        <v>0.05</v>
      </c>
      <c r="M60" s="42">
        <f>Assumptions!E22</f>
        <v>0.04</v>
      </c>
      <c r="N60" s="42">
        <f>Assumptions!F22</f>
        <v>0.04</v>
      </c>
    </row>
    <row r="61" spans="2:15" ht="12" customHeight="1">
      <c r="B61" s="89" t="s">
        <v>169</v>
      </c>
      <c r="C61" s="103" t="s">
        <v>202</v>
      </c>
      <c r="D61" s="54">
        <f>'Business Segment Revenue'!F33/100</f>
        <v>-9.7674420000000012E-2</v>
      </c>
      <c r="E61" s="54">
        <f>'Business Segment Revenue'!G33/100</f>
        <v>0.32989689</v>
      </c>
      <c r="F61" s="54">
        <f>'Business Segment Revenue'!H33/100</f>
        <v>0.22868217000000002</v>
      </c>
      <c r="G61" s="54">
        <f>'Business Segment Revenue'!I33/100</f>
        <v>-4.1009460000000005E-2</v>
      </c>
      <c r="H61" s="54">
        <f>'Business Segment Revenue'!J33/100</f>
        <v>9.5394740000000006E-2</v>
      </c>
      <c r="I61" s="237">
        <f>'Business Segment Revenue'!K33/100</f>
        <v>-9.9099099999999996E-2</v>
      </c>
      <c r="J61" s="42">
        <f>Assumptions!B23</f>
        <v>0.08</v>
      </c>
      <c r="K61" s="42">
        <f>Assumptions!C23</f>
        <v>0.1</v>
      </c>
      <c r="L61" s="42">
        <f>Assumptions!D23</f>
        <v>0.08</v>
      </c>
      <c r="M61" s="42">
        <f>Assumptions!E23</f>
        <v>0.06</v>
      </c>
      <c r="N61" s="42">
        <f>Assumptions!F23</f>
        <v>0.05</v>
      </c>
    </row>
    <row r="62" spans="2:15" ht="12" customHeight="1">
      <c r="B62" s="37" t="s">
        <v>211</v>
      </c>
      <c r="C62" s="37"/>
      <c r="D62" s="37"/>
      <c r="E62" s="37"/>
      <c r="F62" s="37"/>
      <c r="G62" s="37"/>
      <c r="H62" s="37"/>
      <c r="I62" s="236"/>
      <c r="J62" s="37"/>
      <c r="K62" s="37"/>
      <c r="L62" s="37"/>
      <c r="M62" s="37"/>
      <c r="N62" s="37"/>
    </row>
    <row r="63" spans="2:15" ht="12" customHeight="1">
      <c r="B63" s="89" t="s">
        <v>74</v>
      </c>
      <c r="C63" s="103" t="s">
        <v>205</v>
      </c>
      <c r="D63" s="48">
        <f>'Business Segment Revenue'!F5</f>
        <v>21653</v>
      </c>
      <c r="E63" s="48">
        <f>'Business Segment Revenue'!G5</f>
        <v>22478</v>
      </c>
      <c r="F63" s="48">
        <f>'Business Segment Revenue'!H5</f>
        <v>19766</v>
      </c>
      <c r="G63" s="48">
        <f>'Business Segment Revenue'!I5</f>
        <v>18482</v>
      </c>
      <c r="H63" s="48">
        <f>'Business Segment Revenue'!J5</f>
        <v>18681</v>
      </c>
      <c r="I63" s="238">
        <f>'Business Segment Revenue'!K5</f>
        <v>19714</v>
      </c>
      <c r="J63" s="44">
        <f>I63*(1+J56)</f>
        <v>20108.28</v>
      </c>
      <c r="K63" s="44">
        <f t="shared" ref="J63:N68" si="15">J63*(1+K56)</f>
        <v>20912.611199999999</v>
      </c>
      <c r="L63" s="44">
        <f t="shared" si="15"/>
        <v>21539.989536000001</v>
      </c>
      <c r="M63" s="44">
        <f t="shared" si="15"/>
        <v>21970.789326720002</v>
      </c>
      <c r="N63" s="44">
        <f t="shared" si="15"/>
        <v>22410.2051132544</v>
      </c>
    </row>
    <row r="64" spans="2:15" ht="12" customHeight="1">
      <c r="B64" s="89" t="s">
        <v>77</v>
      </c>
      <c r="C64" s="103" t="s">
        <v>205</v>
      </c>
      <c r="D64" s="48">
        <f>'Business Segment Revenue'!F6</f>
        <v>14211</v>
      </c>
      <c r="E64" s="48">
        <f>'Business Segment Revenue'!G6</f>
        <v>16203</v>
      </c>
      <c r="F64" s="48">
        <f>'Business Segment Revenue'!H6</f>
        <v>14094</v>
      </c>
      <c r="G64" s="48">
        <f>'Business Segment Revenue'!I6</f>
        <v>12969</v>
      </c>
      <c r="H64" s="48">
        <f>'Business Segment Revenue'!J6</f>
        <v>12065</v>
      </c>
      <c r="I64" s="238">
        <f>'Business Segment Revenue'!K6</f>
        <v>11460</v>
      </c>
      <c r="J64" s="44">
        <f t="shared" si="15"/>
        <v>11230.8</v>
      </c>
      <c r="K64" s="44">
        <f t="shared" si="15"/>
        <v>11399.261999999999</v>
      </c>
      <c r="L64" s="44">
        <f t="shared" si="15"/>
        <v>11627.247239999999</v>
      </c>
      <c r="M64" s="44">
        <f t="shared" si="15"/>
        <v>11859.792184799999</v>
      </c>
      <c r="N64" s="44">
        <f t="shared" si="15"/>
        <v>12096.988028495998</v>
      </c>
    </row>
    <row r="65" spans="2:14" ht="12" customHeight="1">
      <c r="B65" s="89" t="s">
        <v>80</v>
      </c>
      <c r="C65" s="103" t="s">
        <v>205</v>
      </c>
      <c r="D65" s="48">
        <f>'Business Segment Revenue'!F7</f>
        <v>5873</v>
      </c>
      <c r="E65" s="48">
        <f>'Business Segment Revenue'!G7</f>
        <v>7167</v>
      </c>
      <c r="F65" s="48">
        <f>'Business Segment Revenue'!H7</f>
        <v>6736</v>
      </c>
      <c r="G65" s="48">
        <f>'Business Segment Revenue'!I7</f>
        <v>5804</v>
      </c>
      <c r="H65" s="48">
        <f>'Business Segment Revenue'!J7</f>
        <v>4910</v>
      </c>
      <c r="I65" s="238">
        <f>'Business Segment Revenue'!K7</f>
        <v>4469</v>
      </c>
      <c r="J65" s="44">
        <f t="shared" si="15"/>
        <v>4245.55</v>
      </c>
      <c r="K65" s="44">
        <f t="shared" si="15"/>
        <v>4245.55</v>
      </c>
      <c r="L65" s="44">
        <f t="shared" si="15"/>
        <v>4351.6887500000003</v>
      </c>
      <c r="M65" s="44">
        <f t="shared" si="15"/>
        <v>4482.2394125000001</v>
      </c>
      <c r="N65" s="44">
        <f t="shared" si="15"/>
        <v>4616.7065948750005</v>
      </c>
    </row>
    <row r="66" spans="2:14" ht="12" customHeight="1">
      <c r="B66" s="89" t="s">
        <v>83</v>
      </c>
      <c r="C66" s="103" t="s">
        <v>205</v>
      </c>
      <c r="D66" s="48">
        <f>'Business Segment Revenue'!F8</f>
        <v>3079</v>
      </c>
      <c r="E66" s="48">
        <f>'Business Segment Revenue'!G8</f>
        <v>3275</v>
      </c>
      <c r="F66" s="48">
        <f>'Business Segment Revenue'!H8</f>
        <v>3053</v>
      </c>
      <c r="G66" s="48">
        <f>'Business Segment Revenue'!I8</f>
        <v>3363</v>
      </c>
      <c r="H66" s="48">
        <f>'Business Segment Revenue'!J8</f>
        <v>2908</v>
      </c>
      <c r="I66" s="238">
        <f>'Business Segment Revenue'!K8</f>
        <v>3092</v>
      </c>
      <c r="J66" s="44">
        <f t="shared" si="15"/>
        <v>3184.76</v>
      </c>
      <c r="K66" s="44">
        <f t="shared" si="15"/>
        <v>3264.3789999999999</v>
      </c>
      <c r="L66" s="44">
        <f t="shared" si="15"/>
        <v>3329.6665800000001</v>
      </c>
      <c r="M66" s="44">
        <f t="shared" si="15"/>
        <v>3396.2599116000001</v>
      </c>
      <c r="N66" s="44">
        <f t="shared" si="15"/>
        <v>3464.1851098320003</v>
      </c>
    </row>
    <row r="67" spans="2:14" ht="12" customHeight="1">
      <c r="B67" s="89" t="s">
        <v>168</v>
      </c>
      <c r="C67" s="103" t="s">
        <v>205</v>
      </c>
      <c r="D67" s="48">
        <f>'Business Segment Revenue'!F9</f>
        <v>2252</v>
      </c>
      <c r="E67" s="48">
        <f>'Business Segment Revenue'!G9</f>
        <v>2380</v>
      </c>
      <c r="F67" s="48">
        <f>'Business Segment Revenue'!H9</f>
        <v>2332</v>
      </c>
      <c r="G67" s="48">
        <f>'Business Segment Revenue'!I9</f>
        <v>2530</v>
      </c>
      <c r="H67" s="48">
        <f>'Business Segment Revenue'!J9</f>
        <v>2631</v>
      </c>
      <c r="I67" s="238">
        <f>'Business Segment Revenue'!K9</f>
        <v>2656</v>
      </c>
      <c r="J67" s="44">
        <f t="shared" si="15"/>
        <v>2762.2400000000002</v>
      </c>
      <c r="K67" s="44">
        <f t="shared" si="15"/>
        <v>2900.3520000000003</v>
      </c>
      <c r="L67" s="44">
        <f t="shared" si="15"/>
        <v>3045.3696000000004</v>
      </c>
      <c r="M67" s="44">
        <f t="shared" si="15"/>
        <v>3167.1843840000006</v>
      </c>
      <c r="N67" s="44">
        <f t="shared" si="15"/>
        <v>3293.8717593600009</v>
      </c>
    </row>
    <row r="68" spans="2:14" ht="12" customHeight="1">
      <c r="B68" s="89" t="s">
        <v>169</v>
      </c>
      <c r="C68" s="103" t="s">
        <v>205</v>
      </c>
      <c r="D68" s="48">
        <f>'Business Segment Revenue'!F10</f>
        <v>194</v>
      </c>
      <c r="E68" s="48">
        <f>'Business Segment Revenue'!G10</f>
        <v>258</v>
      </c>
      <c r="F68" s="48">
        <f>'Business Segment Revenue'!H10</f>
        <v>317</v>
      </c>
      <c r="G68" s="48">
        <f>'Business Segment Revenue'!I10</f>
        <v>304</v>
      </c>
      <c r="H68" s="48">
        <f>'Business Segment Revenue'!J10</f>
        <v>333</v>
      </c>
      <c r="I68" s="238">
        <f>'Business Segment Revenue'!K10</f>
        <v>300</v>
      </c>
      <c r="J68" s="44">
        <f t="shared" si="15"/>
        <v>324</v>
      </c>
      <c r="K68" s="44">
        <f t="shared" si="15"/>
        <v>356.40000000000003</v>
      </c>
      <c r="L68" s="44">
        <f t="shared" si="15"/>
        <v>384.91200000000003</v>
      </c>
      <c r="M68" s="44">
        <f t="shared" si="15"/>
        <v>408.00672000000003</v>
      </c>
      <c r="N68" s="44">
        <f t="shared" si="15"/>
        <v>428.40705600000007</v>
      </c>
    </row>
    <row r="69" spans="2:14" ht="12" customHeight="1">
      <c r="B69" s="121" t="s">
        <v>171</v>
      </c>
      <c r="C69" s="126" t="s">
        <v>205</v>
      </c>
      <c r="D69" s="127">
        <f>SUM(D63:D68)</f>
        <v>47262</v>
      </c>
      <c r="E69" s="127">
        <f t="shared" ref="E69:M69" si="16">SUM(E63:E68)</f>
        <v>51761</v>
      </c>
      <c r="F69" s="127">
        <f t="shared" si="16"/>
        <v>46298</v>
      </c>
      <c r="G69" s="127">
        <f t="shared" si="16"/>
        <v>43452</v>
      </c>
      <c r="H69" s="127">
        <f t="shared" si="16"/>
        <v>41528</v>
      </c>
      <c r="I69" s="239">
        <f t="shared" si="16"/>
        <v>41691</v>
      </c>
      <c r="J69" s="127">
        <f>SUM(J63:J68)</f>
        <v>41855.629999999997</v>
      </c>
      <c r="K69" s="127">
        <f t="shared" si="16"/>
        <v>43078.554199999999</v>
      </c>
      <c r="L69" s="127">
        <f t="shared" si="16"/>
        <v>44278.873705999991</v>
      </c>
      <c r="M69" s="127">
        <f t="shared" si="16"/>
        <v>45284.271939619997</v>
      </c>
      <c r="N69" s="127">
        <f>SUM(N63:N68)</f>
        <v>46310.363661817399</v>
      </c>
    </row>
    <row r="70" spans="2:14">
      <c r="I70" s="220"/>
    </row>
    <row r="71" spans="2:14" ht="12" customHeight="1">
      <c r="B71" s="37" t="s">
        <v>172</v>
      </c>
      <c r="C71" s="37"/>
      <c r="D71" s="37"/>
      <c r="E71" s="37"/>
      <c r="F71" s="37"/>
      <c r="G71" s="37"/>
      <c r="H71" s="37"/>
      <c r="I71" s="236"/>
      <c r="J71" s="37"/>
      <c r="K71" s="37"/>
      <c r="L71" s="37"/>
      <c r="M71" s="37"/>
      <c r="N71" s="37"/>
    </row>
    <row r="72" spans="2:14" ht="12" customHeight="1">
      <c r="B72" s="89" t="s">
        <v>74</v>
      </c>
      <c r="C72" s="103" t="s">
        <v>202</v>
      </c>
      <c r="D72" s="47">
        <f>D63/D69</f>
        <v>0.45814819516736488</v>
      </c>
      <c r="E72" s="47">
        <f t="shared" ref="E72:N72" si="17">E63/E69</f>
        <v>0.43426518034813855</v>
      </c>
      <c r="F72" s="47">
        <f t="shared" si="17"/>
        <v>0.42692988898008555</v>
      </c>
      <c r="G72" s="47">
        <f t="shared" si="17"/>
        <v>0.42534290711589801</v>
      </c>
      <c r="H72" s="47">
        <f t="shared" si="17"/>
        <v>0.44984107108456944</v>
      </c>
      <c r="I72" s="240">
        <f t="shared" si="17"/>
        <v>0.47285984984768897</v>
      </c>
      <c r="J72" s="47">
        <f t="shared" si="17"/>
        <v>0.48041995784079705</v>
      </c>
      <c r="K72" s="47">
        <f t="shared" si="17"/>
        <v>0.48545294957925955</v>
      </c>
      <c r="L72" s="47">
        <f t="shared" si="17"/>
        <v>0.4864620016990458</v>
      </c>
      <c r="M72" s="47">
        <f t="shared" si="17"/>
        <v>0.4851748385402963</v>
      </c>
      <c r="N72" s="47">
        <f t="shared" si="17"/>
        <v>0.48391339089680852</v>
      </c>
    </row>
    <row r="73" spans="2:14" ht="12" customHeight="1">
      <c r="B73" s="89" t="s">
        <v>77</v>
      </c>
      <c r="C73" s="103" t="s">
        <v>202</v>
      </c>
      <c r="D73" s="47">
        <f>D64/D69</f>
        <v>0.30068554018027166</v>
      </c>
      <c r="E73" s="47">
        <f t="shared" ref="E73:N73" si="18">E64/E69</f>
        <v>0.31303491045381659</v>
      </c>
      <c r="F73" s="47">
        <f t="shared" si="18"/>
        <v>0.30441919737353668</v>
      </c>
      <c r="G73" s="47">
        <f t="shared" si="18"/>
        <v>0.29846727423363711</v>
      </c>
      <c r="H73" s="47">
        <f t="shared" si="18"/>
        <v>0.290526873434791</v>
      </c>
      <c r="I73" s="240">
        <f t="shared" si="18"/>
        <v>0.27487947038929267</v>
      </c>
      <c r="J73" s="47">
        <f t="shared" si="18"/>
        <v>0.26832232605267203</v>
      </c>
      <c r="K73" s="47">
        <f t="shared" si="18"/>
        <v>0.26461570523181577</v>
      </c>
      <c r="L73" s="47">
        <f t="shared" si="18"/>
        <v>0.26259130521706231</v>
      </c>
      <c r="M73" s="47">
        <f t="shared" si="18"/>
        <v>0.26189649688115357</v>
      </c>
      <c r="N73" s="47">
        <f t="shared" si="18"/>
        <v>0.26121556973368981</v>
      </c>
    </row>
    <row r="74" spans="2:14" ht="12" customHeight="1">
      <c r="B74" s="89" t="s">
        <v>80</v>
      </c>
      <c r="C74" s="103" t="s">
        <v>202</v>
      </c>
      <c r="D74" s="47">
        <f t="shared" ref="D74:N74" si="19">D65/D69</f>
        <v>0.12426473699801109</v>
      </c>
      <c r="E74" s="47">
        <f t="shared" si="19"/>
        <v>0.13846332180599294</v>
      </c>
      <c r="F74" s="47">
        <f t="shared" si="19"/>
        <v>0.14549224588535142</v>
      </c>
      <c r="G74" s="47">
        <f t="shared" si="19"/>
        <v>0.13357267789745006</v>
      </c>
      <c r="H74" s="47">
        <f t="shared" si="19"/>
        <v>0.11823348102485071</v>
      </c>
      <c r="I74" s="240">
        <f t="shared" si="19"/>
        <v>0.10719339905495191</v>
      </c>
      <c r="J74" s="47">
        <f t="shared" si="19"/>
        <v>0.10143318831899079</v>
      </c>
      <c r="K74" s="47">
        <f t="shared" si="19"/>
        <v>9.8553678944034759E-2</v>
      </c>
      <c r="L74" s="47">
        <f t="shared" si="19"/>
        <v>9.8279120171259601E-2</v>
      </c>
      <c r="M74" s="47">
        <f t="shared" si="19"/>
        <v>9.8980048050157809E-2</v>
      </c>
      <c r="N74" s="47">
        <f t="shared" si="19"/>
        <v>9.9690570961364439E-2</v>
      </c>
    </row>
    <row r="75" spans="2:14" ht="12" customHeight="1">
      <c r="B75" s="89" t="s">
        <v>83</v>
      </c>
      <c r="C75" s="103" t="s">
        <v>202</v>
      </c>
      <c r="D75" s="47">
        <f t="shared" ref="D75:N75" si="20">D66/D69</f>
        <v>6.5147475773348562E-2</v>
      </c>
      <c r="E75" s="47">
        <f t="shared" si="20"/>
        <v>6.3271575124128204E-2</v>
      </c>
      <c r="F75" s="47">
        <f t="shared" si="20"/>
        <v>6.5942373320661801E-2</v>
      </c>
      <c r="G75" s="47">
        <f t="shared" si="20"/>
        <v>7.7395747031206844E-2</v>
      </c>
      <c r="H75" s="47">
        <f t="shared" si="20"/>
        <v>7.0025043344249666E-2</v>
      </c>
      <c r="I75" s="240">
        <f t="shared" si="20"/>
        <v>7.4164687822311767E-2</v>
      </c>
      <c r="J75" s="47">
        <f t="shared" si="20"/>
        <v>7.6089166499226035E-2</v>
      </c>
      <c r="K75" s="47">
        <f t="shared" si="20"/>
        <v>7.5777357449011137E-2</v>
      </c>
      <c r="L75" s="47">
        <f t="shared" si="20"/>
        <v>7.519763492874966E-2</v>
      </c>
      <c r="M75" s="47">
        <f t="shared" si="20"/>
        <v>7.4998664351464447E-2</v>
      </c>
      <c r="N75" s="47">
        <f t="shared" si="20"/>
        <v>7.4803668896433195E-2</v>
      </c>
    </row>
    <row r="76" spans="2:14" ht="12" customHeight="1">
      <c r="B76" s="89" t="s">
        <v>168</v>
      </c>
      <c r="C76" s="103" t="s">
        <v>202</v>
      </c>
      <c r="D76" s="47">
        <f t="shared" ref="D76:N76" si="21">D67/D69</f>
        <v>4.7649274258389406E-2</v>
      </c>
      <c r="E76" s="47">
        <f t="shared" si="21"/>
        <v>4.5980564517687061E-2</v>
      </c>
      <c r="F76" s="47">
        <f t="shared" si="21"/>
        <v>5.0369346408052185E-2</v>
      </c>
      <c r="G76" s="47">
        <f t="shared" si="21"/>
        <v>5.8225168001472892E-2</v>
      </c>
      <c r="H76" s="47">
        <f t="shared" si="21"/>
        <v>6.3354844923906764E-2</v>
      </c>
      <c r="I76" s="240">
        <f t="shared" si="21"/>
        <v>6.3706795231584748E-2</v>
      </c>
      <c r="J76" s="47">
        <f t="shared" si="21"/>
        <v>6.5994467172038759E-2</v>
      </c>
      <c r="K76" s="47">
        <f t="shared" si="21"/>
        <v>6.7327050637182251E-2</v>
      </c>
      <c r="L76" s="47">
        <f t="shared" si="21"/>
        <v>6.8777033946717997E-2</v>
      </c>
      <c r="M76" s="47">
        <f t="shared" si="21"/>
        <v>6.9940053098854746E-2</v>
      </c>
      <c r="N76" s="47">
        <f t="shared" si="21"/>
        <v>7.1126017999201707E-2</v>
      </c>
    </row>
    <row r="77" spans="2:14" ht="12" customHeight="1">
      <c r="B77" s="128" t="s">
        <v>169</v>
      </c>
      <c r="C77" s="106" t="s">
        <v>202</v>
      </c>
      <c r="D77" s="129">
        <f t="shared" ref="D77:N77" si="22">D68/D69</f>
        <v>4.1047776226143624E-3</v>
      </c>
      <c r="E77" s="129">
        <f t="shared" si="22"/>
        <v>4.9844477502366648E-3</v>
      </c>
      <c r="F77" s="129">
        <f t="shared" si="22"/>
        <v>6.8469480323124108E-3</v>
      </c>
      <c r="G77" s="129">
        <f t="shared" si="22"/>
        <v>6.9962257203350824E-3</v>
      </c>
      <c r="H77" s="129">
        <f t="shared" si="22"/>
        <v>8.0186861876324414E-3</v>
      </c>
      <c r="I77" s="241">
        <f t="shared" si="22"/>
        <v>7.195797654169965E-3</v>
      </c>
      <c r="J77" s="129">
        <f t="shared" si="22"/>
        <v>7.7408941162753972E-3</v>
      </c>
      <c r="K77" s="129">
        <f t="shared" si="22"/>
        <v>8.2732581586965163E-3</v>
      </c>
      <c r="L77" s="129">
        <f t="shared" si="22"/>
        <v>8.6929040371648541E-3</v>
      </c>
      <c r="M77" s="129">
        <f t="shared" si="22"/>
        <v>9.0098990780732389E-3</v>
      </c>
      <c r="N77" s="129">
        <f t="shared" si="22"/>
        <v>9.2507815125023301E-3</v>
      </c>
    </row>
    <row r="78" spans="2:14">
      <c r="I78" s="220"/>
    </row>
    <row r="79" spans="2:14">
      <c r="B79" s="72" t="s">
        <v>212</v>
      </c>
      <c r="C79" s="72"/>
      <c r="D79" s="72"/>
      <c r="E79" s="72"/>
      <c r="F79" s="72"/>
      <c r="G79" s="72"/>
      <c r="H79" s="72"/>
      <c r="I79" s="242"/>
      <c r="J79" s="72"/>
      <c r="K79" s="72"/>
      <c r="L79" s="72"/>
      <c r="M79" s="72"/>
      <c r="N79" s="72"/>
    </row>
    <row r="80" spans="2:14" ht="12" customHeight="1">
      <c r="B80" s="37" t="s">
        <v>173</v>
      </c>
      <c r="C80" s="37"/>
      <c r="D80" s="37"/>
      <c r="E80" s="37"/>
      <c r="F80" s="37"/>
      <c r="G80" s="37"/>
      <c r="H80" s="37"/>
      <c r="I80" s="236"/>
      <c r="J80" s="37"/>
      <c r="K80" s="37"/>
      <c r="L80" s="37"/>
      <c r="M80" s="37"/>
      <c r="N80" s="37"/>
    </row>
    <row r="81" spans="2:14" ht="12" customHeight="1">
      <c r="B81" s="50" t="s">
        <v>174</v>
      </c>
      <c r="C81" s="103" t="s">
        <v>205</v>
      </c>
      <c r="D81" s="88">
        <f>D69</f>
        <v>47262</v>
      </c>
      <c r="E81" s="88">
        <f t="shared" ref="E81:N81" si="23">E69</f>
        <v>51761</v>
      </c>
      <c r="F81" s="88">
        <f t="shared" si="23"/>
        <v>46298</v>
      </c>
      <c r="G81" s="88">
        <f t="shared" si="23"/>
        <v>43452</v>
      </c>
      <c r="H81" s="88">
        <f t="shared" si="23"/>
        <v>41528</v>
      </c>
      <c r="I81" s="222">
        <f t="shared" si="23"/>
        <v>41691</v>
      </c>
      <c r="J81" s="88">
        <f t="shared" si="23"/>
        <v>41855.629999999997</v>
      </c>
      <c r="K81" s="88">
        <f t="shared" si="23"/>
        <v>43078.554199999999</v>
      </c>
      <c r="L81" s="88">
        <f t="shared" si="23"/>
        <v>44278.873705999991</v>
      </c>
      <c r="M81" s="88">
        <f t="shared" si="23"/>
        <v>45284.271939619997</v>
      </c>
      <c r="N81" s="88">
        <f t="shared" si="23"/>
        <v>46310.363661817399</v>
      </c>
    </row>
    <row r="82" spans="2:14" ht="12" customHeight="1">
      <c r="B82" s="36" t="s">
        <v>175</v>
      </c>
      <c r="C82" s="103" t="s">
        <v>205</v>
      </c>
      <c r="D82" s="87">
        <f t="shared" ref="D82:N82" si="24">D43+D51</f>
        <v>48380.877500000002</v>
      </c>
      <c r="E82" s="87">
        <f t="shared" si="24"/>
        <v>52851.214379746838</v>
      </c>
      <c r="F82" s="87">
        <f t="shared" si="24"/>
        <v>46837.458752293584</v>
      </c>
      <c r="G82" s="87">
        <f t="shared" si="24"/>
        <v>43467.532040465783</v>
      </c>
      <c r="H82" s="87">
        <f t="shared" si="24"/>
        <v>42432.799999999996</v>
      </c>
      <c r="I82" s="228">
        <f t="shared" si="24"/>
        <v>41756.621999999996</v>
      </c>
      <c r="J82" s="87">
        <f t="shared" si="24"/>
        <v>40558.580122145511</v>
      </c>
      <c r="K82" s="87">
        <f t="shared" si="24"/>
        <v>41086.64161459876</v>
      </c>
      <c r="L82" s="87">
        <f t="shared" si="24"/>
        <v>41807.897593330934</v>
      </c>
      <c r="M82" s="87">
        <f t="shared" si="24"/>
        <v>42752.473658830277</v>
      </c>
      <c r="N82" s="87">
        <f t="shared" si="24"/>
        <v>43719.468771303284</v>
      </c>
    </row>
    <row r="83" spans="2:14" ht="12" customHeight="1">
      <c r="B83" s="50" t="s">
        <v>176</v>
      </c>
      <c r="C83" s="103" t="s">
        <v>205</v>
      </c>
      <c r="D83" s="88">
        <f t="shared" ref="D83:N83" si="25">D82-D81</f>
        <v>1118.8775000000023</v>
      </c>
      <c r="E83" s="88">
        <f t="shared" si="25"/>
        <v>1090.2143797468379</v>
      </c>
      <c r="F83" s="88">
        <f t="shared" si="25"/>
        <v>539.45875229358353</v>
      </c>
      <c r="G83" s="88">
        <f t="shared" si="25"/>
        <v>15.532040465783211</v>
      </c>
      <c r="H83" s="88">
        <f t="shared" si="25"/>
        <v>904.79999999999563</v>
      </c>
      <c r="I83" s="222">
        <f t="shared" si="25"/>
        <v>65.621999999995751</v>
      </c>
      <c r="J83" s="88">
        <f t="shared" si="25"/>
        <v>-1297.0498778544861</v>
      </c>
      <c r="K83" s="88">
        <f t="shared" si="25"/>
        <v>-1991.9125854012382</v>
      </c>
      <c r="L83" s="88">
        <f t="shared" si="25"/>
        <v>-2470.9761126690573</v>
      </c>
      <c r="M83" s="88">
        <f t="shared" si="25"/>
        <v>-2531.7982807897206</v>
      </c>
      <c r="N83" s="88">
        <f t="shared" si="25"/>
        <v>-2590.8948905141151</v>
      </c>
    </row>
    <row r="84" spans="2:14" ht="12" customHeight="1">
      <c r="B84" s="55" t="s">
        <v>177</v>
      </c>
      <c r="C84" s="130" t="s">
        <v>202</v>
      </c>
      <c r="D84" s="131">
        <f t="shared" ref="D84:N84" si="26">IFERROR(D83/D81,0)</f>
        <v>2.3673934662096448E-2</v>
      </c>
      <c r="E84" s="131">
        <f t="shared" si="26"/>
        <v>2.1062467489941037E-2</v>
      </c>
      <c r="F84" s="131">
        <f t="shared" si="26"/>
        <v>1.1651880260347823E-2</v>
      </c>
      <c r="G84" s="131">
        <f t="shared" si="26"/>
        <v>3.5745283222367698E-4</v>
      </c>
      <c r="H84" s="131">
        <f t="shared" si="26"/>
        <v>2.1787709497206598E-2</v>
      </c>
      <c r="I84" s="243">
        <f t="shared" si="26"/>
        <v>1.5740087788730362E-3</v>
      </c>
      <c r="J84" s="131">
        <f t="shared" si="26"/>
        <v>-3.0988659777776279E-2</v>
      </c>
      <c r="K84" s="131">
        <f t="shared" si="26"/>
        <v>-4.6239077016220716E-2</v>
      </c>
      <c r="L84" s="131">
        <f t="shared" si="26"/>
        <v>-5.5804854682521624E-2</v>
      </c>
      <c r="M84" s="131">
        <f t="shared" si="26"/>
        <v>-5.5908998253643254E-2</v>
      </c>
      <c r="N84" s="131">
        <f t="shared" si="26"/>
        <v>-5.5946330057656007E-2</v>
      </c>
    </row>
    <row r="85" spans="2:14">
      <c r="I85" s="220"/>
    </row>
    <row r="86" spans="2:14">
      <c r="B86" s="36" t="s">
        <v>213</v>
      </c>
      <c r="D86" s="191">
        <f t="shared" ref="D86:N86" si="27">D51/D52</f>
        <v>9.324861873371354E-2</v>
      </c>
      <c r="E86" s="192">
        <f t="shared" si="27"/>
        <v>8.4788099054867255E-2</v>
      </c>
      <c r="F86" s="192">
        <f t="shared" si="27"/>
        <v>7.9800358507216645E-2</v>
      </c>
      <c r="G86" s="192">
        <f t="shared" si="27"/>
        <v>7.8273511636975407E-2</v>
      </c>
      <c r="H86" s="192">
        <f t="shared" si="27"/>
        <v>7.8670863105899214E-2</v>
      </c>
      <c r="I86" s="244">
        <f t="shared" si="27"/>
        <v>8.0602065942977863E-2</v>
      </c>
      <c r="J86" s="192">
        <f t="shared" si="27"/>
        <v>8.1625391964655195E-2</v>
      </c>
      <c r="K86" s="192">
        <f t="shared" si="27"/>
        <v>8.138207379821287E-2</v>
      </c>
      <c r="L86" s="192">
        <f t="shared" si="27"/>
        <v>8.1177768719979351E-2</v>
      </c>
      <c r="M86" s="192">
        <f t="shared" si="27"/>
        <v>8.0971905999057806E-2</v>
      </c>
      <c r="N86" s="192">
        <f t="shared" si="27"/>
        <v>8.076457384162633E-2</v>
      </c>
    </row>
    <row r="87" spans="2:14">
      <c r="B87" s="36" t="s">
        <v>214</v>
      </c>
      <c r="D87" s="192">
        <f t="shared" ref="D87:N87" si="28">D43/D52</f>
        <v>0.90675138126628652</v>
      </c>
      <c r="E87" s="192">
        <f t="shared" si="28"/>
        <v>0.91521190094513272</v>
      </c>
      <c r="F87" s="192">
        <f t="shared" si="28"/>
        <v>0.92019964149278333</v>
      </c>
      <c r="G87" s="192">
        <f t="shared" si="28"/>
        <v>0.92172648836302451</v>
      </c>
      <c r="H87" s="192">
        <f t="shared" si="28"/>
        <v>0.92132913689410079</v>
      </c>
      <c r="I87" s="244">
        <f t="shared" si="28"/>
        <v>0.91939793405702219</v>
      </c>
      <c r="J87" s="192">
        <f t="shared" si="28"/>
        <v>0.91837460803534476</v>
      </c>
      <c r="K87" s="192">
        <f t="shared" si="28"/>
        <v>0.91861792620178717</v>
      </c>
      <c r="L87" s="192">
        <f t="shared" si="28"/>
        <v>0.91882223128002072</v>
      </c>
      <c r="M87" s="192">
        <f t="shared" si="28"/>
        <v>0.91902809400094232</v>
      </c>
      <c r="N87" s="192">
        <f t="shared" si="28"/>
        <v>0.91923542615837373</v>
      </c>
    </row>
  </sheetData>
  <mergeCells count="1">
    <mergeCell ref="B1:M1"/>
  </mergeCells>
  <pageMargins left="0.7" right="0.7" top="0.75" bottom="0.75" header="0.511811023622047" footer="0.511811023622047"/>
  <pageSetup paperSize="9" orientation="portrait" horizontalDpi="300" verticalDpi="300"/>
  <legacy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602898-A61E-4854-A0DF-E5B3C8BD14AB}">
  <sheetPr>
    <tabColor theme="9" tint="-0.249977111117893"/>
  </sheetPr>
  <dimension ref="B1:N46"/>
  <sheetViews>
    <sheetView showGridLines="0" zoomScale="78" workbookViewId="0">
      <selection activeCell="B1" sqref="B1:H1"/>
    </sheetView>
  </sheetViews>
  <sheetFormatPr baseColWidth="10" defaultColWidth="11.5" defaultRowHeight="13"/>
  <cols>
    <col min="1" max="1" width="3.6640625" customWidth="1"/>
    <col min="2" max="2" width="34.83203125" bestFit="1" customWidth="1"/>
  </cols>
  <sheetData>
    <row r="1" spans="2:9" ht="18">
      <c r="B1" s="648" t="s">
        <v>556</v>
      </c>
      <c r="C1" s="648"/>
      <c r="D1" s="648"/>
      <c r="E1" s="648"/>
      <c r="F1" s="648"/>
      <c r="G1" s="648"/>
      <c r="H1" s="648"/>
    </row>
    <row r="2" spans="2:9">
      <c r="B2" s="649" t="s">
        <v>525</v>
      </c>
      <c r="C2" s="649"/>
      <c r="D2" s="649"/>
      <c r="E2" s="649"/>
      <c r="F2" s="649"/>
      <c r="G2" s="649"/>
      <c r="H2" s="649"/>
    </row>
    <row r="3" spans="2:9">
      <c r="B3" s="349" t="s">
        <v>526</v>
      </c>
      <c r="C3" s="350">
        <f>WACC!C22</f>
        <v>0.10490729436769394</v>
      </c>
      <c r="D3" s="351"/>
      <c r="E3" s="351"/>
      <c r="F3" s="351"/>
      <c r="G3" s="351"/>
      <c r="H3" s="351"/>
    </row>
    <row r="4" spans="2:9">
      <c r="B4" s="349" t="s">
        <v>527</v>
      </c>
      <c r="C4" s="350">
        <f>Assumptions!B30</f>
        <v>0.02</v>
      </c>
      <c r="D4" s="351"/>
      <c r="E4" s="351"/>
      <c r="F4" s="351"/>
      <c r="G4" s="351"/>
      <c r="H4" s="351"/>
    </row>
    <row r="5" spans="2:9">
      <c r="B5" s="352" t="s">
        <v>120</v>
      </c>
      <c r="C5" s="352" t="s">
        <v>127</v>
      </c>
      <c r="D5" s="352" t="s">
        <v>36</v>
      </c>
      <c r="E5" s="352" t="s">
        <v>37</v>
      </c>
      <c r="F5" s="352" t="s">
        <v>38</v>
      </c>
      <c r="G5" s="352" t="s">
        <v>39</v>
      </c>
      <c r="H5" s="352" t="s">
        <v>40</v>
      </c>
      <c r="I5" s="372" t="s">
        <v>41</v>
      </c>
    </row>
    <row r="6" spans="2:9">
      <c r="B6" s="349" t="s">
        <v>165</v>
      </c>
      <c r="C6" s="353"/>
      <c r="D6" s="353">
        <f>'Revenue Build - Final Bear Case'!J52</f>
        <v>40558.580122145511</v>
      </c>
      <c r="E6" s="353">
        <f>'Revenue Build - Final Bear Case'!K52</f>
        <v>41086.64161459876</v>
      </c>
      <c r="F6" s="353">
        <f>'Revenue Build - Final Bear Case'!L52</f>
        <v>41807.897593330934</v>
      </c>
      <c r="G6" s="353">
        <f>'Revenue Build - Final Bear Case'!M52</f>
        <v>42752.473658830277</v>
      </c>
      <c r="H6" s="353">
        <f>'Revenue Build - Final Bear Case'!N52</f>
        <v>43719.468771303284</v>
      </c>
      <c r="I6" s="371" t="s">
        <v>557</v>
      </c>
    </row>
    <row r="7" spans="2:9">
      <c r="B7" s="354" t="s">
        <v>528</v>
      </c>
      <c r="C7" s="354"/>
      <c r="D7" s="354"/>
      <c r="E7" s="354"/>
      <c r="F7" s="354"/>
      <c r="G7" s="354"/>
      <c r="H7" s="354"/>
    </row>
    <row r="8" spans="2:9">
      <c r="B8" s="349" t="s">
        <v>115</v>
      </c>
      <c r="D8" s="370">
        <v>4.2999999999999997E-2</v>
      </c>
      <c r="E8" s="370">
        <v>4.5999999999999999E-2</v>
      </c>
      <c r="F8" s="370">
        <v>4.9000000000000002E-2</v>
      </c>
      <c r="G8" s="370">
        <v>5.0999999999999997E-2</v>
      </c>
      <c r="H8" s="370">
        <v>5.2999999999999999E-2</v>
      </c>
    </row>
    <row r="9" spans="2:9">
      <c r="B9" t="s">
        <v>558</v>
      </c>
      <c r="D9" s="370">
        <f>D8-2%</f>
        <v>2.2999999999999996E-2</v>
      </c>
      <c r="E9" s="370">
        <f>E8-2%</f>
        <v>2.5999999999999999E-2</v>
      </c>
      <c r="F9" s="370">
        <f>F8-2%</f>
        <v>2.9000000000000001E-2</v>
      </c>
      <c r="G9" s="370">
        <f>G8-2%</f>
        <v>3.0999999999999996E-2</v>
      </c>
      <c r="H9" s="370">
        <f>H8-2%</f>
        <v>3.3000000000000002E-2</v>
      </c>
      <c r="I9" s="371" t="s">
        <v>559</v>
      </c>
    </row>
    <row r="10" spans="2:9">
      <c r="B10" s="355" t="s">
        <v>529</v>
      </c>
      <c r="C10" s="355"/>
      <c r="D10" s="356">
        <f>D9*D6</f>
        <v>932.84734280934663</v>
      </c>
      <c r="E10" s="356">
        <f>E9*E6</f>
        <v>1068.2526819795678</v>
      </c>
      <c r="F10" s="356">
        <f>F9*F6</f>
        <v>1212.4290302065972</v>
      </c>
      <c r="G10" s="356">
        <f>G9*G6</f>
        <v>1325.3266834237384</v>
      </c>
      <c r="H10" s="356">
        <f>H9*H6</f>
        <v>1442.7424694530084</v>
      </c>
    </row>
    <row r="11" spans="2:9">
      <c r="B11" s="267" t="s">
        <v>530</v>
      </c>
      <c r="C11" s="267"/>
      <c r="D11" s="357">
        <f>Assumptions!B33*D10</f>
        <v>223.88336227424318</v>
      </c>
      <c r="E11" s="357">
        <f>Assumptions!C33*E10</f>
        <v>256.38064367509628</v>
      </c>
      <c r="F11" s="357">
        <f>Assumptions!D33*F10</f>
        <v>290.98296724958334</v>
      </c>
      <c r="G11" s="357">
        <f>Assumptions!E33*G10</f>
        <v>318.07840402169717</v>
      </c>
      <c r="H11" s="357">
        <f>Assumptions!F33*H10</f>
        <v>346.25819266872202</v>
      </c>
    </row>
    <row r="12" spans="2:9">
      <c r="B12" s="358" t="s">
        <v>531</v>
      </c>
      <c r="C12" s="358" t="s">
        <v>245</v>
      </c>
      <c r="D12" s="359">
        <f>D10-D11</f>
        <v>708.96398053510347</v>
      </c>
      <c r="E12" s="359">
        <f>E10-E11</f>
        <v>811.87203830447152</v>
      </c>
      <c r="F12" s="359">
        <f>F10-F11</f>
        <v>921.44606295701385</v>
      </c>
      <c r="G12" s="359">
        <f>G10-G11</f>
        <v>1007.2482794020411</v>
      </c>
      <c r="H12" s="359">
        <f>H10-H11</f>
        <v>1096.4842767842865</v>
      </c>
    </row>
    <row r="13" spans="2:9">
      <c r="B13" s="267" t="s">
        <v>532</v>
      </c>
      <c r="C13" s="267"/>
      <c r="D13" s="357">
        <f>Assumptions!B34</f>
        <v>800</v>
      </c>
      <c r="E13" s="357">
        <f>Assumptions!C34</f>
        <v>793</v>
      </c>
      <c r="F13" s="357">
        <f>Assumptions!D34</f>
        <v>782</v>
      </c>
      <c r="G13" s="357">
        <f>Assumptions!E34</f>
        <v>772</v>
      </c>
      <c r="H13" s="357">
        <f>Assumptions!F34</f>
        <v>762</v>
      </c>
    </row>
    <row r="14" spans="2:9">
      <c r="B14" s="267" t="s">
        <v>533</v>
      </c>
      <c r="C14" s="267"/>
      <c r="D14" s="357">
        <f>Assumptions!B35</f>
        <v>750</v>
      </c>
      <c r="E14" s="357">
        <f>Assumptions!C35</f>
        <v>710</v>
      </c>
      <c r="F14" s="357">
        <f>Assumptions!D35</f>
        <v>700</v>
      </c>
      <c r="G14" s="357">
        <f>Assumptions!E35</f>
        <v>690</v>
      </c>
      <c r="H14" s="357">
        <f>Assumptions!F35</f>
        <v>680</v>
      </c>
    </row>
    <row r="15" spans="2:9">
      <c r="B15" s="267" t="s">
        <v>534</v>
      </c>
      <c r="C15" s="267"/>
      <c r="D15" s="357">
        <f>Assumptions!B36</f>
        <v>75</v>
      </c>
      <c r="E15" s="357">
        <f>Assumptions!C36</f>
        <v>50</v>
      </c>
      <c r="F15" s="357">
        <f>Assumptions!D36</f>
        <v>35</v>
      </c>
      <c r="G15" s="357">
        <f>Assumptions!E36</f>
        <v>25</v>
      </c>
      <c r="H15" s="357">
        <f>Assumptions!F36</f>
        <v>20</v>
      </c>
    </row>
    <row r="16" spans="2:9" ht="14" thickBot="1">
      <c r="B16" s="355" t="s">
        <v>535</v>
      </c>
      <c r="C16" s="360" t="s">
        <v>245</v>
      </c>
      <c r="D16" s="361">
        <f>D12+D13-D14-D15</f>
        <v>683.96398053510347</v>
      </c>
      <c r="E16" s="361">
        <f>E12+E13-E14-E15</f>
        <v>844.87203830447152</v>
      </c>
      <c r="F16" s="361">
        <f>F12+F13-F14-F15</f>
        <v>968.44606295701396</v>
      </c>
      <c r="G16" s="361">
        <f>G12+G13-G14-G15</f>
        <v>1064.2482794020411</v>
      </c>
      <c r="H16" s="361">
        <f>H12+H13-H14-H15</f>
        <v>1158.4842767842865</v>
      </c>
    </row>
    <row r="17" spans="2:8" ht="14" thickTop="1">
      <c r="B17" s="362" t="s">
        <v>536</v>
      </c>
      <c r="C17" s="362" t="s">
        <v>245</v>
      </c>
      <c r="D17" s="363">
        <f>D16/(1+$C$3)^1</f>
        <v>619.02386202139792</v>
      </c>
      <c r="E17" s="363">
        <f>E16/(1+$C$3)^1</f>
        <v>764.6542317271668</v>
      </c>
      <c r="F17" s="363">
        <f>F16/(1+$C$3)^1</f>
        <v>876.49531132041932</v>
      </c>
      <c r="G17" s="363">
        <f>G16/(1+$C$3)^1</f>
        <v>963.20142407158176</v>
      </c>
      <c r="H17" s="363">
        <f>H16/(1+$C$3)^1</f>
        <v>1048.4900250814737</v>
      </c>
    </row>
    <row r="18" spans="2:8">
      <c r="B18" s="354" t="s">
        <v>537</v>
      </c>
      <c r="C18" s="354"/>
      <c r="D18" s="354"/>
      <c r="E18" s="354"/>
      <c r="F18" s="354"/>
      <c r="G18" s="354"/>
      <c r="H18" s="354"/>
    </row>
    <row r="19" spans="2:8" ht="15">
      <c r="B19" s="267" t="s">
        <v>538</v>
      </c>
      <c r="C19" s="267"/>
      <c r="D19" s="364"/>
      <c r="E19" s="364"/>
      <c r="F19" s="364"/>
      <c r="G19" s="364"/>
      <c r="H19" s="357">
        <f>(H16*(1+$C$4))/($C$3-$C$4)</f>
        <v>13916.989949094121</v>
      </c>
    </row>
    <row r="20" spans="2:8" ht="15">
      <c r="B20" s="267" t="s">
        <v>539</v>
      </c>
      <c r="C20" s="364"/>
      <c r="D20" s="364"/>
      <c r="E20" s="364"/>
      <c r="F20" s="364"/>
      <c r="G20" s="364"/>
      <c r="H20" s="357">
        <f>H19/(1+C3)^5</f>
        <v>8451.1558371982774</v>
      </c>
    </row>
    <row r="21" spans="2:8">
      <c r="B21" s="354" t="s">
        <v>540</v>
      </c>
      <c r="C21" s="354"/>
      <c r="D21" s="354"/>
      <c r="E21" s="354"/>
      <c r="F21" s="354"/>
      <c r="G21" s="354"/>
      <c r="H21" s="354"/>
    </row>
    <row r="22" spans="2:8" ht="15">
      <c r="B22" s="267" t="s">
        <v>541</v>
      </c>
      <c r="C22" s="357">
        <f>SUM(D17:H17)</f>
        <v>4271.864854222039</v>
      </c>
      <c r="D22" s="364"/>
      <c r="E22" s="364"/>
      <c r="F22" s="364"/>
      <c r="G22" s="364"/>
      <c r="H22" s="364"/>
    </row>
    <row r="23" spans="2:8" ht="15">
      <c r="B23" s="267" t="s">
        <v>539</v>
      </c>
      <c r="C23" s="357">
        <f>H20</f>
        <v>8451.1558371982774</v>
      </c>
      <c r="D23" s="364"/>
      <c r="E23" s="364"/>
      <c r="F23" s="364"/>
      <c r="G23" s="364"/>
      <c r="H23" s="364"/>
    </row>
    <row r="24" spans="2:8" ht="15">
      <c r="B24" s="365" t="s">
        <v>542</v>
      </c>
      <c r="C24" s="366">
        <f>C23/C25</f>
        <v>0.66424130260962777</v>
      </c>
      <c r="D24" s="364"/>
      <c r="E24" s="364"/>
      <c r="F24" s="364"/>
      <c r="G24" s="364"/>
      <c r="H24" s="364"/>
    </row>
    <row r="25" spans="2:8" ht="16" thickBot="1">
      <c r="B25" s="362" t="s">
        <v>560</v>
      </c>
      <c r="C25" s="367">
        <f>C23+C22</f>
        <v>12723.020691420315</v>
      </c>
      <c r="D25" s="364"/>
      <c r="E25" s="364"/>
      <c r="F25" s="364"/>
      <c r="G25" s="364"/>
      <c r="H25" s="364"/>
    </row>
    <row r="26" spans="2:8" ht="16" thickTop="1">
      <c r="B26" s="267" t="s">
        <v>544</v>
      </c>
      <c r="C26" s="357">
        <v>-1155</v>
      </c>
      <c r="D26" s="364"/>
      <c r="E26" s="364"/>
      <c r="F26" s="364"/>
      <c r="G26" s="364"/>
      <c r="H26" s="364"/>
    </row>
    <row r="27" spans="2:8" ht="16" thickBot="1">
      <c r="B27" s="362" t="s">
        <v>545</v>
      </c>
      <c r="C27" s="367">
        <f>C25+C26</f>
        <v>11568.020691420315</v>
      </c>
      <c r="D27" s="364"/>
      <c r="E27" s="364"/>
      <c r="F27" s="364"/>
      <c r="G27" s="364"/>
      <c r="H27" s="364"/>
    </row>
    <row r="28" spans="2:8" ht="16" thickTop="1">
      <c r="B28" s="364"/>
      <c r="C28" s="364"/>
      <c r="D28" s="364"/>
      <c r="E28" s="364"/>
      <c r="F28" s="364"/>
      <c r="G28" s="364"/>
      <c r="H28" s="364"/>
    </row>
    <row r="29" spans="2:8" ht="15">
      <c r="B29" s="267" t="s">
        <v>546</v>
      </c>
      <c r="C29" s="267">
        <v>210</v>
      </c>
      <c r="D29" s="364"/>
      <c r="E29" s="364"/>
      <c r="F29" s="364"/>
      <c r="G29" s="364"/>
      <c r="H29" s="364"/>
    </row>
    <row r="30" spans="2:8" ht="15">
      <c r="B30" s="364"/>
      <c r="C30" s="364"/>
      <c r="D30" s="364"/>
      <c r="E30" s="364"/>
      <c r="F30" s="364"/>
      <c r="G30" s="364"/>
      <c r="H30" s="364"/>
    </row>
    <row r="31" spans="2:8" ht="16">
      <c r="B31" s="368" t="s">
        <v>547</v>
      </c>
      <c r="C31" s="369">
        <f>C27/C29</f>
        <v>55.085812816287216</v>
      </c>
      <c r="E31" s="19"/>
      <c r="F31" s="364" t="s">
        <v>245</v>
      </c>
      <c r="G31" s="364" t="s">
        <v>245</v>
      </c>
      <c r="H31" s="364" t="s">
        <v>245</v>
      </c>
    </row>
    <row r="32" spans="2:8" ht="14" thickTop="1"/>
    <row r="33" spans="2:14">
      <c r="B33" s="650" t="s">
        <v>561</v>
      </c>
      <c r="C33" s="650"/>
      <c r="D33" s="650"/>
      <c r="E33" s="650"/>
      <c r="F33" s="650"/>
      <c r="G33" s="650"/>
    </row>
    <row r="34" spans="2:14" ht="12.75" customHeight="1">
      <c r="B34" s="281"/>
      <c r="C34" s="281"/>
      <c r="D34" s="281"/>
      <c r="E34" s="281"/>
      <c r="F34" s="281"/>
      <c r="G34" s="281"/>
      <c r="I34" s="651" t="s">
        <v>562</v>
      </c>
      <c r="J34" s="651"/>
      <c r="K34" s="651"/>
      <c r="L34" s="651"/>
      <c r="M34" s="651"/>
      <c r="N34" s="651"/>
    </row>
    <row r="35" spans="2:14" ht="14">
      <c r="B35" s="297">
        <f>C31</f>
        <v>55.085812816287216</v>
      </c>
      <c r="C35" s="298">
        <v>9.5000000000000001E-2</v>
      </c>
      <c r="D35" s="298">
        <v>0.1</v>
      </c>
      <c r="E35" s="299">
        <v>0.105</v>
      </c>
      <c r="F35" s="298">
        <v>0.11</v>
      </c>
      <c r="G35" s="300">
        <v>0.115</v>
      </c>
      <c r="I35" s="297"/>
      <c r="J35" s="298">
        <v>9.5000000000000001E-2</v>
      </c>
      <c r="K35" s="298">
        <v>0.1</v>
      </c>
      <c r="L35" s="299">
        <v>0.105</v>
      </c>
      <c r="M35" s="298">
        <v>0.11</v>
      </c>
      <c r="N35" s="300">
        <v>0.115</v>
      </c>
    </row>
    <row r="36" spans="2:14" ht="14">
      <c r="B36" s="294">
        <v>0.01</v>
      </c>
      <c r="C36" s="282">
        <f t="dataTable" ref="C36:G40" dt2D="1" dtr="1" r1="C3" r2="C4"/>
        <v>56.665496099563477</v>
      </c>
      <c r="D36" s="282">
        <v>53.373221249626177</v>
      </c>
      <c r="E36" s="283">
        <v>50.441099572938199</v>
      </c>
      <c r="F36" s="284">
        <v>47.814553184806883</v>
      </c>
      <c r="G36" s="285">
        <v>45.449420710995341</v>
      </c>
      <c r="I36" s="294">
        <v>0.01</v>
      </c>
      <c r="J36" s="378">
        <f t="shared" ref="J36:N40" si="0">(C36-$K$43)/$K$43</f>
        <v>-0.10608146238265537</v>
      </c>
      <c r="K36" s="378">
        <f t="shared" si="0"/>
        <v>-0.15801827970301033</v>
      </c>
      <c r="L36" s="480">
        <f t="shared" si="0"/>
        <v>-0.20427355146019563</v>
      </c>
      <c r="M36" s="378">
        <f t="shared" si="0"/>
        <v>-0.24570826337266316</v>
      </c>
      <c r="N36" s="490">
        <f t="shared" si="0"/>
        <v>-0.28301907696804951</v>
      </c>
    </row>
    <row r="37" spans="2:14" ht="14">
      <c r="B37" s="294">
        <v>1.4999999999999999E-2</v>
      </c>
      <c r="C37" s="282">
        <v>59.486966275810445</v>
      </c>
      <c r="D37" s="282">
        <v>55.835905186359859</v>
      </c>
      <c r="E37" s="283">
        <v>52.604941973775688</v>
      </c>
      <c r="F37" s="284">
        <v>49.727158388259959</v>
      </c>
      <c r="G37" s="285">
        <v>47.149041696732404</v>
      </c>
      <c r="I37" s="294">
        <v>1.4999999999999999E-2</v>
      </c>
      <c r="J37" s="378">
        <f t="shared" si="0"/>
        <v>-6.1571757756579193E-2</v>
      </c>
      <c r="K37" s="378">
        <f t="shared" si="0"/>
        <v>-0.11916855676983974</v>
      </c>
      <c r="L37" s="480">
        <f t="shared" si="0"/>
        <v>-0.17013816100685145</v>
      </c>
      <c r="M37" s="378">
        <f t="shared" si="0"/>
        <v>-0.2155362298744288</v>
      </c>
      <c r="N37" s="490">
        <f t="shared" si="0"/>
        <v>-0.2562069459420665</v>
      </c>
    </row>
    <row r="38" spans="2:14" ht="14">
      <c r="B38" s="295">
        <v>0.02</v>
      </c>
      <c r="C38" s="283">
        <v>62.684632475557017</v>
      </c>
      <c r="D38" s="283">
        <v>58.606424615185304</v>
      </c>
      <c r="E38" s="286">
        <v>55.023354068829384</v>
      </c>
      <c r="F38" s="283">
        <v>51.852275280985609</v>
      </c>
      <c r="G38" s="287">
        <v>49.027570154652331</v>
      </c>
      <c r="I38" s="295">
        <v>0.02</v>
      </c>
      <c r="J38" s="480">
        <f t="shared" si="0"/>
        <v>-1.1127425847026093E-2</v>
      </c>
      <c r="K38" s="480">
        <f t="shared" si="0"/>
        <v>-7.546261847002203E-2</v>
      </c>
      <c r="L38" s="481">
        <f t="shared" si="0"/>
        <v>-0.131986842264878</v>
      </c>
      <c r="M38" s="480">
        <f t="shared" si="0"/>
        <v>-0.18201174820972379</v>
      </c>
      <c r="N38" s="482">
        <f t="shared" si="0"/>
        <v>-0.22657248533440086</v>
      </c>
    </row>
    <row r="39" spans="2:14" ht="14">
      <c r="B39" s="294">
        <v>2.5000000000000001E-2</v>
      </c>
      <c r="C39" s="282">
        <v>66.339108132410217</v>
      </c>
      <c r="D39" s="282">
        <v>61.746346634520769</v>
      </c>
      <c r="E39" s="283">
        <v>57.744067675764747</v>
      </c>
      <c r="F39" s="288">
        <v>54.227405925796624</v>
      </c>
      <c r="G39" s="289">
        <v>51.114823996785567</v>
      </c>
      <c r="I39" s="294">
        <v>2.5000000000000001E-2</v>
      </c>
      <c r="J39" s="378">
        <f t="shared" si="0"/>
        <v>4.6523239192462797E-2</v>
      </c>
      <c r="K39" s="378">
        <f t="shared" si="0"/>
        <v>-2.5929221730229237E-2</v>
      </c>
      <c r="L39" s="480">
        <f t="shared" si="0"/>
        <v>-8.9066608680158602E-2</v>
      </c>
      <c r="M39" s="378">
        <f t="shared" si="0"/>
        <v>-0.14454320987858299</v>
      </c>
      <c r="N39" s="490">
        <f t="shared" si="0"/>
        <v>-0.19364530688143924</v>
      </c>
    </row>
    <row r="40" spans="2:14" ht="14">
      <c r="B40" s="296">
        <v>0.03</v>
      </c>
      <c r="C40" s="290">
        <v>70.5558108133947</v>
      </c>
      <c r="D40" s="290">
        <v>65.334828942332749</v>
      </c>
      <c r="E40" s="291">
        <v>60.827543096958173</v>
      </c>
      <c r="F40" s="292">
        <v>56.899427901209009</v>
      </c>
      <c r="G40" s="293">
        <v>53.447637114463902</v>
      </c>
      <c r="I40" s="296">
        <v>0.03</v>
      </c>
      <c r="J40" s="483">
        <f t="shared" si="0"/>
        <v>0.11304323731495031</v>
      </c>
      <c r="K40" s="483">
        <f t="shared" si="0"/>
        <v>3.0680374543819972E-2</v>
      </c>
      <c r="L40" s="484">
        <f t="shared" si="0"/>
        <v>-4.0423677284143041E-2</v>
      </c>
      <c r="M40" s="483">
        <f t="shared" si="0"/>
        <v>-0.10239110425604972</v>
      </c>
      <c r="N40" s="491">
        <f t="shared" si="0"/>
        <v>-0.15684434272812903</v>
      </c>
    </row>
    <row r="41" spans="2:14">
      <c r="C41" s="267"/>
      <c r="D41" s="267"/>
      <c r="E41" s="267"/>
      <c r="F41" s="267"/>
      <c r="G41" s="267"/>
    </row>
    <row r="42" spans="2:14">
      <c r="B42" s="53"/>
      <c r="C42" s="267"/>
      <c r="D42" s="267"/>
      <c r="E42" s="267"/>
      <c r="F42" s="267"/>
      <c r="G42" s="267"/>
      <c r="I42" t="s">
        <v>563</v>
      </c>
      <c r="K42" s="489">
        <f>'Valuation Football Field '!C9</f>
        <v>59.77</v>
      </c>
      <c r="L42" t="s">
        <v>564</v>
      </c>
    </row>
    <row r="43" spans="2:14">
      <c r="B43" s="373"/>
      <c r="I43" t="s">
        <v>565</v>
      </c>
      <c r="K43" s="489">
        <f>Assumptions!B39</f>
        <v>63.39</v>
      </c>
      <c r="L43" t="s">
        <v>566</v>
      </c>
    </row>
    <row r="44" spans="2:14">
      <c r="B44" s="374"/>
    </row>
    <row r="45" spans="2:14">
      <c r="B45" s="374"/>
    </row>
    <row r="46" spans="2:14">
      <c r="B46" s="348"/>
    </row>
  </sheetData>
  <mergeCells count="4">
    <mergeCell ref="B1:H1"/>
    <mergeCell ref="B2:H2"/>
    <mergeCell ref="B33:G33"/>
    <mergeCell ref="I34:N34"/>
  </mergeCells>
  <pageMargins left="0.7" right="0.7" top="0.75" bottom="0.75" header="0.3" footer="0.3"/>
  <pageSetup orientation="portrait" horizontalDpi="0" verticalDpi="0"/>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821489-BCC1-4DA2-8887-DFB0757F387A}">
  <sheetPr>
    <tabColor theme="9" tint="-0.249977111117893"/>
  </sheetPr>
  <dimension ref="B1:H33"/>
  <sheetViews>
    <sheetView showGridLines="0" workbookViewId="0">
      <selection activeCell="M15" sqref="M15"/>
    </sheetView>
  </sheetViews>
  <sheetFormatPr baseColWidth="10" defaultColWidth="8.83203125" defaultRowHeight="13"/>
  <cols>
    <col min="1" max="1" width="3.6640625" customWidth="1"/>
    <col min="2" max="2" width="33.83203125" customWidth="1"/>
    <col min="3" max="3" width="9.6640625" bestFit="1" customWidth="1"/>
    <col min="4" max="4" width="9.1640625" customWidth="1"/>
    <col min="7" max="7" width="11.33203125" bestFit="1" customWidth="1"/>
    <col min="8" max="8" width="14" bestFit="1" customWidth="1"/>
  </cols>
  <sheetData>
    <row r="1" spans="2:8" ht="18">
      <c r="B1" s="648" t="s">
        <v>567</v>
      </c>
      <c r="C1" s="648"/>
      <c r="D1" s="648"/>
      <c r="E1" s="648"/>
      <c r="F1" s="648"/>
      <c r="G1" s="648"/>
      <c r="H1" s="648"/>
    </row>
    <row r="2" spans="2:8">
      <c r="B2" s="403" t="s">
        <v>568</v>
      </c>
      <c r="C2" s="383" t="s">
        <v>569</v>
      </c>
      <c r="D2" s="383" t="s">
        <v>570</v>
      </c>
      <c r="E2" s="383" t="s">
        <v>571</v>
      </c>
    </row>
    <row r="3" spans="2:8">
      <c r="B3" s="53" t="s">
        <v>572</v>
      </c>
      <c r="C3">
        <v>500</v>
      </c>
      <c r="D3" s="272">
        <f>C3/(SUM($C$3:$C$4))</f>
        <v>0.44247787610619471</v>
      </c>
      <c r="E3" s="19">
        <v>4.4499999999999998E-2</v>
      </c>
    </row>
    <row r="4" spans="2:8">
      <c r="B4" s="53" t="s">
        <v>573</v>
      </c>
      <c r="C4">
        <v>630</v>
      </c>
      <c r="D4" s="272">
        <f>C4/(SUM($C$3:$C$4))</f>
        <v>0.55752212389380529</v>
      </c>
      <c r="E4" s="19">
        <v>1.95E-2</v>
      </c>
    </row>
    <row r="5" spans="2:8">
      <c r="B5" s="53" t="s">
        <v>574</v>
      </c>
      <c r="E5" s="384">
        <f>(E3*D3)+(E4*D4)</f>
        <v>3.0561946902654867E-2</v>
      </c>
    </row>
    <row r="6" spans="2:8">
      <c r="B6" s="53"/>
      <c r="E6" s="396"/>
    </row>
    <row r="7" spans="2:8">
      <c r="B7" s="53" t="s">
        <v>575</v>
      </c>
      <c r="C7" s="437">
        <f>WACC!C19</f>
        <v>0.1115</v>
      </c>
      <c r="E7" s="385"/>
    </row>
    <row r="8" spans="2:8">
      <c r="B8" s="182" t="s">
        <v>527</v>
      </c>
      <c r="C8" s="268">
        <v>0.02</v>
      </c>
      <c r="E8" s="385"/>
    </row>
    <row r="9" spans="2:8">
      <c r="B9" s="182"/>
      <c r="C9" s="268"/>
      <c r="E9" s="385"/>
    </row>
    <row r="10" spans="2:8">
      <c r="C10" s="404">
        <v>1</v>
      </c>
      <c r="D10" s="404">
        <v>2</v>
      </c>
      <c r="E10" s="404">
        <v>3</v>
      </c>
      <c r="F10" s="404">
        <v>4</v>
      </c>
      <c r="G10" s="404">
        <v>5</v>
      </c>
    </row>
    <row r="11" spans="2:8">
      <c r="B11" s="403" t="s">
        <v>576</v>
      </c>
      <c r="C11" s="405" t="s">
        <v>36</v>
      </c>
      <c r="D11" s="405" t="s">
        <v>37</v>
      </c>
      <c r="E11" s="405" t="s">
        <v>38</v>
      </c>
      <c r="F11" s="405" t="s">
        <v>39</v>
      </c>
      <c r="G11" s="405" t="s">
        <v>40</v>
      </c>
    </row>
    <row r="12" spans="2:8">
      <c r="B12" s="36" t="s">
        <v>577</v>
      </c>
      <c r="C12" s="397">
        <f>'DCF - Base Model'!D14</f>
        <v>1342.8419883999995</v>
      </c>
      <c r="D12" s="397">
        <f>'DCF - Base Model'!E14</f>
        <v>1539.0262548319997</v>
      </c>
      <c r="E12" s="397">
        <f>'DCF - Base Model'!F14</f>
        <v>1695.9452568114398</v>
      </c>
      <c r="F12" s="397">
        <f>'DCF - Base Model'!G14</f>
        <v>1812.2183803796706</v>
      </c>
      <c r="G12" s="397">
        <f>'DCF - Base Model'!H14</f>
        <v>1927.3814482980047</v>
      </c>
    </row>
    <row r="13" spans="2:8">
      <c r="B13" t="s">
        <v>578</v>
      </c>
      <c r="C13" s="386">
        <f>($E$5*SUM(C3:C4))*Assumptions!$B$33</f>
        <v>8.2883999999999993</v>
      </c>
      <c r="D13" s="386">
        <f>C13</f>
        <v>8.2883999999999993</v>
      </c>
      <c r="E13" s="386">
        <f t="shared" ref="E13:G13" si="0">D13</f>
        <v>8.2883999999999993</v>
      </c>
      <c r="F13" s="386">
        <f t="shared" si="0"/>
        <v>8.2883999999999993</v>
      </c>
      <c r="G13" s="386">
        <f t="shared" si="0"/>
        <v>8.2883999999999993</v>
      </c>
    </row>
    <row r="14" spans="2:8">
      <c r="B14" s="393" t="s">
        <v>579</v>
      </c>
      <c r="C14" s="392">
        <f>C12-C13</f>
        <v>1334.5535883999996</v>
      </c>
      <c r="D14" s="392">
        <f t="shared" ref="D14:G14" si="1">D12-D13</f>
        <v>1530.7378548319998</v>
      </c>
      <c r="E14" s="392">
        <f t="shared" si="1"/>
        <v>1687.6568568114399</v>
      </c>
      <c r="F14" s="392">
        <f t="shared" si="1"/>
        <v>1803.9299803796707</v>
      </c>
      <c r="G14" s="392">
        <f t="shared" si="1"/>
        <v>1919.0930482980048</v>
      </c>
    </row>
    <row r="15" spans="2:8">
      <c r="B15" s="391" t="s">
        <v>580</v>
      </c>
      <c r="C15" s="387">
        <f>(1/(1+$C$7))^C10</f>
        <v>0.89968511021142605</v>
      </c>
      <c r="D15" s="387">
        <f>(1/(1+$C$7))^D10</f>
        <v>0.80943329753614579</v>
      </c>
      <c r="E15" s="387">
        <f>(1/(1+$C$7))^E10</f>
        <v>0.72823508550260529</v>
      </c>
      <c r="F15" s="387">
        <f>(1/(1+$C$7))^F10</f>
        <v>0.65518226316023875</v>
      </c>
      <c r="G15" s="387">
        <f>(1/(1+$C$7))^G10</f>
        <v>0.58945772663989093</v>
      </c>
    </row>
    <row r="16" spans="2:8">
      <c r="B16" s="394" t="s">
        <v>581</v>
      </c>
      <c r="C16" s="394">
        <f>C14*C15</f>
        <v>1200.6779922627077</v>
      </c>
      <c r="D16" s="394">
        <f t="shared" ref="D16:G16" si="2">D14*D15</f>
        <v>1239.0301895000716</v>
      </c>
      <c r="E16" s="394">
        <f t="shared" si="2"/>
        <v>1229.010935419137</v>
      </c>
      <c r="F16" s="394">
        <f t="shared" si="2"/>
        <v>1181.9029271277577</v>
      </c>
      <c r="G16" s="394">
        <f t="shared" si="2"/>
        <v>1131.2242254601604</v>
      </c>
    </row>
    <row r="17" spans="2:7">
      <c r="B17" s="53" t="s">
        <v>582</v>
      </c>
      <c r="G17" s="262">
        <f>G14/(C7-C8)</f>
        <v>20973.694516918084</v>
      </c>
    </row>
    <row r="18" spans="2:7">
      <c r="B18" s="390" t="s">
        <v>539</v>
      </c>
      <c r="C18" s="390"/>
      <c r="D18" s="390"/>
      <c r="E18" s="390"/>
      <c r="F18" s="390"/>
      <c r="G18" s="398">
        <f>G17*G15</f>
        <v>12363.106289182078</v>
      </c>
    </row>
    <row r="19" spans="2:7">
      <c r="B19" s="53" t="s">
        <v>583</v>
      </c>
      <c r="G19" s="401">
        <f>SUM(C16:G16)+G18</f>
        <v>18344.952558951914</v>
      </c>
    </row>
    <row r="20" spans="2:7">
      <c r="B20" s="9" t="s">
        <v>584</v>
      </c>
      <c r="G20" s="395">
        <f>SUM(C3:C4)</f>
        <v>1130</v>
      </c>
    </row>
    <row r="21" spans="2:7">
      <c r="B21" s="389" t="s">
        <v>545</v>
      </c>
      <c r="C21" s="388"/>
      <c r="D21" s="388"/>
      <c r="E21" s="388"/>
      <c r="F21" s="388"/>
      <c r="G21" s="400">
        <f>G19-G20</f>
        <v>17214.952558951914</v>
      </c>
    </row>
    <row r="22" spans="2:7">
      <c r="B22" s="184" t="s">
        <v>546</v>
      </c>
      <c r="G22" s="184">
        <v>210</v>
      </c>
    </row>
    <row r="23" spans="2:7" ht="16">
      <c r="B23" s="389" t="s">
        <v>585</v>
      </c>
      <c r="C23" s="388"/>
      <c r="D23" s="388"/>
      <c r="E23" s="388"/>
      <c r="F23" s="388"/>
      <c r="G23" s="402">
        <f>G21/G22</f>
        <v>81.975964566437682</v>
      </c>
    </row>
    <row r="26" spans="2:7">
      <c r="B26" s="436" t="s">
        <v>586</v>
      </c>
      <c r="C26" s="382"/>
      <c r="D26" s="382"/>
      <c r="E26" s="382"/>
      <c r="F26" s="382"/>
      <c r="G26" s="382"/>
    </row>
    <row r="27" spans="2:7">
      <c r="B27" s="281"/>
      <c r="C27" s="281"/>
      <c r="D27" s="281"/>
      <c r="E27" s="281"/>
      <c r="F27" s="281"/>
      <c r="G27" s="281"/>
    </row>
    <row r="28" spans="2:7" ht="14">
      <c r="B28" s="417">
        <f>G23</f>
        <v>81.975964566437682</v>
      </c>
      <c r="C28" s="418">
        <v>0.105</v>
      </c>
      <c r="D28" s="418">
        <v>0.11</v>
      </c>
      <c r="E28" s="419">
        <v>0.1115</v>
      </c>
      <c r="F28" s="418">
        <v>0.12</v>
      </c>
      <c r="G28" s="420">
        <v>0.1215</v>
      </c>
    </row>
    <row r="29" spans="2:7" ht="17">
      <c r="B29" s="439">
        <v>0.01</v>
      </c>
      <c r="C29" s="422">
        <f t="dataTable" ref="C29:G33" dt2D="1" dtr="1" r1="C7" r2="C8"/>
        <v>81.995514925936178</v>
      </c>
      <c r="D29" s="422">
        <v>77.451228162051677</v>
      </c>
      <c r="E29" s="423">
        <v>76.175773954576513</v>
      </c>
      <c r="F29" s="424">
        <v>69.609408650959352</v>
      </c>
      <c r="G29" s="425">
        <v>68.555275838328569</v>
      </c>
    </row>
    <row r="30" spans="2:7" ht="17">
      <c r="B30" s="438">
        <v>1.4999999999999999E-2</v>
      </c>
      <c r="C30" s="422">
        <v>85.239428216297767</v>
      </c>
      <c r="D30" s="422">
        <v>80.30558484922058</v>
      </c>
      <c r="E30" s="423">
        <v>78.925605255018482</v>
      </c>
      <c r="F30" s="424">
        <v>71.854193095872077</v>
      </c>
      <c r="G30" s="425">
        <v>70.724107662010098</v>
      </c>
    </row>
    <row r="31" spans="2:7" ht="17">
      <c r="B31" s="438">
        <v>0.02</v>
      </c>
      <c r="C31" s="423">
        <v>88.864978364348957</v>
      </c>
      <c r="D31" s="423">
        <v>83.477092279408268</v>
      </c>
      <c r="E31" s="427">
        <v>81.975964566437682</v>
      </c>
      <c r="F31" s="423">
        <v>74.32345598527607</v>
      </c>
      <c r="G31" s="428">
        <v>73.106617497876996</v>
      </c>
    </row>
    <row r="32" spans="2:7" ht="17">
      <c r="B32" s="438">
        <v>2.5000000000000001E-2</v>
      </c>
      <c r="C32" s="443">
        <v>92.943722280906542</v>
      </c>
      <c r="D32" s="443">
        <v>87.021718230794519</v>
      </c>
      <c r="E32" s="423">
        <v>85.378966572818669</v>
      </c>
      <c r="F32" s="422">
        <v>77.05264128409101</v>
      </c>
      <c r="G32" s="441">
        <v>75.736019544714537</v>
      </c>
    </row>
    <row r="33" spans="2:7" ht="17">
      <c r="B33" s="440">
        <v>0.03</v>
      </c>
      <c r="C33" s="444">
        <v>97.566298719671792</v>
      </c>
      <c r="D33" s="444">
        <v>91.009422426104024</v>
      </c>
      <c r="E33" s="433">
        <v>89.199514837651279</v>
      </c>
      <c r="F33" s="432">
        <v>80.085069393885362</v>
      </c>
      <c r="G33" s="442">
        <v>78.65278793546878</v>
      </c>
    </row>
  </sheetData>
  <mergeCells count="1">
    <mergeCell ref="B1:H1"/>
  </mergeCells>
  <pageMargins left="0.7" right="0.7" top="0.75" bottom="0.75" header="0.3" footer="0.3"/>
  <legacy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8515E6-8A3F-4EE2-9B45-EECA80E2808F}">
  <sheetPr>
    <tabColor theme="9" tint="-0.249977111117893"/>
  </sheetPr>
  <dimension ref="B1:X32"/>
  <sheetViews>
    <sheetView showGridLines="0" zoomScale="110" zoomScaleNormal="110" workbookViewId="0">
      <selection activeCell="B9" sqref="B9"/>
    </sheetView>
  </sheetViews>
  <sheetFormatPr baseColWidth="10" defaultColWidth="17.6640625" defaultRowHeight="13"/>
  <cols>
    <col min="1" max="1" width="3.6640625" customWidth="1"/>
    <col min="2" max="2" width="20.1640625" bestFit="1" customWidth="1"/>
    <col min="3" max="3" width="6" bestFit="1" customWidth="1"/>
    <col min="4" max="4" width="11.33203125" bestFit="1" customWidth="1"/>
    <col min="5" max="6" width="17.5" bestFit="1" customWidth="1"/>
    <col min="7" max="7" width="18" bestFit="1" customWidth="1"/>
    <col min="8" max="8" width="17.5" bestFit="1" customWidth="1"/>
    <col min="9" max="9" width="17.6640625" customWidth="1"/>
    <col min="10" max="10" width="18.33203125" customWidth="1"/>
    <col min="11" max="12" width="16.33203125" customWidth="1"/>
    <col min="13" max="13" width="17.6640625" customWidth="1"/>
    <col min="14" max="15" width="13.33203125" bestFit="1" customWidth="1"/>
    <col min="16" max="16" width="12.5" bestFit="1" customWidth="1"/>
    <col min="17" max="17" width="4.5" customWidth="1"/>
    <col min="18" max="18" width="16.6640625" bestFit="1" customWidth="1"/>
    <col min="19" max="20" width="14.83203125" bestFit="1" customWidth="1"/>
    <col min="21" max="21" width="17.6640625" customWidth="1"/>
    <col min="22" max="22" width="19" bestFit="1" customWidth="1"/>
    <col min="23" max="24" width="15" bestFit="1" customWidth="1"/>
    <col min="25" max="26" width="17.6640625" bestFit="1" customWidth="1"/>
  </cols>
  <sheetData>
    <row r="1" spans="2:24" ht="18">
      <c r="B1" s="653" t="s">
        <v>587</v>
      </c>
      <c r="C1" s="653"/>
      <c r="D1" s="653"/>
      <c r="E1" s="653"/>
      <c r="F1" s="653"/>
      <c r="G1" s="653"/>
      <c r="H1" s="653"/>
      <c r="I1" s="653"/>
      <c r="J1" s="653"/>
      <c r="K1" s="653"/>
      <c r="L1" s="653"/>
      <c r="M1" s="653"/>
      <c r="N1" s="653"/>
      <c r="O1" s="653"/>
      <c r="P1" s="653"/>
      <c r="Q1" s="653"/>
      <c r="R1" s="653"/>
      <c r="S1" s="653"/>
      <c r="T1" s="653"/>
      <c r="U1" s="653"/>
      <c r="V1" s="653"/>
      <c r="W1" s="653"/>
      <c r="X1" s="653"/>
    </row>
    <row r="3" spans="2:24" ht="15">
      <c r="B3" s="302"/>
      <c r="C3" s="302"/>
      <c r="D3" s="303"/>
      <c r="E3" s="304"/>
      <c r="F3" s="304"/>
      <c r="G3" s="304"/>
      <c r="H3" s="304"/>
      <c r="I3" s="302"/>
      <c r="J3" s="303" t="s">
        <v>588</v>
      </c>
      <c r="K3" s="304"/>
      <c r="L3" s="304"/>
      <c r="M3" s="302"/>
      <c r="N3" s="303" t="s">
        <v>589</v>
      </c>
      <c r="O3" s="304"/>
      <c r="P3" s="304"/>
      <c r="Q3" s="305"/>
      <c r="R3" s="303" t="s">
        <v>590</v>
      </c>
      <c r="S3" s="304"/>
      <c r="T3" s="304"/>
      <c r="U3" s="302"/>
      <c r="V3" s="303" t="s">
        <v>589</v>
      </c>
      <c r="W3" s="304"/>
      <c r="X3" s="304"/>
    </row>
    <row r="4" spans="2:24" ht="15">
      <c r="B4" s="306" t="s">
        <v>591</v>
      </c>
      <c r="C4" s="306" t="s">
        <v>592</v>
      </c>
      <c r="D4" s="307" t="s">
        <v>593</v>
      </c>
      <c r="E4" s="307" t="s">
        <v>594</v>
      </c>
      <c r="F4" s="307" t="s">
        <v>545</v>
      </c>
      <c r="G4" s="307" t="s">
        <v>313</v>
      </c>
      <c r="H4" s="307" t="s">
        <v>595</v>
      </c>
      <c r="I4" s="307"/>
      <c r="J4" s="307" t="s">
        <v>344</v>
      </c>
      <c r="K4" s="307" t="s">
        <v>391</v>
      </c>
      <c r="L4" s="307" t="s">
        <v>419</v>
      </c>
      <c r="M4" s="307"/>
      <c r="N4" s="307" t="s">
        <v>596</v>
      </c>
      <c r="O4" s="307" t="s">
        <v>597</v>
      </c>
      <c r="P4" s="307" t="s">
        <v>598</v>
      </c>
      <c r="Q4" s="307"/>
      <c r="R4" s="307" t="s">
        <v>344</v>
      </c>
      <c r="S4" s="307" t="s">
        <v>391</v>
      </c>
      <c r="T4" s="307" t="s">
        <v>419</v>
      </c>
      <c r="U4" s="307"/>
      <c r="V4" s="307" t="s">
        <v>596</v>
      </c>
      <c r="W4" s="307" t="s">
        <v>597</v>
      </c>
      <c r="X4" s="307" t="s">
        <v>598</v>
      </c>
    </row>
    <row r="5" spans="2:24" ht="16">
      <c r="B5" s="308"/>
      <c r="C5" s="308"/>
      <c r="D5" s="309"/>
      <c r="E5" s="309"/>
      <c r="F5" s="309"/>
      <c r="G5" s="309"/>
      <c r="H5" s="309"/>
      <c r="I5" s="310"/>
      <c r="J5" s="310"/>
      <c r="K5" s="310"/>
      <c r="L5" s="310"/>
      <c r="M5" s="310"/>
      <c r="N5" s="310"/>
      <c r="O5" s="310"/>
      <c r="P5" s="310"/>
      <c r="R5" s="310"/>
      <c r="S5" s="310"/>
      <c r="T5" s="310"/>
      <c r="U5" s="310"/>
      <c r="V5" s="310"/>
      <c r="W5" s="310"/>
      <c r="X5" s="310"/>
    </row>
    <row r="6" spans="2:24" ht="14">
      <c r="B6" s="311" t="s">
        <v>599</v>
      </c>
      <c r="C6" s="312" t="s">
        <v>600</v>
      </c>
      <c r="D6" s="342">
        <v>62.060001</v>
      </c>
      <c r="E6" s="338">
        <f>209.112577*1000000</f>
        <v>209112577</v>
      </c>
      <c r="F6" s="313">
        <f t="shared" ref="F6:F7" si="0">E6*D6</f>
        <v>12977526737.732576</v>
      </c>
      <c r="G6" s="340">
        <f>-2250*1000000</f>
        <v>-2250000000</v>
      </c>
      <c r="H6" s="313">
        <f>G6+F6</f>
        <v>10727526737.732576</v>
      </c>
      <c r="I6" s="314"/>
      <c r="J6" s="340">
        <f>41691*1000000</f>
        <v>41691000000</v>
      </c>
      <c r="K6" s="340">
        <f>2567*1000000</f>
        <v>2567000000</v>
      </c>
      <c r="L6" s="340">
        <f>1069*1000000</f>
        <v>1069000000</v>
      </c>
      <c r="M6" s="315"/>
      <c r="N6" s="316">
        <f t="shared" ref="N6:N7" si="1">H6/J6</f>
        <v>0.25731037244807214</v>
      </c>
      <c r="O6" s="316">
        <f t="shared" ref="O6:O7" si="2">H6/K6</f>
        <v>4.1790131428642683</v>
      </c>
      <c r="P6" s="316">
        <f t="shared" ref="P6:P7" si="3">D6/(L6/E6)</f>
        <v>12.139875339319529</v>
      </c>
      <c r="R6" s="341">
        <f>'Revenue Build - Top Down'!J52*1000000</f>
        <v>42231098890.069038</v>
      </c>
      <c r="S6" s="341">
        <f>1000000*('DCF - Base Model'!D8+'DCF - Base Model'!D11)</f>
        <v>2599792090</v>
      </c>
      <c r="T6" s="341">
        <f>1361.45*1000000</f>
        <v>1361450000</v>
      </c>
      <c r="U6" s="315"/>
      <c r="V6" s="316">
        <f>H6/R6</f>
        <v>0.25401959739805008</v>
      </c>
      <c r="W6" s="316">
        <f>H6/S6</f>
        <v>4.1263017835139948</v>
      </c>
      <c r="X6" s="316">
        <f>D6/(T6/E6)</f>
        <v>9.5321361326031635</v>
      </c>
    </row>
    <row r="7" spans="2:24" ht="14">
      <c r="B7" s="317" t="s">
        <v>601</v>
      </c>
      <c r="C7" s="318" t="s">
        <v>602</v>
      </c>
      <c r="D7" s="343">
        <v>119.529999</v>
      </c>
      <c r="E7" s="339">
        <f>452.855589*1000000</f>
        <v>452855589</v>
      </c>
      <c r="F7" s="320">
        <f t="shared" si="0"/>
        <v>54129828100.314415</v>
      </c>
      <c r="G7" s="339">
        <f>6968*1000000</f>
        <v>6968000000</v>
      </c>
      <c r="H7" s="320">
        <f>G7+F7</f>
        <v>61097828100.314415</v>
      </c>
      <c r="I7" s="324"/>
      <c r="J7" s="339">
        <f>104780*1000000</f>
        <v>104780000000</v>
      </c>
      <c r="K7" s="339">
        <f>7977*1000000</f>
        <v>7977000000</v>
      </c>
      <c r="L7" s="339">
        <f>3705*1000000</f>
        <v>3705000000</v>
      </c>
      <c r="M7" s="320"/>
      <c r="N7" s="321">
        <f t="shared" si="1"/>
        <v>0.58310582267908395</v>
      </c>
      <c r="O7" s="321">
        <f t="shared" si="2"/>
        <v>7.6592488529916531</v>
      </c>
      <c r="P7" s="322">
        <f t="shared" si="3"/>
        <v>14.609940108047073</v>
      </c>
      <c r="R7" s="319">
        <f>107367.453125*1000000</f>
        <v>107367453125</v>
      </c>
      <c r="S7" s="319">
        <f>8210.787109*1000000</f>
        <v>8210787109.000001</v>
      </c>
      <c r="T7" s="319">
        <f>3659.2*1000000</f>
        <v>3659200000</v>
      </c>
      <c r="U7" s="320"/>
      <c r="V7" s="321">
        <f>H7/R7</f>
        <v>0.56905352899805417</v>
      </c>
      <c r="W7" s="321">
        <f>F7/S7</f>
        <v>6.5925260735333975</v>
      </c>
      <c r="X7" s="322">
        <f>D7/(T7/E7)</f>
        <v>14.792803918975297</v>
      </c>
    </row>
    <row r="8" spans="2:24" ht="14">
      <c r="B8" s="317" t="s">
        <v>603</v>
      </c>
      <c r="C8" s="318" t="s">
        <v>604</v>
      </c>
      <c r="D8" s="343">
        <v>1.86</v>
      </c>
      <c r="E8" s="339">
        <f>1038.1*1000000</f>
        <v>1038099999.9999999</v>
      </c>
      <c r="F8" s="336">
        <f>E8*D8</f>
        <v>1930865999.9999998</v>
      </c>
      <c r="G8" s="339">
        <v>0</v>
      </c>
      <c r="H8" s="336">
        <f>G8+F8</f>
        <v>1930865999.9999998</v>
      </c>
      <c r="I8" s="336"/>
      <c r="J8" s="339">
        <f>11797.2*1000000</f>
        <v>11797200000</v>
      </c>
      <c r="K8" s="339">
        <f>662.1*1000000</f>
        <v>662100000</v>
      </c>
      <c r="L8" s="339">
        <f>172.7*10000000</f>
        <v>1727000000</v>
      </c>
      <c r="M8" s="320"/>
      <c r="N8" s="321">
        <f>H8/J8</f>
        <v>0.16367154918116161</v>
      </c>
      <c r="O8" s="321">
        <f>H8/K8</f>
        <v>2.9162754870865424</v>
      </c>
      <c r="P8" s="322">
        <f>D8/(L8/E8)</f>
        <v>1.1180463231036477</v>
      </c>
      <c r="R8" s="323">
        <f>12987.2*1000000</f>
        <v>12987200000</v>
      </c>
      <c r="S8" s="319">
        <f>728*1000000</f>
        <v>728000000</v>
      </c>
      <c r="T8" s="319">
        <f>203.6*1000000</f>
        <v>203600000</v>
      </c>
      <c r="U8" s="320"/>
      <c r="V8" s="321">
        <f>H8/R8</f>
        <v>0.14867454108660833</v>
      </c>
      <c r="W8" s="321">
        <f>F8/S8</f>
        <v>2.6522884615384612</v>
      </c>
      <c r="X8" s="322">
        <f>D8/(T8/E8)</f>
        <v>9.4836247544204308</v>
      </c>
    </row>
    <row r="9" spans="2:24" ht="14">
      <c r="B9" s="317"/>
      <c r="C9" s="318"/>
      <c r="D9" s="343"/>
      <c r="E9" s="339"/>
      <c r="F9" s="336"/>
      <c r="G9" s="339"/>
      <c r="H9" s="336"/>
      <c r="I9" s="336"/>
      <c r="J9" s="339"/>
      <c r="K9" s="339"/>
      <c r="L9" s="339"/>
      <c r="M9" s="320"/>
      <c r="N9" s="321"/>
      <c r="O9" s="321"/>
      <c r="P9" s="322"/>
      <c r="R9" s="323"/>
      <c r="S9" s="319"/>
      <c r="T9" s="319"/>
      <c r="U9" s="320"/>
      <c r="V9" s="321"/>
      <c r="W9" s="321"/>
      <c r="X9" s="322"/>
    </row>
    <row r="10" spans="2:24" ht="14">
      <c r="B10" s="317"/>
      <c r="C10" s="318"/>
      <c r="D10" s="326"/>
      <c r="E10" s="324"/>
      <c r="F10" s="336"/>
      <c r="G10" s="336"/>
      <c r="H10" s="336"/>
      <c r="I10" s="336"/>
      <c r="J10" s="336"/>
      <c r="K10" s="337"/>
      <c r="L10" s="336"/>
      <c r="M10" s="320"/>
      <c r="N10" s="321"/>
      <c r="O10" s="321"/>
      <c r="P10" s="322"/>
      <c r="R10" s="324"/>
      <c r="S10" s="324"/>
      <c r="T10" s="324"/>
      <c r="U10" s="320"/>
      <c r="V10" s="321"/>
      <c r="W10" s="321"/>
      <c r="X10" s="321"/>
    </row>
    <row r="11" spans="2:24" ht="14">
      <c r="B11" s="317"/>
      <c r="C11" s="318"/>
      <c r="D11" s="326"/>
      <c r="E11" s="324"/>
      <c r="F11" s="336"/>
      <c r="G11" s="336"/>
      <c r="H11" s="336"/>
      <c r="I11" s="336"/>
      <c r="J11" s="336"/>
      <c r="K11" s="337"/>
      <c r="L11" s="336"/>
      <c r="M11" s="320"/>
      <c r="N11" s="321"/>
      <c r="O11" s="321"/>
      <c r="P11" s="322"/>
      <c r="R11" s="324"/>
      <c r="S11" s="324"/>
      <c r="T11" s="324"/>
      <c r="U11" s="320"/>
      <c r="V11" s="321"/>
      <c r="W11" s="321"/>
      <c r="X11" s="321"/>
    </row>
    <row r="12" spans="2:24" ht="14">
      <c r="B12" s="325"/>
      <c r="C12" s="325"/>
      <c r="D12" s="325"/>
      <c r="E12" s="320"/>
      <c r="F12" s="325"/>
      <c r="G12" s="325"/>
      <c r="H12" s="325"/>
      <c r="I12" s="325"/>
      <c r="J12" s="325"/>
      <c r="K12" s="325"/>
      <c r="L12" s="325"/>
      <c r="M12" s="325"/>
      <c r="N12" s="325"/>
      <c r="O12" s="325"/>
      <c r="P12" s="325"/>
      <c r="R12" s="325"/>
      <c r="S12" s="325"/>
      <c r="T12" s="325"/>
      <c r="U12" s="325"/>
      <c r="V12" s="325"/>
      <c r="W12" s="325"/>
      <c r="X12" s="325"/>
    </row>
    <row r="13" spans="2:24" ht="14">
      <c r="B13" s="327" t="s">
        <v>490</v>
      </c>
      <c r="C13" s="327"/>
      <c r="D13" s="327"/>
      <c r="E13" s="327"/>
      <c r="F13" s="327"/>
      <c r="G13" s="327"/>
      <c r="H13" s="327"/>
      <c r="I13" s="327"/>
      <c r="J13" s="327"/>
      <c r="K13" s="327"/>
      <c r="L13" s="327"/>
      <c r="M13" s="327"/>
      <c r="N13" s="328">
        <f>MAX(N7:N8)</f>
        <v>0.58310582267908395</v>
      </c>
      <c r="O13" s="328">
        <f>MAX(O7:O8)</f>
        <v>7.6592488529916531</v>
      </c>
      <c r="P13" s="328">
        <f>MAX(P7:P8)</f>
        <v>14.609940108047073</v>
      </c>
      <c r="R13" s="327"/>
      <c r="S13" s="327"/>
      <c r="T13" s="327"/>
      <c r="U13" s="327"/>
      <c r="V13" s="328">
        <f>MAX(V7:V8)</f>
        <v>0.56905352899805417</v>
      </c>
      <c r="W13" s="328">
        <f>MAX(W7:W8)</f>
        <v>6.5925260735333975</v>
      </c>
      <c r="X13" s="328">
        <f>MAX(X7:X8)</f>
        <v>14.792803918975297</v>
      </c>
    </row>
    <row r="14" spans="2:24" ht="14">
      <c r="B14" s="327" t="s">
        <v>605</v>
      </c>
      <c r="C14" s="311"/>
      <c r="D14" s="311"/>
      <c r="E14" s="311"/>
      <c r="F14" s="311"/>
      <c r="G14" s="311"/>
      <c r="H14" s="311"/>
      <c r="I14" s="311"/>
      <c r="J14" s="311"/>
      <c r="K14" s="311"/>
      <c r="L14" s="311"/>
      <c r="M14" s="311"/>
      <c r="N14" s="328">
        <f>QUARTILE(N7:N8,)</f>
        <v>0.16367154918116161</v>
      </c>
      <c r="O14" s="328">
        <f>QUARTILE(O7:O8,)</f>
        <v>2.9162754870865424</v>
      </c>
      <c r="P14" s="328">
        <f>QUARTILE(P7:P8,)</f>
        <v>1.1180463231036477</v>
      </c>
      <c r="R14" s="311"/>
      <c r="S14" s="311"/>
      <c r="T14" s="311"/>
      <c r="U14" s="311"/>
      <c r="V14" s="328">
        <f>QUARTILE(V7:V8,)</f>
        <v>0.14867454108660833</v>
      </c>
      <c r="W14" s="328">
        <f>QUARTILE(W7:W8,)</f>
        <v>2.6522884615384612</v>
      </c>
      <c r="X14" s="328">
        <f>QUARTILE(X7:X8,)</f>
        <v>9.4836247544204308</v>
      </c>
    </row>
    <row r="15" spans="2:24" ht="14">
      <c r="B15" s="311" t="s">
        <v>489</v>
      </c>
      <c r="C15" s="311"/>
      <c r="D15" s="311"/>
      <c r="E15" s="311"/>
      <c r="F15" s="311"/>
      <c r="G15" s="311"/>
      <c r="H15" s="311"/>
      <c r="I15" s="311"/>
      <c r="J15" s="311"/>
      <c r="K15" s="311"/>
      <c r="L15" s="311"/>
      <c r="M15" s="311"/>
      <c r="N15" s="329">
        <f>AVERAGE(N7:N8)</f>
        <v>0.37338868593012275</v>
      </c>
      <c r="O15" s="329">
        <f>AVERAGE(O7:O8)</f>
        <v>5.2877621700390982</v>
      </c>
      <c r="P15" s="329">
        <f>AVERAGE(P7:P8)</f>
        <v>7.8639932155753609</v>
      </c>
      <c r="R15" s="311"/>
      <c r="S15" s="311"/>
      <c r="T15" s="311"/>
      <c r="U15" s="311"/>
      <c r="V15" s="329">
        <f>AVERAGE(V7:V8)</f>
        <v>0.35886403504233122</v>
      </c>
      <c r="W15" s="329">
        <f>AVERAGE(W7:W8)</f>
        <v>4.6224072675359293</v>
      </c>
      <c r="X15" s="329">
        <f>AVERAGE(X7:X8)</f>
        <v>12.138214336697864</v>
      </c>
    </row>
    <row r="16" spans="2:24" ht="14">
      <c r="B16" s="311" t="s">
        <v>606</v>
      </c>
      <c r="C16" s="311"/>
      <c r="D16" s="311"/>
      <c r="E16" s="311"/>
      <c r="F16" s="311"/>
      <c r="G16" s="311"/>
      <c r="H16" s="311"/>
      <c r="I16" s="311"/>
      <c r="J16" s="311"/>
      <c r="K16" s="311"/>
      <c r="L16" s="311"/>
      <c r="M16" s="311"/>
      <c r="N16" s="329">
        <f>MEDIAN(N7:N8)</f>
        <v>0.37338868593012275</v>
      </c>
      <c r="O16" s="329">
        <f>MEDIAN(O7:O8)</f>
        <v>5.2877621700390982</v>
      </c>
      <c r="P16" s="329">
        <f>MEDIAN(P7:P8)</f>
        <v>7.86399321557536</v>
      </c>
      <c r="R16" s="311"/>
      <c r="S16" s="311"/>
      <c r="T16" s="311"/>
      <c r="U16" s="311"/>
      <c r="V16" s="329">
        <f>MEDIAN(V7:V8)</f>
        <v>0.35886403504233122</v>
      </c>
      <c r="W16" s="329">
        <f>MEDIAN(W7:W8)</f>
        <v>4.6224072675359293</v>
      </c>
      <c r="X16" s="329">
        <f>MEDIAN(X7:X8)</f>
        <v>12.138214336697864</v>
      </c>
    </row>
    <row r="17" spans="2:24" ht="14">
      <c r="B17" s="327" t="s">
        <v>607</v>
      </c>
      <c r="C17" s="311"/>
      <c r="D17" s="311"/>
      <c r="E17" s="311"/>
      <c r="F17" s="311"/>
      <c r="G17" s="311"/>
      <c r="H17" s="311"/>
      <c r="I17" s="311"/>
      <c r="J17" s="311"/>
      <c r="K17" s="311"/>
      <c r="L17" s="311"/>
      <c r="M17" s="311"/>
      <c r="N17" s="328">
        <f>QUARTILE(N7:N8,1)</f>
        <v>0.26853011755564221</v>
      </c>
      <c r="O17" s="328">
        <f>QUARTILE(O7:O8,1)</f>
        <v>4.1020188285628203</v>
      </c>
      <c r="P17" s="328">
        <f>QUARTILE(P7:P8,1)</f>
        <v>4.4910197693395038</v>
      </c>
      <c r="R17" s="311"/>
      <c r="S17" s="311"/>
      <c r="T17" s="311"/>
      <c r="U17" s="311"/>
      <c r="V17" s="328">
        <f>QUARTILE(V7:V8,1)</f>
        <v>0.2537692880644698</v>
      </c>
      <c r="W17" s="328">
        <f>QUARTILE(W7:W8,1)</f>
        <v>3.6373478645371953</v>
      </c>
      <c r="X17" s="328">
        <f>QUARTILE(X7:X8,1)</f>
        <v>10.810919545559148</v>
      </c>
    </row>
    <row r="18" spans="2:24" ht="14">
      <c r="B18" s="327" t="s">
        <v>491</v>
      </c>
      <c r="C18" s="327"/>
      <c r="D18" s="327"/>
      <c r="E18" s="327"/>
      <c r="F18" s="327"/>
      <c r="G18" s="327"/>
      <c r="H18" s="327"/>
      <c r="I18" s="327"/>
      <c r="J18" s="327"/>
      <c r="K18" s="327"/>
      <c r="L18" s="327"/>
      <c r="M18" s="327"/>
      <c r="N18" s="328">
        <f>MIN(N7:N8)</f>
        <v>0.16367154918116161</v>
      </c>
      <c r="O18" s="328">
        <f>MIN(O7:O8)</f>
        <v>2.9162754870865424</v>
      </c>
      <c r="P18" s="328">
        <f>MIN(P7:P8)</f>
        <v>1.1180463231036477</v>
      </c>
      <c r="R18" s="327"/>
      <c r="S18" s="327"/>
      <c r="T18" s="327"/>
      <c r="U18" s="327"/>
      <c r="V18" s="328">
        <f>MIN(V7:V8)</f>
        <v>0.14867454108660833</v>
      </c>
      <c r="W18" s="328">
        <f>MIN(W7:W8)</f>
        <v>2.6522884615384612</v>
      </c>
      <c r="X18" s="328">
        <f>MIN(X7:X8)</f>
        <v>9.4836247544204308</v>
      </c>
    </row>
    <row r="19" spans="2:24" ht="16">
      <c r="B19" s="630"/>
      <c r="C19" s="630"/>
      <c r="D19" s="630"/>
      <c r="E19" s="630"/>
      <c r="F19" s="630"/>
      <c r="G19" s="630"/>
      <c r="H19" s="630"/>
      <c r="I19" s="630"/>
      <c r="J19" s="630"/>
      <c r="K19" s="630"/>
      <c r="L19" s="630"/>
      <c r="M19" s="630"/>
      <c r="N19" s="630"/>
      <c r="O19" s="630"/>
      <c r="P19" s="630"/>
      <c r="R19" s="630"/>
      <c r="S19" s="630"/>
      <c r="T19" s="630"/>
      <c r="U19" s="630"/>
      <c r="V19" s="630"/>
      <c r="W19" s="630"/>
      <c r="X19" s="630"/>
    </row>
    <row r="20" spans="2:24" ht="15">
      <c r="B20" s="302" t="s">
        <v>608</v>
      </c>
      <c r="C20" s="330"/>
      <c r="D20" s="330"/>
      <c r="E20" s="330"/>
      <c r="F20" s="330"/>
      <c r="G20" s="330"/>
      <c r="H20" s="330"/>
      <c r="I20" s="330"/>
      <c r="J20" s="330"/>
      <c r="K20" s="330"/>
      <c r="L20" s="330"/>
      <c r="M20" s="330"/>
      <c r="N20" s="307" t="s">
        <v>596</v>
      </c>
      <c r="O20" s="307" t="s">
        <v>597</v>
      </c>
      <c r="P20" s="307" t="s">
        <v>598</v>
      </c>
      <c r="R20" s="330"/>
      <c r="S20" s="330"/>
      <c r="T20" s="330"/>
      <c r="U20" s="330"/>
      <c r="V20" s="307" t="s">
        <v>596</v>
      </c>
      <c r="W20" s="307" t="s">
        <v>597</v>
      </c>
      <c r="X20" s="307" t="s">
        <v>598</v>
      </c>
    </row>
    <row r="21" spans="2:24" ht="14">
      <c r="B21" s="325" t="s">
        <v>609</v>
      </c>
      <c r="C21" s="325"/>
      <c r="D21" s="325"/>
      <c r="E21" s="325"/>
      <c r="F21" s="325"/>
      <c r="G21" s="325"/>
      <c r="H21" s="325"/>
      <c r="I21" s="325"/>
      <c r="J21" s="331"/>
      <c r="K21" s="325"/>
      <c r="L21" s="325"/>
      <c r="M21" s="325"/>
      <c r="N21" s="320">
        <f>N15*J6</f>
        <v>15566947705.112747</v>
      </c>
      <c r="O21" s="320">
        <f>O15*K6</f>
        <v>13573685490.490366</v>
      </c>
      <c r="P21" s="320">
        <f>P22+P23</f>
        <v>6156608747.4500608</v>
      </c>
      <c r="R21" s="331"/>
      <c r="S21" s="325"/>
      <c r="T21" s="325"/>
      <c r="U21" s="325"/>
      <c r="V21" s="320">
        <f>V15*R6</f>
        <v>15155222551.961891</v>
      </c>
      <c r="W21" s="320">
        <f>W15*S6</f>
        <v>12017297850.898422</v>
      </c>
      <c r="X21" s="320">
        <f>X22+X23</f>
        <v>12468526415.301502</v>
      </c>
    </row>
    <row r="22" spans="2:24" ht="14">
      <c r="B22" s="325" t="s">
        <v>313</v>
      </c>
      <c r="C22" s="325"/>
      <c r="D22" s="325"/>
      <c r="E22" s="325"/>
      <c r="F22" s="325"/>
      <c r="G22" s="324"/>
      <c r="H22" s="325"/>
      <c r="I22" s="325"/>
      <c r="J22" s="331"/>
      <c r="K22" s="325"/>
      <c r="L22" s="325"/>
      <c r="M22" s="325"/>
      <c r="N22" s="320">
        <f>$G$6</f>
        <v>-2250000000</v>
      </c>
      <c r="O22" s="320">
        <f>$G$6</f>
        <v>-2250000000</v>
      </c>
      <c r="P22" s="320">
        <f>$G$6</f>
        <v>-2250000000</v>
      </c>
      <c r="R22" s="331"/>
      <c r="S22" s="325"/>
      <c r="T22" s="325"/>
      <c r="U22" s="325"/>
      <c r="V22" s="320">
        <f>$G$6</f>
        <v>-2250000000</v>
      </c>
      <c r="W22" s="320">
        <f>$G$6</f>
        <v>-2250000000</v>
      </c>
      <c r="X22" s="320">
        <f>$G$6</f>
        <v>-2250000000</v>
      </c>
    </row>
    <row r="23" spans="2:24" ht="14">
      <c r="B23" s="325" t="s">
        <v>610</v>
      </c>
      <c r="C23" s="325"/>
      <c r="D23" s="325"/>
      <c r="E23" s="325"/>
      <c r="F23" s="325"/>
      <c r="G23" s="324"/>
      <c r="H23" s="325"/>
      <c r="I23" s="325"/>
      <c r="J23" s="331"/>
      <c r="K23" s="325"/>
      <c r="L23" s="325"/>
      <c r="M23" s="325"/>
      <c r="N23" s="320">
        <f>N21+N22</f>
        <v>13316947705.112747</v>
      </c>
      <c r="O23" s="320">
        <f>O21+O22</f>
        <v>11323685490.490366</v>
      </c>
      <c r="P23" s="320">
        <f>P15*L6</f>
        <v>8406608747.4500608</v>
      </c>
      <c r="R23" s="331"/>
      <c r="S23" s="325"/>
      <c r="T23" s="325"/>
      <c r="U23" s="325"/>
      <c r="V23" s="320">
        <f>V21+V22</f>
        <v>12905222551.961891</v>
      </c>
      <c r="W23" s="320">
        <f>W21+W22</f>
        <v>9767297850.8984222</v>
      </c>
      <c r="X23" s="320">
        <f>X17*T6</f>
        <v>14718526415.301502</v>
      </c>
    </row>
    <row r="24" spans="2:24" ht="14">
      <c r="B24" s="325" t="s">
        <v>594</v>
      </c>
      <c r="C24" s="325"/>
      <c r="D24" s="325"/>
      <c r="E24" s="325"/>
      <c r="F24" s="325"/>
      <c r="G24" s="324"/>
      <c r="H24" s="325"/>
      <c r="I24" s="325"/>
      <c r="J24" s="325"/>
      <c r="K24" s="325"/>
      <c r="L24" s="325"/>
      <c r="M24" s="325"/>
      <c r="N24" s="320">
        <f>$E$6</f>
        <v>209112577</v>
      </c>
      <c r="O24" s="320">
        <f>$E$6</f>
        <v>209112577</v>
      </c>
      <c r="P24" s="320">
        <f>$E$6</f>
        <v>209112577</v>
      </c>
      <c r="R24" s="325"/>
      <c r="S24" s="325"/>
      <c r="T24" s="325"/>
      <c r="U24" s="325"/>
      <c r="V24" s="320">
        <f>$E$6</f>
        <v>209112577</v>
      </c>
      <c r="W24" s="320">
        <f>$E$6</f>
        <v>209112577</v>
      </c>
      <c r="X24" s="320">
        <f>$E$6</f>
        <v>209112577</v>
      </c>
    </row>
    <row r="25" spans="2:24" ht="14">
      <c r="B25" s="332" t="s">
        <v>611</v>
      </c>
      <c r="C25" s="332"/>
      <c r="D25" s="333"/>
      <c r="E25" s="333"/>
      <c r="F25" s="332"/>
      <c r="G25" s="334"/>
      <c r="H25" s="332"/>
      <c r="I25" s="332"/>
      <c r="J25" s="332"/>
      <c r="K25" s="332"/>
      <c r="L25" s="332"/>
      <c r="M25" s="332"/>
      <c r="N25" s="335">
        <f>N23/N24</f>
        <v>63.683150464511499</v>
      </c>
      <c r="O25" s="335">
        <f>O23/O24</f>
        <v>54.151145057575214</v>
      </c>
      <c r="P25" s="335">
        <f>P23/P24</f>
        <v>40.201354065136222</v>
      </c>
      <c r="R25" s="332"/>
      <c r="S25" s="332"/>
      <c r="T25" s="332"/>
      <c r="U25" s="332"/>
      <c r="V25" s="520">
        <f>V23/V24</f>
        <v>61.714234203913477</v>
      </c>
      <c r="W25" s="520">
        <f>W23/W24</f>
        <v>46.708323291804788</v>
      </c>
      <c r="X25" s="520">
        <f>X23/X24</f>
        <v>70.385658416430417</v>
      </c>
    </row>
    <row r="26" spans="2:24" ht="14">
      <c r="V26" s="519" t="s">
        <v>612</v>
      </c>
      <c r="W26" s="519"/>
      <c r="X26" s="519">
        <f>AVERAGE(V25:X25)</f>
        <v>59.602738637382892</v>
      </c>
    </row>
    <row r="27" spans="2:24" ht="15">
      <c r="B27" s="652" t="s">
        <v>613</v>
      </c>
      <c r="C27" s="652"/>
      <c r="D27" s="652"/>
      <c r="E27" s="652"/>
      <c r="F27" s="558"/>
      <c r="G27" s="558"/>
      <c r="H27" s="558"/>
      <c r="I27" s="558"/>
      <c r="J27" s="558"/>
      <c r="K27" s="558"/>
      <c r="L27" s="558"/>
      <c r="M27" s="558"/>
      <c r="N27" s="558"/>
      <c r="O27" s="558"/>
      <c r="P27" s="558"/>
    </row>
    <row r="28" spans="2:24" ht="14.25" customHeight="1">
      <c r="B28" s="654" t="s">
        <v>614</v>
      </c>
      <c r="C28" s="654"/>
      <c r="D28" s="654"/>
      <c r="E28" s="654"/>
      <c r="F28" s="654"/>
      <c r="G28" s="654"/>
      <c r="H28" s="654"/>
      <c r="I28" s="654"/>
      <c r="J28" s="654"/>
      <c r="K28" s="654"/>
      <c r="L28" s="654"/>
      <c r="M28" s="654"/>
      <c r="N28" s="654"/>
      <c r="O28" s="654"/>
      <c r="P28" s="654"/>
    </row>
    <row r="29" spans="2:24" ht="14.25" customHeight="1">
      <c r="B29" s="654"/>
      <c r="C29" s="654"/>
      <c r="D29" s="654"/>
      <c r="E29" s="654"/>
      <c r="F29" s="654"/>
      <c r="G29" s="654"/>
      <c r="H29" s="654"/>
      <c r="I29" s="654"/>
      <c r="J29" s="654"/>
      <c r="K29" s="654"/>
      <c r="L29" s="654"/>
      <c r="M29" s="654"/>
      <c r="N29" s="654"/>
      <c r="O29" s="654"/>
      <c r="P29" s="654"/>
    </row>
    <row r="30" spans="2:24" ht="14.25" customHeight="1">
      <c r="B30" s="654"/>
      <c r="C30" s="654"/>
      <c r="D30" s="654"/>
      <c r="E30" s="654"/>
      <c r="F30" s="654"/>
      <c r="G30" s="654"/>
      <c r="H30" s="654"/>
      <c r="I30" s="654"/>
      <c r="J30" s="654"/>
      <c r="K30" s="654"/>
      <c r="L30" s="654"/>
      <c r="M30" s="654"/>
      <c r="N30" s="654"/>
      <c r="O30" s="654"/>
      <c r="P30" s="654"/>
    </row>
    <row r="31" spans="2:24" ht="14.25" customHeight="1">
      <c r="B31" s="654"/>
      <c r="C31" s="654"/>
      <c r="D31" s="654"/>
      <c r="E31" s="654"/>
      <c r="F31" s="654"/>
      <c r="G31" s="654"/>
      <c r="H31" s="654"/>
      <c r="I31" s="654"/>
      <c r="J31" s="654"/>
      <c r="K31" s="654"/>
      <c r="L31" s="654"/>
      <c r="M31" s="654"/>
      <c r="N31" s="654"/>
      <c r="O31" s="654"/>
      <c r="P31" s="654"/>
    </row>
    <row r="32" spans="2:24" ht="108" customHeight="1">
      <c r="B32" s="654"/>
      <c r="C32" s="654"/>
      <c r="D32" s="654"/>
      <c r="E32" s="654"/>
      <c r="F32" s="654"/>
      <c r="G32" s="654"/>
      <c r="H32" s="654"/>
      <c r="I32" s="654"/>
      <c r="J32" s="654"/>
      <c r="K32" s="654"/>
      <c r="L32" s="654"/>
      <c r="M32" s="654"/>
      <c r="N32" s="654"/>
      <c r="O32" s="654"/>
      <c r="P32" s="654"/>
    </row>
  </sheetData>
  <mergeCells count="3">
    <mergeCell ref="B27:E27"/>
    <mergeCell ref="B1:X1"/>
    <mergeCell ref="B28:P32"/>
  </mergeCells>
  <pageMargins left="0.7" right="0.7" top="0.75" bottom="0.75" header="0.3" footer="0.3"/>
  <pageSetup orientation="portrait" horizontalDpi="0" verticalDpi="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F6B7CC-5B14-4B5B-9400-04BF9C60D52D}">
  <dimension ref="B2:F7"/>
  <sheetViews>
    <sheetView showGridLines="0" zoomScale="110" zoomScaleNormal="68" workbookViewId="0">
      <selection activeCell="I25" sqref="I25"/>
    </sheetView>
  </sheetViews>
  <sheetFormatPr baseColWidth="10" defaultColWidth="10.83203125" defaultRowHeight="14"/>
  <cols>
    <col min="1" max="1" width="3.83203125" style="325" customWidth="1"/>
    <col min="2" max="2" width="35.1640625" style="325" customWidth="1"/>
    <col min="3" max="3" width="10.5" style="325" customWidth="1"/>
    <col min="4" max="4" width="10.33203125" style="325" customWidth="1"/>
    <col min="5" max="5" width="11.6640625" style="325" customWidth="1"/>
    <col min="6" max="16384" width="10.83203125" style="325"/>
  </cols>
  <sheetData>
    <row r="2" spans="2:6">
      <c r="B2" s="317" t="s">
        <v>615</v>
      </c>
      <c r="C2" s="317" t="s">
        <v>491</v>
      </c>
      <c r="D2" s="317" t="s">
        <v>616</v>
      </c>
      <c r="E2" s="317" t="s">
        <v>490</v>
      </c>
    </row>
    <row r="3" spans="2:6">
      <c r="B3" s="325" t="s">
        <v>617</v>
      </c>
      <c r="C3" s="325">
        <v>62</v>
      </c>
      <c r="D3" s="325">
        <f>E3-C3</f>
        <v>34</v>
      </c>
      <c r="E3" s="325">
        <v>96</v>
      </c>
      <c r="F3" s="344" t="s">
        <v>618</v>
      </c>
    </row>
    <row r="4" spans="2:6">
      <c r="B4" s="325" t="s">
        <v>619</v>
      </c>
      <c r="C4" s="325">
        <v>50</v>
      </c>
      <c r="D4" s="325">
        <f>E4-C4</f>
        <v>26</v>
      </c>
      <c r="E4" s="325">
        <v>76</v>
      </c>
      <c r="F4" s="344" t="s">
        <v>620</v>
      </c>
    </row>
    <row r="5" spans="2:6">
      <c r="B5" s="325" t="s">
        <v>621</v>
      </c>
      <c r="C5" s="325">
        <v>81</v>
      </c>
      <c r="D5" s="325">
        <f>E5-C5</f>
        <v>42</v>
      </c>
      <c r="E5" s="325">
        <v>123</v>
      </c>
      <c r="F5" s="344" t="s">
        <v>622</v>
      </c>
    </row>
    <row r="6" spans="2:6">
      <c r="B6" s="325" t="s">
        <v>623</v>
      </c>
      <c r="C6" s="325">
        <v>62.37</v>
      </c>
      <c r="D6" s="325">
        <f>E6-C6</f>
        <v>27.630000000000003</v>
      </c>
      <c r="E6" s="325">
        <v>90</v>
      </c>
      <c r="F6" s="344" t="s">
        <v>624</v>
      </c>
    </row>
    <row r="7" spans="2:6">
      <c r="B7" s="325" t="s">
        <v>625</v>
      </c>
      <c r="C7" s="325">
        <v>62.87</v>
      </c>
      <c r="D7" s="325">
        <f>E7-C7</f>
        <v>25.300000000000004</v>
      </c>
      <c r="E7" s="325">
        <v>88.17</v>
      </c>
      <c r="F7" s="344" t="s">
        <v>626</v>
      </c>
    </row>
  </sheetData>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EB9C98-46E0-4545-9EF4-4F64493A86E4}">
  <sheetPr>
    <tabColor theme="9" tint="-0.249977111117893"/>
  </sheetPr>
  <dimension ref="A1:X9"/>
  <sheetViews>
    <sheetView showGridLines="0" zoomScale="82" workbookViewId="0">
      <selection activeCell="N26" sqref="N26"/>
    </sheetView>
  </sheetViews>
  <sheetFormatPr baseColWidth="10" defaultColWidth="8.83203125" defaultRowHeight="13"/>
  <cols>
    <col min="1" max="1" width="2.6640625" customWidth="1"/>
    <col min="2" max="2" width="20" customWidth="1"/>
    <col min="3" max="4" width="8.33203125" bestFit="1" customWidth="1"/>
    <col min="5" max="5" width="9.5" bestFit="1" customWidth="1"/>
  </cols>
  <sheetData>
    <row r="1" spans="1:24" ht="20">
      <c r="B1" s="557" t="s">
        <v>627</v>
      </c>
      <c r="C1" s="522"/>
      <c r="D1" s="522"/>
      <c r="E1" s="522"/>
      <c r="F1" s="522"/>
      <c r="G1" s="522"/>
      <c r="H1" s="522"/>
      <c r="I1" s="522"/>
      <c r="J1" s="522"/>
      <c r="K1" s="522"/>
      <c r="L1" s="522"/>
      <c r="M1" s="522"/>
      <c r="N1" s="523"/>
      <c r="O1" s="523"/>
      <c r="P1" s="523"/>
      <c r="Q1" s="523"/>
      <c r="R1" s="523"/>
      <c r="S1" s="523"/>
      <c r="T1" s="523"/>
      <c r="U1" s="523"/>
      <c r="V1" s="523"/>
      <c r="W1" s="523"/>
      <c r="X1" s="523"/>
    </row>
    <row r="2" spans="1:24" ht="18">
      <c r="B2" s="523"/>
      <c r="C2" s="523"/>
      <c r="D2" s="523"/>
      <c r="E2" s="523"/>
      <c r="F2" s="523"/>
      <c r="G2" s="523"/>
      <c r="H2" s="523"/>
      <c r="I2" s="523"/>
      <c r="J2" s="523"/>
      <c r="K2" s="523"/>
      <c r="L2" s="523"/>
      <c r="M2" s="523"/>
      <c r="N2" s="523"/>
      <c r="O2" s="523"/>
      <c r="P2" s="523"/>
      <c r="Q2" s="523"/>
      <c r="R2" s="523"/>
      <c r="S2" s="523"/>
      <c r="T2" s="523"/>
      <c r="U2" s="523"/>
      <c r="V2" s="523"/>
      <c r="W2" s="523"/>
      <c r="X2" s="523"/>
    </row>
    <row r="3" spans="1:24" ht="14" customHeight="1">
      <c r="A3" t="s">
        <v>343</v>
      </c>
      <c r="B3" s="556"/>
      <c r="C3" s="556" t="s">
        <v>628</v>
      </c>
      <c r="D3" s="556"/>
      <c r="E3" s="556" t="s">
        <v>629</v>
      </c>
    </row>
    <row r="4" spans="1:24">
      <c r="B4" s="556" t="s">
        <v>630</v>
      </c>
      <c r="C4" s="555">
        <v>81.25</v>
      </c>
      <c r="D4" s="555">
        <f>E4-C4</f>
        <v>41.81</v>
      </c>
      <c r="E4" s="555">
        <v>123.06</v>
      </c>
    </row>
    <row r="5" spans="1:24">
      <c r="B5" s="556" t="s">
        <v>631</v>
      </c>
      <c r="C5" s="555">
        <v>68.56</v>
      </c>
      <c r="D5" s="555">
        <v>14</v>
      </c>
      <c r="E5" s="555">
        <v>85.24</v>
      </c>
    </row>
    <row r="6" spans="1:24">
      <c r="B6" s="556" t="s">
        <v>632</v>
      </c>
      <c r="C6" s="555">
        <v>45.16</v>
      </c>
      <c r="D6" s="555">
        <f>E6-C6</f>
        <v>26.040000000000006</v>
      </c>
      <c r="E6" s="555">
        <v>71.2</v>
      </c>
    </row>
    <row r="7" spans="1:24">
      <c r="B7" s="556" t="s">
        <v>633</v>
      </c>
      <c r="C7" s="555">
        <v>61.73</v>
      </c>
      <c r="D7" s="555">
        <f>E7-C7</f>
        <v>35.780000000000008</v>
      </c>
      <c r="E7" s="555">
        <v>97.51</v>
      </c>
    </row>
    <row r="8" spans="1:24">
      <c r="B8" s="556" t="s">
        <v>634</v>
      </c>
      <c r="C8" s="555">
        <v>65</v>
      </c>
      <c r="D8" s="555">
        <f>E8-C8</f>
        <v>25</v>
      </c>
      <c r="E8" s="555">
        <v>90</v>
      </c>
    </row>
    <row r="9" spans="1:24">
      <c r="B9" s="556" t="s">
        <v>635</v>
      </c>
      <c r="C9" s="555">
        <v>59.77</v>
      </c>
      <c r="D9" s="555">
        <f>E9-C9</f>
        <v>25.109999999999992</v>
      </c>
      <c r="E9" s="555">
        <v>84.88</v>
      </c>
    </row>
  </sheetData>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17F337-782F-6043-B009-23F7B4E34C5F}">
  <sheetPr>
    <tabColor theme="9" tint="-0.249977111117893"/>
  </sheetPr>
  <dimension ref="B1:E12"/>
  <sheetViews>
    <sheetView showGridLines="0" zoomScale="125" workbookViewId="0">
      <selection activeCell="F17" sqref="F17"/>
    </sheetView>
  </sheetViews>
  <sheetFormatPr baseColWidth="10" defaultColWidth="11.5" defaultRowHeight="13"/>
  <cols>
    <col min="1" max="1" width="3.83203125" customWidth="1"/>
    <col min="2" max="2" width="40.83203125" bestFit="1" customWidth="1"/>
    <col min="3" max="3" width="16.6640625" bestFit="1" customWidth="1"/>
    <col min="5" max="5" width="12" bestFit="1" customWidth="1"/>
  </cols>
  <sheetData>
    <row r="1" spans="2:5" ht="18">
      <c r="B1" s="646" t="s">
        <v>636</v>
      </c>
      <c r="C1" s="646"/>
      <c r="D1" s="646"/>
      <c r="E1" s="646"/>
    </row>
    <row r="3" spans="2:5">
      <c r="B3" s="35" t="s">
        <v>637</v>
      </c>
      <c r="C3" s="35" t="s">
        <v>638</v>
      </c>
      <c r="D3" s="35" t="s">
        <v>639</v>
      </c>
      <c r="E3" s="35" t="s">
        <v>640</v>
      </c>
    </row>
    <row r="4" spans="2:5">
      <c r="B4" t="s">
        <v>630</v>
      </c>
      <c r="C4" s="346">
        <f>'DCF - Base Model'!C29</f>
        <v>97.299865668957864</v>
      </c>
      <c r="D4" s="414">
        <v>0.6</v>
      </c>
      <c r="E4" s="489">
        <f>D4*C4</f>
        <v>58.379919401374714</v>
      </c>
    </row>
    <row r="5" spans="2:5">
      <c r="B5" t="s">
        <v>641</v>
      </c>
      <c r="C5" s="346">
        <f>'Comp Analysis'!X25</f>
        <v>70.385658416430417</v>
      </c>
      <c r="D5" s="272">
        <v>0.4</v>
      </c>
      <c r="E5" s="521">
        <f>D5*C5</f>
        <v>28.154263366572167</v>
      </c>
    </row>
    <row r="6" spans="2:5">
      <c r="B6" s="415" t="s">
        <v>642</v>
      </c>
      <c r="C6" s="416">
        <f>SUMPRODUCT(C4:C5,D4:D5)</f>
        <v>86.534182767946874</v>
      </c>
      <c r="D6" s="347"/>
    </row>
    <row r="7" spans="2:5">
      <c r="B7" s="478" t="s">
        <v>643</v>
      </c>
      <c r="C7" s="479">
        <f>(C6-Assumptions!B39)/Assumptions!B39</f>
        <v>0.36510778936657001</v>
      </c>
    </row>
    <row r="8" spans="2:5">
      <c r="B8" s="655" t="s">
        <v>644</v>
      </c>
      <c r="C8" s="655"/>
      <c r="D8" s="655"/>
      <c r="E8" s="655"/>
    </row>
    <row r="9" spans="2:5">
      <c r="B9" s="485"/>
      <c r="C9" s="486"/>
      <c r="D9" s="486"/>
      <c r="E9" s="486"/>
    </row>
    <row r="10" spans="2:5">
      <c r="B10" s="487"/>
      <c r="C10" s="488"/>
      <c r="D10" s="488"/>
      <c r="E10" s="488"/>
    </row>
    <row r="11" spans="2:5">
      <c r="B11" s="487"/>
      <c r="C11" s="488"/>
      <c r="D11" s="488"/>
      <c r="E11" s="488"/>
    </row>
    <row r="12" spans="2:5">
      <c r="B12" s="487"/>
      <c r="C12" s="488"/>
      <c r="D12" s="488"/>
      <c r="E12" s="488"/>
    </row>
  </sheetData>
  <mergeCells count="2">
    <mergeCell ref="B8:E8"/>
    <mergeCell ref="B1:E1"/>
  </mergeCells>
  <pageMargins left="0.7" right="0.7" top="0.75" bottom="0.75" header="0.3" footer="0.3"/>
  <pageSetup orientation="portrait" horizontalDpi="0" verticalDpi="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64DF58-B1B3-41C1-9A41-6C03C45C1ABA}">
  <sheetPr>
    <tabColor theme="9" tint="-0.249977111117893"/>
  </sheetPr>
  <dimension ref="A1:M48"/>
  <sheetViews>
    <sheetView showGridLines="0" zoomScale="97" workbookViewId="0">
      <selection activeCell="P9" sqref="P9"/>
    </sheetView>
  </sheetViews>
  <sheetFormatPr baseColWidth="10" defaultColWidth="8.6640625" defaultRowHeight="13"/>
  <cols>
    <col min="1" max="1" width="38" customWidth="1"/>
    <col min="2" max="2" width="7" customWidth="1"/>
    <col min="3" max="13" width="11" customWidth="1"/>
  </cols>
  <sheetData>
    <row r="1" spans="1:13" ht="15.75" customHeight="1">
      <c r="A1" s="653" t="s">
        <v>645</v>
      </c>
      <c r="B1" s="653"/>
      <c r="C1" s="653"/>
      <c r="D1" s="653"/>
      <c r="E1" s="653"/>
      <c r="F1" s="653"/>
      <c r="G1" s="653"/>
      <c r="H1" s="653"/>
      <c r="I1" s="653"/>
      <c r="J1" s="653"/>
      <c r="K1" s="653"/>
      <c r="L1" s="653"/>
      <c r="M1" s="653"/>
    </row>
    <row r="2" spans="1:13" ht="15" customHeight="1">
      <c r="A2" s="470" t="s">
        <v>646</v>
      </c>
    </row>
    <row r="3" spans="1:13" ht="15" customHeight="1">
      <c r="A3" s="470" t="s">
        <v>647</v>
      </c>
    </row>
    <row r="4" spans="1:13" ht="6" customHeight="1"/>
    <row r="5" spans="1:13" ht="15" customHeight="1">
      <c r="A5" s="559" t="s">
        <v>648</v>
      </c>
      <c r="B5" s="560"/>
      <c r="C5" s="560"/>
      <c r="D5" s="560"/>
      <c r="E5" s="560"/>
      <c r="F5" s="560"/>
      <c r="G5" s="560"/>
      <c r="H5" s="560"/>
      <c r="I5" s="560"/>
      <c r="J5" s="560"/>
      <c r="K5" s="560"/>
      <c r="L5" s="560"/>
      <c r="M5" s="561"/>
    </row>
    <row r="6" spans="1:13" ht="15" customHeight="1">
      <c r="A6" s="352"/>
      <c r="B6" s="352"/>
      <c r="C6" s="352" t="s">
        <v>649</v>
      </c>
      <c r="D6" s="352" t="s">
        <v>650</v>
      </c>
      <c r="E6" s="352" t="s">
        <v>651</v>
      </c>
      <c r="F6" s="352" t="s">
        <v>652</v>
      </c>
      <c r="G6" s="352" t="s">
        <v>653</v>
      </c>
      <c r="H6" s="527" t="s">
        <v>654</v>
      </c>
      <c r="I6" s="352" t="s">
        <v>655</v>
      </c>
      <c r="J6" s="352" t="s">
        <v>656</v>
      </c>
      <c r="K6" s="352" t="s">
        <v>657</v>
      </c>
      <c r="L6" s="352" t="s">
        <v>658</v>
      </c>
      <c r="M6" s="352" t="s">
        <v>659</v>
      </c>
    </row>
    <row r="7" spans="1:13" ht="15" customHeight="1">
      <c r="A7" s="455" t="s">
        <v>137</v>
      </c>
      <c r="B7" s="492" t="s">
        <v>203</v>
      </c>
      <c r="C7" s="493">
        <f>'Revenue Build - Top Down'!D17</f>
        <v>1009</v>
      </c>
      <c r="D7" s="493">
        <f>'Revenue Build - Top Down'!E17</f>
        <v>991</v>
      </c>
      <c r="E7" s="493">
        <f>'Revenue Build - Top Down'!F17</f>
        <v>984</v>
      </c>
      <c r="F7" s="493">
        <f>'Revenue Build - Top Down'!G17</f>
        <v>978</v>
      </c>
      <c r="G7" s="493">
        <f>'Revenue Build - Top Down'!H17</f>
        <v>965</v>
      </c>
      <c r="H7" s="528">
        <f>'Revenue Build - Top Down'!I17</f>
        <v>957</v>
      </c>
      <c r="I7" s="493">
        <f>'Revenue Build - Top Down'!J17</f>
        <v>926</v>
      </c>
      <c r="J7" s="493">
        <f>'Revenue Build - Top Down'!K17</f>
        <v>917</v>
      </c>
      <c r="K7" s="493">
        <f>'Revenue Build - Top Down'!L17</f>
        <v>908</v>
      </c>
      <c r="L7" s="493">
        <f>'Revenue Build - Top Down'!M17</f>
        <v>899</v>
      </c>
      <c r="M7" s="493">
        <f>'Revenue Build - Top Down'!N17</f>
        <v>891</v>
      </c>
    </row>
    <row r="8" spans="1:13" ht="15" customHeight="1">
      <c r="A8" s="455" t="s">
        <v>138</v>
      </c>
      <c r="B8" s="492" t="s">
        <v>203</v>
      </c>
      <c r="C8" s="493">
        <f>'Revenue Build - Top Down'!D18</f>
        <v>3</v>
      </c>
      <c r="D8" s="493">
        <f>'Revenue Build - Top Down'!E18</f>
        <v>13</v>
      </c>
      <c r="E8" s="493">
        <f>'Revenue Build - Top Down'!F18</f>
        <v>9</v>
      </c>
      <c r="F8" s="493">
        <f>'Revenue Build - Top Down'!G18</f>
        <v>14</v>
      </c>
      <c r="G8" s="493">
        <f>'Revenue Build - Top Down'!H18</f>
        <v>0</v>
      </c>
      <c r="H8" s="528">
        <f>'Revenue Build - Top Down'!I18</f>
        <v>0</v>
      </c>
      <c r="I8" s="493">
        <f>'Revenue Build - Top Down'!J18</f>
        <v>6</v>
      </c>
      <c r="J8" s="493">
        <f>'Revenue Build - Top Down'!K18</f>
        <v>6</v>
      </c>
      <c r="K8" s="493">
        <f>'Revenue Build - Top Down'!L18</f>
        <v>5</v>
      </c>
      <c r="L8" s="493">
        <f>'Revenue Build - Top Down'!M18</f>
        <v>5</v>
      </c>
      <c r="M8" s="493">
        <f>'Revenue Build - Top Down'!N18</f>
        <v>5</v>
      </c>
    </row>
    <row r="9" spans="1:13" ht="15" customHeight="1">
      <c r="A9" s="455" t="s">
        <v>140</v>
      </c>
      <c r="B9" s="492" t="s">
        <v>203</v>
      </c>
      <c r="C9" s="493">
        <f>'Revenue Build - Top Down'!D19</f>
        <v>21</v>
      </c>
      <c r="D9" s="493">
        <f>'Revenue Build - Top Down'!E19</f>
        <v>20</v>
      </c>
      <c r="E9" s="493">
        <f>'Revenue Build - Top Down'!F19</f>
        <v>15</v>
      </c>
      <c r="F9" s="493">
        <f>'Revenue Build - Top Down'!G19</f>
        <v>27</v>
      </c>
      <c r="G9" s="493">
        <f>'Revenue Build - Top Down'!H19</f>
        <v>8</v>
      </c>
      <c r="H9" s="528">
        <f>'Revenue Build - Top Down'!I19</f>
        <v>31</v>
      </c>
      <c r="I9" s="493">
        <f>'Revenue Build - Top Down'!J19</f>
        <v>15</v>
      </c>
      <c r="J9" s="493">
        <f>'Revenue Build - Top Down'!K19</f>
        <v>15</v>
      </c>
      <c r="K9" s="493">
        <f>'Revenue Build - Top Down'!L19</f>
        <v>14</v>
      </c>
      <c r="L9" s="493">
        <f>'Revenue Build - Top Down'!M19</f>
        <v>13</v>
      </c>
      <c r="M9" s="493">
        <f>'Revenue Build - Top Down'!N19</f>
        <v>13</v>
      </c>
    </row>
    <row r="10" spans="1:13" ht="15" customHeight="1">
      <c r="A10" s="494" t="s">
        <v>142</v>
      </c>
      <c r="B10" s="492" t="s">
        <v>203</v>
      </c>
      <c r="C10" s="495">
        <f>'Revenue Build - Top Down'!D20</f>
        <v>991</v>
      </c>
      <c r="D10" s="495">
        <f>'Revenue Build - Top Down'!E20</f>
        <v>984</v>
      </c>
      <c r="E10" s="495">
        <f>'Revenue Build - Top Down'!F20</f>
        <v>978</v>
      </c>
      <c r="F10" s="495">
        <f>'Revenue Build - Top Down'!G20</f>
        <v>965</v>
      </c>
      <c r="G10" s="495">
        <f>'Revenue Build - Top Down'!H20</f>
        <v>957</v>
      </c>
      <c r="H10" s="529">
        <f>'Revenue Build - Top Down'!I20</f>
        <v>926</v>
      </c>
      <c r="I10" s="495">
        <f>'Revenue Build - Top Down'!J20</f>
        <v>917</v>
      </c>
      <c r="J10" s="495">
        <f>'Revenue Build - Top Down'!K20</f>
        <v>908</v>
      </c>
      <c r="K10" s="495">
        <f>'Revenue Build - Top Down'!L20</f>
        <v>899</v>
      </c>
      <c r="L10" s="495">
        <f>'Revenue Build - Top Down'!M20</f>
        <v>891</v>
      </c>
      <c r="M10" s="495">
        <f>'Revenue Build - Top Down'!N20</f>
        <v>883</v>
      </c>
    </row>
    <row r="11" spans="1:13" ht="15" customHeight="1">
      <c r="A11" s="563" t="s">
        <v>143</v>
      </c>
      <c r="B11" s="564" t="s">
        <v>203</v>
      </c>
      <c r="C11" s="565">
        <f>'Revenue Build - Top Down'!D21</f>
        <v>1000</v>
      </c>
      <c r="D11" s="565">
        <f>'Revenue Build - Top Down'!E21</f>
        <v>987.5</v>
      </c>
      <c r="E11" s="565">
        <f>'Revenue Build - Top Down'!F21</f>
        <v>981</v>
      </c>
      <c r="F11" s="565">
        <f>'Revenue Build - Top Down'!G21</f>
        <v>971.5</v>
      </c>
      <c r="G11" s="565">
        <f>'Revenue Build - Top Down'!H21</f>
        <v>961</v>
      </c>
      <c r="H11" s="566">
        <f>'Revenue Build - Top Down'!I21</f>
        <v>941.5</v>
      </c>
      <c r="I11" s="565">
        <f>'Revenue Build - Top Down'!J21</f>
        <v>921.5</v>
      </c>
      <c r="J11" s="565">
        <f>'Revenue Build - Top Down'!K21</f>
        <v>912.5</v>
      </c>
      <c r="K11" s="565">
        <f>'Revenue Build - Top Down'!L21</f>
        <v>903.5</v>
      </c>
      <c r="L11" s="565">
        <f>'Revenue Build - Top Down'!M21</f>
        <v>895</v>
      </c>
      <c r="M11" s="565">
        <f>'Revenue Build - Top Down'!N21</f>
        <v>887</v>
      </c>
    </row>
    <row r="12" spans="1:13" ht="6" customHeight="1">
      <c r="H12" s="530"/>
    </row>
    <row r="13" spans="1:13" ht="15" customHeight="1">
      <c r="A13" s="559" t="s">
        <v>660</v>
      </c>
      <c r="B13" s="560"/>
      <c r="C13" s="560"/>
      <c r="D13" s="560"/>
      <c r="E13" s="560"/>
      <c r="F13" s="560"/>
      <c r="G13" s="560"/>
      <c r="H13" s="562"/>
      <c r="I13" s="560"/>
      <c r="J13" s="560"/>
      <c r="K13" s="560"/>
      <c r="L13" s="560"/>
      <c r="M13" s="561"/>
    </row>
    <row r="14" spans="1:13" ht="15" customHeight="1">
      <c r="A14" s="352"/>
      <c r="B14" s="352"/>
      <c r="C14" s="352" t="s">
        <v>649</v>
      </c>
      <c r="D14" s="352" t="s">
        <v>650</v>
      </c>
      <c r="E14" s="352" t="s">
        <v>651</v>
      </c>
      <c r="F14" s="352" t="s">
        <v>652</v>
      </c>
      <c r="G14" s="352" t="s">
        <v>653</v>
      </c>
      <c r="H14" s="527" t="s">
        <v>654</v>
      </c>
      <c r="I14" s="352" t="s">
        <v>655</v>
      </c>
      <c r="J14" s="352" t="s">
        <v>656</v>
      </c>
      <c r="K14" s="352" t="s">
        <v>657</v>
      </c>
      <c r="L14" s="352" t="s">
        <v>658</v>
      </c>
      <c r="M14" s="352" t="s">
        <v>659</v>
      </c>
    </row>
    <row r="15" spans="1:13" ht="15" customHeight="1">
      <c r="A15" s="455" t="s">
        <v>661</v>
      </c>
      <c r="C15" s="496">
        <f>SUM('Revenue Build - Top Down'!D63:D68)</f>
        <v>47262</v>
      </c>
      <c r="D15" s="496">
        <f>SUM('Revenue Build - Top Down'!E63:E68)</f>
        <v>51761</v>
      </c>
      <c r="E15" s="496">
        <f>SUM('Revenue Build - Top Down'!F63:F68)</f>
        <v>46298</v>
      </c>
      <c r="F15" s="496">
        <f>SUM('Revenue Build - Top Down'!G63:G68)</f>
        <v>43452</v>
      </c>
      <c r="G15" s="496">
        <f>SUM('Revenue Build - Top Down'!H63:H68)</f>
        <v>41528</v>
      </c>
      <c r="H15" s="532">
        <f>SUM('Revenue Build - Top Down'!I63:I68)</f>
        <v>41691</v>
      </c>
      <c r="I15" s="496">
        <f>SUM('Revenue Build - Top Down'!J63:J68)</f>
        <v>41855.629999999997</v>
      </c>
      <c r="J15" s="496">
        <f>SUM('Revenue Build - Top Down'!K63:K68)</f>
        <v>43078.554199999999</v>
      </c>
      <c r="K15" s="496">
        <f>SUM('Revenue Build - Top Down'!L63:L68)</f>
        <v>44278.873705999991</v>
      </c>
      <c r="L15" s="496">
        <f>SUM('Revenue Build - Top Down'!M63:M68)</f>
        <v>45284.271939619997</v>
      </c>
      <c r="M15" s="496">
        <f>SUM('Revenue Build - Top Down'!N63:N68)</f>
        <v>46310.363661817399</v>
      </c>
    </row>
    <row r="16" spans="1:13" ht="15" customHeight="1">
      <c r="A16" s="497" t="s">
        <v>662</v>
      </c>
      <c r="B16" s="492" t="s">
        <v>663</v>
      </c>
      <c r="C16" s="498">
        <f>'Revenue Build - Top Down'!D29</f>
        <v>43.292999999999999</v>
      </c>
      <c r="D16" s="498">
        <f>'Revenue Build - Top Down'!E29</f>
        <v>48.435443037974686</v>
      </c>
      <c r="E16" s="498">
        <f>'Revenue Build - Top Down'!F29</f>
        <v>43.622833843017332</v>
      </c>
      <c r="F16" s="498">
        <f>'Revenue Build - Top Down'!G29</f>
        <v>41.273288728769941</v>
      </c>
      <c r="G16" s="498">
        <f>'Revenue Build - Top Down'!H29</f>
        <v>39.789802289282001</v>
      </c>
      <c r="H16" s="533">
        <f>'Revenue Build - Top Down'!I29</f>
        <v>40.656399362719064</v>
      </c>
      <c r="I16" s="498">
        <f>'Revenue Build - Top Down'!J29</f>
        <v>42.087866402679367</v>
      </c>
      <c r="J16" s="498">
        <f>'Revenue Build - Top Down'!K29</f>
        <v>43.280970933278056</v>
      </c>
      <c r="K16" s="498">
        <f>'Revenue Build - Top Down'!L29</f>
        <v>44.708500467103946</v>
      </c>
      <c r="L16" s="498">
        <f>'Revenue Build - Top Down'!M29</f>
        <v>46.163150225318553</v>
      </c>
      <c r="M16" s="498">
        <f>'Revenue Build - Top Down'!N29</f>
        <v>47.643805945623299</v>
      </c>
    </row>
    <row r="17" spans="1:13" ht="15" customHeight="1">
      <c r="A17" s="567" t="s">
        <v>664</v>
      </c>
      <c r="B17" s="515"/>
      <c r="C17" s="515"/>
      <c r="D17" s="568">
        <f t="shared" ref="D17:M17" si="0">(D16-C16)/C16</f>
        <v>0.11878232134466742</v>
      </c>
      <c r="E17" s="568">
        <f t="shared" si="0"/>
        <v>-9.9361312565761792E-2</v>
      </c>
      <c r="F17" s="568">
        <f t="shared" si="0"/>
        <v>-5.3860442049742732E-2</v>
      </c>
      <c r="G17" s="568">
        <f t="shared" si="0"/>
        <v>-3.5943015087476222E-2</v>
      </c>
      <c r="H17" s="569">
        <f t="shared" si="0"/>
        <v>2.1779376211439345E-2</v>
      </c>
      <c r="I17" s="568">
        <f t="shared" si="0"/>
        <v>3.5208898534997271E-2</v>
      </c>
      <c r="J17" s="568">
        <f t="shared" si="0"/>
        <v>2.8347945205479314E-2</v>
      </c>
      <c r="K17" s="568">
        <f t="shared" si="0"/>
        <v>3.2982844493636004E-2</v>
      </c>
      <c r="L17" s="568">
        <f t="shared" si="0"/>
        <v>3.2536312849162176E-2</v>
      </c>
      <c r="M17" s="568">
        <f t="shared" si="0"/>
        <v>3.2074408117249084E-2</v>
      </c>
    </row>
    <row r="18" spans="1:13" ht="15" customHeight="1">
      <c r="A18" s="455" t="s">
        <v>91</v>
      </c>
      <c r="C18" s="499">
        <f>'Revenue Build - Top Down'!D7</f>
        <v>9.1999999999999998E-2</v>
      </c>
      <c r="D18" s="499">
        <f>'Revenue Build - Top Down'!E7</f>
        <v>0.11</v>
      </c>
      <c r="E18" s="499">
        <f>'Revenue Build - Top Down'!F7</f>
        <v>-0.10299999999999999</v>
      </c>
      <c r="F18" s="499">
        <f>'Revenue Build - Top Down'!G7</f>
        <v>-7.0999999999999994E-2</v>
      </c>
      <c r="G18" s="499">
        <f>'Revenue Build - Top Down'!H7</f>
        <v>-2.5000000000000001E-2</v>
      </c>
      <c r="H18" s="534">
        <f>'Revenue Build - Top Down'!I7</f>
        <v>4.0000000000000001E-3</v>
      </c>
      <c r="I18" s="499">
        <f>'Revenue Build - Top Down'!J7</f>
        <v>0.01</v>
      </c>
      <c r="J18" s="499">
        <f>'Revenue Build - Top Down'!K7</f>
        <v>1.4999999999999999E-2</v>
      </c>
      <c r="K18" s="499">
        <f>'Revenue Build - Top Down'!L7</f>
        <v>0.02</v>
      </c>
      <c r="L18" s="499">
        <f>'Revenue Build - Top Down'!M7</f>
        <v>0.02</v>
      </c>
      <c r="M18" s="499">
        <f>'Revenue Build - Top Down'!N7</f>
        <v>0.02</v>
      </c>
    </row>
    <row r="19" spans="1:13" ht="6" customHeight="1">
      <c r="H19" s="530"/>
    </row>
    <row r="20" spans="1:13" ht="15" customHeight="1">
      <c r="A20" s="526" t="s">
        <v>665</v>
      </c>
      <c r="B20" s="524"/>
      <c r="C20" s="524"/>
      <c r="D20" s="524"/>
      <c r="E20" s="524"/>
      <c r="F20" s="524"/>
      <c r="G20" s="524"/>
      <c r="H20" s="531"/>
      <c r="I20" s="524"/>
      <c r="J20" s="524"/>
      <c r="K20" s="524"/>
      <c r="L20" s="524"/>
      <c r="M20" s="525"/>
    </row>
    <row r="21" spans="1:13" ht="15" customHeight="1">
      <c r="A21" s="352"/>
      <c r="B21" s="352"/>
      <c r="C21" s="352" t="s">
        <v>649</v>
      </c>
      <c r="D21" s="352" t="s">
        <v>650</v>
      </c>
      <c r="E21" s="352" t="s">
        <v>651</v>
      </c>
      <c r="F21" s="352" t="s">
        <v>652</v>
      </c>
      <c r="G21" s="352" t="s">
        <v>653</v>
      </c>
      <c r="H21" s="527" t="s">
        <v>654</v>
      </c>
      <c r="I21" s="352" t="s">
        <v>655</v>
      </c>
      <c r="J21" s="352" t="s">
        <v>656</v>
      </c>
      <c r="K21" s="352" t="s">
        <v>657</v>
      </c>
      <c r="L21" s="352" t="s">
        <v>658</v>
      </c>
      <c r="M21" s="352" t="s">
        <v>659</v>
      </c>
    </row>
    <row r="22" spans="1:13" ht="15" customHeight="1">
      <c r="A22" s="455" t="s">
        <v>666</v>
      </c>
      <c r="C22" s="500">
        <v>5.6000000000000001E-2</v>
      </c>
      <c r="D22" s="500">
        <v>8.5999999999999993E-2</v>
      </c>
      <c r="E22" s="500">
        <v>3.4000000000000002E-2</v>
      </c>
      <c r="F22" s="500">
        <v>3.9E-2</v>
      </c>
      <c r="G22" s="500">
        <v>4.2000000000000003E-2</v>
      </c>
      <c r="H22" s="535">
        <v>4.2000000000000003E-2</v>
      </c>
      <c r="I22" s="501">
        <f>[1]Assumptions!B36</f>
        <v>4.2999999999999997E-2</v>
      </c>
      <c r="J22" s="501">
        <f>[1]Assumptions!C36</f>
        <v>4.5999999999999999E-2</v>
      </c>
      <c r="K22" s="501">
        <f>[1]Assumptions!D36</f>
        <v>4.9000000000000002E-2</v>
      </c>
      <c r="L22" s="501">
        <f>[1]Assumptions!E36</f>
        <v>5.0999999999999997E-2</v>
      </c>
      <c r="M22" s="501">
        <f>[1]Assumptions!F36</f>
        <v>5.2999999999999999E-2</v>
      </c>
    </row>
    <row r="23" spans="1:13" ht="15" customHeight="1">
      <c r="A23" s="455" t="s">
        <v>667</v>
      </c>
      <c r="C23" s="502">
        <f>C15*C22</f>
        <v>2646.672</v>
      </c>
      <c r="D23" s="502">
        <f t="shared" ref="D23:M23" si="1">D15*D22</f>
        <v>4451.4459999999999</v>
      </c>
      <c r="E23" s="502">
        <f t="shared" si="1"/>
        <v>1574.1320000000001</v>
      </c>
      <c r="F23" s="502">
        <f t="shared" si="1"/>
        <v>1694.6279999999999</v>
      </c>
      <c r="G23" s="502">
        <f t="shared" si="1"/>
        <v>1744.1760000000002</v>
      </c>
      <c r="H23" s="536">
        <f t="shared" si="1"/>
        <v>1751.0220000000002</v>
      </c>
      <c r="I23" s="502">
        <f t="shared" si="1"/>
        <v>1799.7920899999997</v>
      </c>
      <c r="J23" s="502">
        <f t="shared" si="1"/>
        <v>1981.6134932</v>
      </c>
      <c r="K23" s="502">
        <f t="shared" si="1"/>
        <v>2169.6648115939997</v>
      </c>
      <c r="L23" s="502">
        <f t="shared" si="1"/>
        <v>2309.4978689206196</v>
      </c>
      <c r="M23" s="502">
        <f t="shared" si="1"/>
        <v>2454.4492740763221</v>
      </c>
    </row>
    <row r="24" spans="1:13" ht="15" customHeight="1">
      <c r="A24" s="497" t="s">
        <v>668</v>
      </c>
      <c r="B24" s="492" t="s">
        <v>663</v>
      </c>
      <c r="C24" s="503">
        <f t="shared" ref="C24:M24" si="2">C23/C11</f>
        <v>2.6466720000000001</v>
      </c>
      <c r="D24" s="503">
        <f t="shared" si="2"/>
        <v>4.5077934177215191</v>
      </c>
      <c r="E24" s="503">
        <f t="shared" si="2"/>
        <v>1.6046197757390419</v>
      </c>
      <c r="F24" s="503">
        <f t="shared" si="2"/>
        <v>1.7443417395779721</v>
      </c>
      <c r="G24" s="503">
        <f t="shared" si="2"/>
        <v>1.8149594172736734</v>
      </c>
      <c r="H24" s="537">
        <f t="shared" si="2"/>
        <v>1.8598215613382902</v>
      </c>
      <c r="I24" s="503">
        <f t="shared" si="2"/>
        <v>1.9531113293543132</v>
      </c>
      <c r="J24" s="503">
        <f t="shared" si="2"/>
        <v>2.1716312254246577</v>
      </c>
      <c r="K24" s="503">
        <f t="shared" si="2"/>
        <v>2.4013999021516321</v>
      </c>
      <c r="L24" s="503">
        <f t="shared" si="2"/>
        <v>2.5804445462800221</v>
      </c>
      <c r="M24" s="503">
        <f t="shared" si="2"/>
        <v>2.7671355964783788</v>
      </c>
    </row>
    <row r="25" spans="1:13" ht="15" customHeight="1">
      <c r="A25" s="455" t="s">
        <v>669</v>
      </c>
      <c r="C25" s="504">
        <f>830/C11</f>
        <v>0.83</v>
      </c>
      <c r="D25" s="504">
        <f>820/D11</f>
        <v>0.83037974683544302</v>
      </c>
      <c r="E25" s="504">
        <f>810/E11</f>
        <v>0.82568807339449546</v>
      </c>
      <c r="F25" s="504">
        <f>805/F11</f>
        <v>0.82861554297478124</v>
      </c>
      <c r="G25" s="504">
        <f>802/G11</f>
        <v>0.83454734651404783</v>
      </c>
      <c r="H25" s="538">
        <f>800/H11</f>
        <v>0.84970791290493897</v>
      </c>
      <c r="I25" s="504">
        <f>'[1]DCF - Base Model'!D12/I11</f>
        <v>0.86814975583288112</v>
      </c>
      <c r="J25" s="504">
        <f>'[1]DCF - Base Model'!E12/J11</f>
        <v>0.86904109589041101</v>
      </c>
      <c r="K25" s="504">
        <f>'[1]DCF - Base Model'!F12/K11</f>
        <v>0.86552296624239067</v>
      </c>
      <c r="L25" s="504">
        <f>'[1]DCF - Base Model'!G12/L11</f>
        <v>0.86256983240223462</v>
      </c>
      <c r="M25" s="504">
        <f>'[1]DCF - Base Model'!H12/M11</f>
        <v>0.85907553551296501</v>
      </c>
    </row>
    <row r="26" spans="1:13" ht="15" customHeight="1">
      <c r="A26" s="497" t="s">
        <v>670</v>
      </c>
      <c r="B26" s="492" t="s">
        <v>663</v>
      </c>
      <c r="C26" s="503">
        <f t="shared" ref="C26:M26" si="3">C24+C25</f>
        <v>3.4766720000000002</v>
      </c>
      <c r="D26" s="503">
        <f t="shared" si="3"/>
        <v>5.3381731645569621</v>
      </c>
      <c r="E26" s="503">
        <f t="shared" si="3"/>
        <v>2.4303078491335373</v>
      </c>
      <c r="F26" s="503">
        <f t="shared" si="3"/>
        <v>2.5729572825527534</v>
      </c>
      <c r="G26" s="503">
        <f t="shared" si="3"/>
        <v>2.6495067637877212</v>
      </c>
      <c r="H26" s="537">
        <f t="shared" si="3"/>
        <v>2.7095294742432294</v>
      </c>
      <c r="I26" s="503">
        <f t="shared" si="3"/>
        <v>2.8212610851871944</v>
      </c>
      <c r="J26" s="503">
        <f t="shared" si="3"/>
        <v>3.0406723213150686</v>
      </c>
      <c r="K26" s="503">
        <f t="shared" si="3"/>
        <v>3.2669228683940226</v>
      </c>
      <c r="L26" s="503">
        <f t="shared" si="3"/>
        <v>3.4430143786822569</v>
      </c>
      <c r="M26" s="503">
        <f t="shared" si="3"/>
        <v>3.6262111319913437</v>
      </c>
    </row>
    <row r="27" spans="1:13" ht="6" customHeight="1">
      <c r="H27" s="530"/>
    </row>
    <row r="28" spans="1:13" ht="15" customHeight="1">
      <c r="A28" s="526" t="s">
        <v>671</v>
      </c>
      <c r="B28" s="524"/>
      <c r="C28" s="524"/>
      <c r="D28" s="524"/>
      <c r="E28" s="524"/>
      <c r="F28" s="524"/>
      <c r="G28" s="524"/>
      <c r="H28" s="531"/>
      <c r="I28" s="524"/>
      <c r="J28" s="524"/>
      <c r="K28" s="524"/>
      <c r="L28" s="524"/>
      <c r="M28" s="525"/>
    </row>
    <row r="29" spans="1:13" ht="15" customHeight="1">
      <c r="A29" s="352"/>
      <c r="B29" s="352"/>
      <c r="C29" s="352" t="s">
        <v>649</v>
      </c>
      <c r="D29" s="352" t="s">
        <v>650</v>
      </c>
      <c r="E29" s="352" t="s">
        <v>651</v>
      </c>
      <c r="F29" s="352" t="s">
        <v>652</v>
      </c>
      <c r="G29" s="352" t="s">
        <v>653</v>
      </c>
      <c r="H29" s="527" t="s">
        <v>654</v>
      </c>
      <c r="I29" s="352" t="s">
        <v>655</v>
      </c>
      <c r="J29" s="352" t="s">
        <v>656</v>
      </c>
      <c r="K29" s="352" t="s">
        <v>657</v>
      </c>
      <c r="L29" s="352" t="s">
        <v>658</v>
      </c>
      <c r="M29" s="352" t="s">
        <v>659</v>
      </c>
    </row>
    <row r="30" spans="1:13" ht="15" customHeight="1">
      <c r="A30" s="455" t="s">
        <v>672</v>
      </c>
      <c r="C30" s="505">
        <v>688</v>
      </c>
      <c r="D30" s="505">
        <v>758</v>
      </c>
      <c r="E30" s="505">
        <v>745</v>
      </c>
      <c r="F30" s="505">
        <v>735</v>
      </c>
      <c r="G30" s="505">
        <v>716</v>
      </c>
      <c r="H30" s="539">
        <v>704</v>
      </c>
      <c r="I30" s="496">
        <f>'[1]DCF - Base Model'!D13</f>
        <v>750</v>
      </c>
      <c r="J30" s="496">
        <f>'[1]DCF - Base Model'!E13</f>
        <v>710</v>
      </c>
      <c r="K30" s="496">
        <f>'[1]DCF - Base Model'!F13</f>
        <v>700</v>
      </c>
      <c r="L30" s="496">
        <f>'[1]DCF - Base Model'!G13</f>
        <v>690</v>
      </c>
      <c r="M30" s="496">
        <f>'[1]DCF - Base Model'!H13</f>
        <v>680</v>
      </c>
    </row>
    <row r="31" spans="1:13" ht="15" customHeight="1">
      <c r="A31" s="470" t="s">
        <v>673</v>
      </c>
      <c r="C31" s="502">
        <f t="shared" ref="C31:M31" si="4">C30*0.65</f>
        <v>447.2</v>
      </c>
      <c r="D31" s="502">
        <f t="shared" si="4"/>
        <v>492.7</v>
      </c>
      <c r="E31" s="502">
        <f t="shared" si="4"/>
        <v>484.25</v>
      </c>
      <c r="F31" s="502">
        <f t="shared" si="4"/>
        <v>477.75</v>
      </c>
      <c r="G31" s="502">
        <f t="shared" si="4"/>
        <v>465.40000000000003</v>
      </c>
      <c r="H31" s="536">
        <f t="shared" si="4"/>
        <v>457.6</v>
      </c>
      <c r="I31" s="502">
        <f t="shared" si="4"/>
        <v>487.5</v>
      </c>
      <c r="J31" s="502">
        <f t="shared" si="4"/>
        <v>461.5</v>
      </c>
      <c r="K31" s="502">
        <f t="shared" si="4"/>
        <v>455</v>
      </c>
      <c r="L31" s="502">
        <f t="shared" si="4"/>
        <v>448.5</v>
      </c>
      <c r="M31" s="502">
        <f t="shared" si="4"/>
        <v>442</v>
      </c>
    </row>
    <row r="32" spans="1:13" ht="15" customHeight="1">
      <c r="A32" s="470" t="s">
        <v>674</v>
      </c>
      <c r="C32" s="502">
        <f t="shared" ref="C32:M32" si="5">C30*0.35</f>
        <v>240.79999999999998</v>
      </c>
      <c r="D32" s="502">
        <f t="shared" si="5"/>
        <v>265.3</v>
      </c>
      <c r="E32" s="502">
        <f t="shared" si="5"/>
        <v>260.75</v>
      </c>
      <c r="F32" s="502">
        <f t="shared" si="5"/>
        <v>257.25</v>
      </c>
      <c r="G32" s="502">
        <f t="shared" si="5"/>
        <v>250.6</v>
      </c>
      <c r="H32" s="536">
        <f t="shared" si="5"/>
        <v>246.39999999999998</v>
      </c>
      <c r="I32" s="502">
        <f t="shared" si="5"/>
        <v>262.5</v>
      </c>
      <c r="J32" s="502">
        <f t="shared" si="5"/>
        <v>248.49999999999997</v>
      </c>
      <c r="K32" s="502">
        <f t="shared" si="5"/>
        <v>244.99999999999997</v>
      </c>
      <c r="L32" s="502">
        <f t="shared" si="5"/>
        <v>241.49999999999997</v>
      </c>
      <c r="M32" s="502">
        <f t="shared" si="5"/>
        <v>237.99999999999997</v>
      </c>
    </row>
    <row r="33" spans="1:13" ht="15" customHeight="1">
      <c r="A33" s="494" t="s">
        <v>675</v>
      </c>
      <c r="B33" s="492" t="s">
        <v>663</v>
      </c>
      <c r="C33" s="503">
        <f t="shared" ref="C33:M33" si="6">C30/C11</f>
        <v>0.68799999999999994</v>
      </c>
      <c r="D33" s="503">
        <f t="shared" si="6"/>
        <v>0.76759493670886081</v>
      </c>
      <c r="E33" s="503">
        <f t="shared" si="6"/>
        <v>0.75942915392456678</v>
      </c>
      <c r="F33" s="503">
        <f t="shared" si="6"/>
        <v>0.75656201749871332</v>
      </c>
      <c r="G33" s="503">
        <f t="shared" si="6"/>
        <v>0.745057232049948</v>
      </c>
      <c r="H33" s="537">
        <f t="shared" si="6"/>
        <v>0.74774296335634627</v>
      </c>
      <c r="I33" s="503">
        <f t="shared" si="6"/>
        <v>0.81389039609332614</v>
      </c>
      <c r="J33" s="503">
        <f t="shared" si="6"/>
        <v>0.77808219178082194</v>
      </c>
      <c r="K33" s="503">
        <f t="shared" si="6"/>
        <v>0.77476480354178201</v>
      </c>
      <c r="L33" s="503">
        <f t="shared" si="6"/>
        <v>0.77094972067039103</v>
      </c>
      <c r="M33" s="503">
        <f t="shared" si="6"/>
        <v>0.76662908680947017</v>
      </c>
    </row>
    <row r="34" spans="1:13" ht="15" customHeight="1">
      <c r="A34" s="455" t="s">
        <v>676</v>
      </c>
      <c r="C34" s="506">
        <v>1.5</v>
      </c>
      <c r="D34" s="506">
        <v>1.5</v>
      </c>
      <c r="E34" s="506">
        <v>1.5</v>
      </c>
      <c r="F34" s="506">
        <v>1.5</v>
      </c>
      <c r="G34" s="506">
        <v>1.5</v>
      </c>
      <c r="H34" s="540">
        <v>1.5</v>
      </c>
      <c r="I34" s="506">
        <v>1.5</v>
      </c>
      <c r="J34" s="506">
        <v>1.5</v>
      </c>
      <c r="K34" s="506">
        <v>1.5</v>
      </c>
      <c r="L34" s="506">
        <v>1.5</v>
      </c>
      <c r="M34" s="506">
        <v>1.5</v>
      </c>
    </row>
    <row r="35" spans="1:13" ht="15" customHeight="1">
      <c r="A35" s="455" t="s">
        <v>677</v>
      </c>
      <c r="C35" s="507">
        <f t="shared" ref="C35:M35" si="7">C16*0.55</f>
        <v>23.811150000000001</v>
      </c>
      <c r="D35" s="507">
        <f t="shared" si="7"/>
        <v>26.639493670886079</v>
      </c>
      <c r="E35" s="507">
        <f t="shared" si="7"/>
        <v>23.992558613659536</v>
      </c>
      <c r="F35" s="507">
        <f t="shared" si="7"/>
        <v>22.700308800823471</v>
      </c>
      <c r="G35" s="507">
        <f t="shared" si="7"/>
        <v>21.884391259105101</v>
      </c>
      <c r="H35" s="541">
        <f t="shared" si="7"/>
        <v>22.361019649495486</v>
      </c>
      <c r="I35" s="507">
        <f t="shared" si="7"/>
        <v>23.148326521473653</v>
      </c>
      <c r="J35" s="507">
        <f t="shared" si="7"/>
        <v>23.804534013302934</v>
      </c>
      <c r="K35" s="507">
        <f t="shared" si="7"/>
        <v>24.589675256907171</v>
      </c>
      <c r="L35" s="507">
        <f t="shared" si="7"/>
        <v>25.389732623925205</v>
      </c>
      <c r="M35" s="507">
        <f t="shared" si="7"/>
        <v>26.204093270092816</v>
      </c>
    </row>
    <row r="36" spans="1:13" ht="15" customHeight="1">
      <c r="A36" s="470" t="s">
        <v>678</v>
      </c>
      <c r="C36" s="500">
        <v>0.08</v>
      </c>
      <c r="D36" s="500">
        <v>0.08</v>
      </c>
      <c r="E36" s="500">
        <v>0.08</v>
      </c>
      <c r="F36" s="500">
        <v>0.08</v>
      </c>
      <c r="G36" s="500">
        <v>0.08</v>
      </c>
      <c r="H36" s="535">
        <v>0.08</v>
      </c>
      <c r="I36" s="500">
        <v>0.08</v>
      </c>
      <c r="J36" s="500">
        <v>0.08</v>
      </c>
      <c r="K36" s="500">
        <v>0.08</v>
      </c>
      <c r="L36" s="500">
        <v>0.08</v>
      </c>
      <c r="M36" s="500">
        <v>0.08</v>
      </c>
    </row>
    <row r="37" spans="1:13" ht="15" customHeight="1">
      <c r="A37" s="455" t="s">
        <v>679</v>
      </c>
      <c r="C37" s="508">
        <f t="shared" ref="C37:M37" si="8">C35*C36</f>
        <v>1.9048920000000003</v>
      </c>
      <c r="D37" s="508">
        <f t="shared" si="8"/>
        <v>2.1311594936708862</v>
      </c>
      <c r="E37" s="508">
        <f t="shared" si="8"/>
        <v>1.919404689092763</v>
      </c>
      <c r="F37" s="508">
        <f t="shared" si="8"/>
        <v>1.8160247040658777</v>
      </c>
      <c r="G37" s="508">
        <f t="shared" si="8"/>
        <v>1.7507513007284081</v>
      </c>
      <c r="H37" s="542">
        <f t="shared" si="8"/>
        <v>1.7888815719596389</v>
      </c>
      <c r="I37" s="508">
        <f t="shared" si="8"/>
        <v>1.8518661217178922</v>
      </c>
      <c r="J37" s="508">
        <f t="shared" si="8"/>
        <v>1.9043627210642349</v>
      </c>
      <c r="K37" s="508">
        <f t="shared" si="8"/>
        <v>1.9671740205525736</v>
      </c>
      <c r="L37" s="508">
        <f t="shared" si="8"/>
        <v>2.0311786099140163</v>
      </c>
      <c r="M37" s="508">
        <f t="shared" si="8"/>
        <v>2.0963274616074252</v>
      </c>
    </row>
    <row r="38" spans="1:13" ht="15" customHeight="1">
      <c r="A38" s="497" t="s">
        <v>680</v>
      </c>
      <c r="C38" s="509">
        <f t="shared" ref="C38:M38" si="9">C34/C37</f>
        <v>0.78744621742334986</v>
      </c>
      <c r="D38" s="509">
        <f t="shared" si="9"/>
        <v>0.70384220629882344</v>
      </c>
      <c r="E38" s="509">
        <f t="shared" si="9"/>
        <v>0.78149230775767187</v>
      </c>
      <c r="F38" s="509">
        <f t="shared" si="9"/>
        <v>0.82597995315904382</v>
      </c>
      <c r="G38" s="509">
        <f t="shared" si="9"/>
        <v>0.85677503102577623</v>
      </c>
      <c r="H38" s="543">
        <f t="shared" si="9"/>
        <v>0.83851274646248253</v>
      </c>
      <c r="I38" s="509">
        <f t="shared" si="9"/>
        <v>0.80999375840868992</v>
      </c>
      <c r="J38" s="509">
        <f t="shared" si="9"/>
        <v>0.78766507210440417</v>
      </c>
      <c r="K38" s="509">
        <f t="shared" si="9"/>
        <v>0.76251515337654485</v>
      </c>
      <c r="L38" s="509">
        <f t="shared" si="9"/>
        <v>0.73848749326062357</v>
      </c>
      <c r="M38" s="509">
        <f t="shared" si="9"/>
        <v>0.7155370654019042</v>
      </c>
    </row>
    <row r="39" spans="1:13" ht="6" customHeight="1">
      <c r="H39" s="530"/>
    </row>
    <row r="40" spans="1:13" ht="15" customHeight="1">
      <c r="A40" s="559" t="s">
        <v>681</v>
      </c>
      <c r="B40" s="560"/>
      <c r="C40" s="560"/>
      <c r="D40" s="560"/>
      <c r="E40" s="560"/>
      <c r="F40" s="560"/>
      <c r="G40" s="560"/>
      <c r="H40" s="562"/>
      <c r="I40" s="560"/>
      <c r="J40" s="560"/>
      <c r="K40" s="560"/>
      <c r="L40" s="560"/>
      <c r="M40" s="561"/>
    </row>
    <row r="41" spans="1:13" ht="15" customHeight="1">
      <c r="A41" s="352"/>
      <c r="B41" s="352"/>
      <c r="C41" s="352" t="s">
        <v>649</v>
      </c>
      <c r="D41" s="352" t="s">
        <v>650</v>
      </c>
      <c r="E41" s="352" t="s">
        <v>651</v>
      </c>
      <c r="F41" s="352" t="s">
        <v>652</v>
      </c>
      <c r="G41" s="352" t="s">
        <v>653</v>
      </c>
      <c r="H41" s="527" t="s">
        <v>654</v>
      </c>
      <c r="I41" s="352" t="s">
        <v>655</v>
      </c>
      <c r="J41" s="352" t="s">
        <v>656</v>
      </c>
      <c r="K41" s="352" t="s">
        <v>657</v>
      </c>
      <c r="L41" s="352" t="s">
        <v>658</v>
      </c>
      <c r="M41" s="352" t="s">
        <v>659</v>
      </c>
    </row>
    <row r="42" spans="1:13" ht="15" customHeight="1">
      <c r="A42" s="455" t="s">
        <v>670</v>
      </c>
      <c r="C42" s="504">
        <f>C26</f>
        <v>3.4766720000000002</v>
      </c>
      <c r="D42" s="504">
        <f t="shared" ref="D42:M42" si="10">D26</f>
        <v>5.3381731645569621</v>
      </c>
      <c r="E42" s="504">
        <f t="shared" si="10"/>
        <v>2.4303078491335373</v>
      </c>
      <c r="F42" s="504">
        <f t="shared" si="10"/>
        <v>2.5729572825527534</v>
      </c>
      <c r="G42" s="504">
        <f t="shared" si="10"/>
        <v>2.6495067637877212</v>
      </c>
      <c r="H42" s="538">
        <f t="shared" si="10"/>
        <v>2.7095294742432294</v>
      </c>
      <c r="I42" s="504">
        <f t="shared" si="10"/>
        <v>2.8212610851871944</v>
      </c>
      <c r="J42" s="504">
        <f t="shared" si="10"/>
        <v>3.0406723213150686</v>
      </c>
      <c r="K42" s="504">
        <f t="shared" si="10"/>
        <v>3.2669228683940226</v>
      </c>
      <c r="L42" s="504">
        <f t="shared" si="10"/>
        <v>3.4430143786822569</v>
      </c>
      <c r="M42" s="504">
        <f t="shared" si="10"/>
        <v>3.6262111319913437</v>
      </c>
    </row>
    <row r="43" spans="1:13" ht="15" customHeight="1">
      <c r="A43" s="455" t="s">
        <v>682</v>
      </c>
      <c r="C43" s="504">
        <f t="shared" ref="C43:M43" si="11">C30*0.65/C11</f>
        <v>0.44719999999999999</v>
      </c>
      <c r="D43" s="504">
        <f t="shared" si="11"/>
        <v>0.49893670886075947</v>
      </c>
      <c r="E43" s="504">
        <f t="shared" si="11"/>
        <v>0.49362895005096841</v>
      </c>
      <c r="F43" s="504">
        <f t="shared" si="11"/>
        <v>0.49176531137416368</v>
      </c>
      <c r="G43" s="504">
        <f t="shared" si="11"/>
        <v>0.48428720083246624</v>
      </c>
      <c r="H43" s="538">
        <f t="shared" si="11"/>
        <v>0.48603292618162508</v>
      </c>
      <c r="I43" s="504">
        <f t="shared" si="11"/>
        <v>0.52902875746066191</v>
      </c>
      <c r="J43" s="504">
        <f t="shared" si="11"/>
        <v>0.50575342465753426</v>
      </c>
      <c r="K43" s="504">
        <f t="shared" si="11"/>
        <v>0.50359712230215825</v>
      </c>
      <c r="L43" s="504">
        <f t="shared" si="11"/>
        <v>0.50111731843575424</v>
      </c>
      <c r="M43" s="504">
        <f t="shared" si="11"/>
        <v>0.49830890642615561</v>
      </c>
    </row>
    <row r="44" spans="1:13" ht="15" customHeight="1">
      <c r="A44" s="455" t="s">
        <v>683</v>
      </c>
      <c r="C44" s="504">
        <f t="shared" ref="C44:M44" si="12">C24*0.24</f>
        <v>0.63520127999999998</v>
      </c>
      <c r="D44" s="504">
        <f t="shared" si="12"/>
        <v>1.0818704202531646</v>
      </c>
      <c r="E44" s="504">
        <f t="shared" si="12"/>
        <v>0.38510874617737006</v>
      </c>
      <c r="F44" s="504">
        <f t="shared" si="12"/>
        <v>0.41864201749871327</v>
      </c>
      <c r="G44" s="504">
        <f t="shared" si="12"/>
        <v>0.43559026014568158</v>
      </c>
      <c r="H44" s="538">
        <f t="shared" si="12"/>
        <v>0.44635717472118963</v>
      </c>
      <c r="I44" s="504">
        <f t="shared" si="12"/>
        <v>0.46874671904503518</v>
      </c>
      <c r="J44" s="504">
        <f t="shared" si="12"/>
        <v>0.52119149410191778</v>
      </c>
      <c r="K44" s="504">
        <f>K24*0.24</f>
        <v>0.57633597651639168</v>
      </c>
      <c r="L44" s="504">
        <f t="shared" si="12"/>
        <v>0.61930669110720526</v>
      </c>
      <c r="M44" s="504">
        <f t="shared" si="12"/>
        <v>0.66411254315481094</v>
      </c>
    </row>
    <row r="45" spans="1:13" ht="15" customHeight="1">
      <c r="A45" s="570" t="s">
        <v>684</v>
      </c>
      <c r="B45" s="564" t="s">
        <v>663</v>
      </c>
      <c r="C45" s="571">
        <f t="shared" ref="C45:M45" si="13">C26-C43-C44</f>
        <v>2.3942707200000002</v>
      </c>
      <c r="D45" s="571">
        <f t="shared" si="13"/>
        <v>3.7573660354430376</v>
      </c>
      <c r="E45" s="571">
        <f t="shared" si="13"/>
        <v>1.5515701529051988</v>
      </c>
      <c r="F45" s="571">
        <f t="shared" si="13"/>
        <v>1.6625499536798762</v>
      </c>
      <c r="G45" s="571">
        <f t="shared" si="13"/>
        <v>1.7296293028095733</v>
      </c>
      <c r="H45" s="572">
        <f t="shared" si="13"/>
        <v>1.7771393733404148</v>
      </c>
      <c r="I45" s="571">
        <f t="shared" si="13"/>
        <v>1.8234856086814972</v>
      </c>
      <c r="J45" s="571">
        <f t="shared" si="13"/>
        <v>2.0137274025556167</v>
      </c>
      <c r="K45" s="571">
        <f t="shared" si="13"/>
        <v>2.1869897695754728</v>
      </c>
      <c r="L45" s="571">
        <f t="shared" si="13"/>
        <v>2.3225903691392977</v>
      </c>
      <c r="M45" s="571">
        <f t="shared" si="13"/>
        <v>2.4637896824103773</v>
      </c>
    </row>
    <row r="46" spans="1:13" ht="15" customHeight="1">
      <c r="A46" s="570" t="s">
        <v>685</v>
      </c>
      <c r="B46" s="515"/>
      <c r="C46" s="573">
        <f t="shared" ref="C46:M46" si="14">C45/C34</f>
        <v>1.5961804800000001</v>
      </c>
      <c r="D46" s="573">
        <f t="shared" si="14"/>
        <v>2.5049106902953584</v>
      </c>
      <c r="E46" s="573">
        <f t="shared" si="14"/>
        <v>1.0343801019367993</v>
      </c>
      <c r="F46" s="573">
        <f t="shared" si="14"/>
        <v>1.1083666357865842</v>
      </c>
      <c r="G46" s="573">
        <f t="shared" si="14"/>
        <v>1.1530862018730488</v>
      </c>
      <c r="H46" s="574">
        <f t="shared" si="14"/>
        <v>1.1847595822269432</v>
      </c>
      <c r="I46" s="573">
        <f t="shared" si="14"/>
        <v>1.2156570724543314</v>
      </c>
      <c r="J46" s="573">
        <f t="shared" si="14"/>
        <v>1.3424849350370778</v>
      </c>
      <c r="K46" s="573">
        <f t="shared" si="14"/>
        <v>1.4579931797169818</v>
      </c>
      <c r="L46" s="573">
        <f t="shared" si="14"/>
        <v>1.5483935794261985</v>
      </c>
      <c r="M46" s="573">
        <f t="shared" si="14"/>
        <v>1.6425264549402516</v>
      </c>
    </row>
    <row r="47" spans="1:13" ht="6" customHeight="1"/>
    <row r="48" spans="1:13" ht="45.75" customHeight="1">
      <c r="A48" s="510" t="s">
        <v>686</v>
      </c>
    </row>
  </sheetData>
  <mergeCells count="1">
    <mergeCell ref="A1:M1"/>
  </mergeCells>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06EFE0-3CB0-DB4A-A37A-CEDF60C96F0F}">
  <sheetPr>
    <tabColor theme="9" tint="-0.249977111117893"/>
  </sheetPr>
  <dimension ref="A1:M44"/>
  <sheetViews>
    <sheetView tabSelected="1" topLeftCell="A19" zoomScale="120" zoomScaleNormal="120" workbookViewId="0">
      <selection activeCell="F35" sqref="F35"/>
    </sheetView>
  </sheetViews>
  <sheetFormatPr baseColWidth="10" defaultColWidth="8.6640625" defaultRowHeight="15"/>
  <cols>
    <col min="1" max="1" width="36" style="579" customWidth="1"/>
    <col min="2" max="5" width="13" style="579" hidden="1" customWidth="1"/>
    <col min="6" max="6" width="12.1640625" style="618" bestFit="1" customWidth="1"/>
    <col min="7" max="10" width="13" style="579" customWidth="1"/>
    <col min="11" max="11" width="11.83203125" style="579" bestFit="1" customWidth="1"/>
    <col min="12" max="12" width="31" style="575" customWidth="1"/>
    <col min="13" max="16384" width="8.6640625" style="579"/>
  </cols>
  <sheetData>
    <row r="1" spans="1:13" ht="19">
      <c r="A1" s="656" t="s">
        <v>687</v>
      </c>
      <c r="B1" s="656"/>
      <c r="C1" s="656"/>
      <c r="D1" s="656"/>
      <c r="E1" s="656"/>
      <c r="F1" s="656"/>
      <c r="G1" s="656"/>
      <c r="H1" s="656"/>
      <c r="I1" s="656"/>
      <c r="J1" s="656"/>
      <c r="K1" s="656"/>
      <c r="L1" s="656"/>
    </row>
    <row r="2" spans="1:13" s="604" customFormat="1" ht="21.75" customHeight="1">
      <c r="A2" s="601" t="s">
        <v>120</v>
      </c>
      <c r="B2" s="602" t="s">
        <v>650</v>
      </c>
      <c r="C2" s="602" t="s">
        <v>651</v>
      </c>
      <c r="D2" s="602" t="s">
        <v>652</v>
      </c>
      <c r="E2" s="602" t="s">
        <v>653</v>
      </c>
      <c r="F2" s="605" t="s">
        <v>654</v>
      </c>
      <c r="G2" s="602" t="s">
        <v>655</v>
      </c>
      <c r="H2" s="602" t="s">
        <v>656</v>
      </c>
      <c r="I2" s="602" t="s">
        <v>657</v>
      </c>
      <c r="J2" s="602" t="s">
        <v>658</v>
      </c>
      <c r="K2" s="602" t="s">
        <v>659</v>
      </c>
      <c r="L2" s="603" t="s">
        <v>688</v>
      </c>
    </row>
    <row r="3" spans="1:13" ht="15" customHeight="1">
      <c r="A3" s="580" t="s">
        <v>689</v>
      </c>
      <c r="B3" s="581"/>
      <c r="C3" s="581"/>
      <c r="D3" s="581"/>
      <c r="E3" s="581"/>
      <c r="F3" s="606"/>
      <c r="G3" s="581"/>
      <c r="H3" s="581"/>
      <c r="I3" s="581"/>
      <c r="J3" s="581"/>
      <c r="K3" s="581"/>
    </row>
    <row r="4" spans="1:13" ht="15" customHeight="1" thickBot="1">
      <c r="A4" s="582" t="s">
        <v>690</v>
      </c>
      <c r="B4" s="583">
        <f>'Historical Income Statement'!C16</f>
        <v>51761</v>
      </c>
      <c r="C4" s="583">
        <f>'Historical Income Statement'!D16</f>
        <v>46298</v>
      </c>
      <c r="D4" s="583">
        <f>'Historical Income Statement'!E16</f>
        <v>43452</v>
      </c>
      <c r="E4" s="583">
        <f>'Historical Income Statement'!F16</f>
        <v>41528</v>
      </c>
      <c r="F4" s="607">
        <f>'Historical Income Statement'!G16</f>
        <v>41691</v>
      </c>
      <c r="G4" s="583">
        <f>'Revenue Build - Top Down'!J52</f>
        <v>42231.098890069035</v>
      </c>
      <c r="H4" s="583">
        <f>'Revenue Build - Top Down'!K52</f>
        <v>42992.722926616225</v>
      </c>
      <c r="I4" s="583">
        <f>'Revenue Build - Top Down'!L52</f>
        <v>43962.94386102842</v>
      </c>
      <c r="J4" s="583">
        <f>'Revenue Build - Top Down'!M52</f>
        <v>44956.209414440105</v>
      </c>
      <c r="K4" s="583">
        <f>'Revenue Build - Top Down'!N52</f>
        <v>45973.049635803465</v>
      </c>
      <c r="L4" s="575" t="s">
        <v>691</v>
      </c>
    </row>
    <row r="5" spans="1:13" ht="15" customHeight="1">
      <c r="A5" s="580" t="s">
        <v>692</v>
      </c>
      <c r="B5" s="581"/>
      <c r="C5" s="581"/>
      <c r="D5" s="581"/>
      <c r="E5" s="581"/>
      <c r="F5" s="606"/>
      <c r="G5" s="581"/>
      <c r="H5" s="581"/>
      <c r="I5" s="581"/>
      <c r="J5" s="581"/>
      <c r="K5" s="581"/>
      <c r="L5" s="577" t="s">
        <v>693</v>
      </c>
    </row>
    <row r="6" spans="1:13" ht="15" customHeight="1">
      <c r="A6" s="599" t="s">
        <v>694</v>
      </c>
      <c r="B6" s="584">
        <f>'Historical Income Statement'!B19/'Historical Income Statement'!B16</f>
        <v>0.22419702932588548</v>
      </c>
      <c r="C6" s="584">
        <f>'Historical Income Statement'!C19/'Historical Income Statement'!C16</f>
        <v>0.22476381831881145</v>
      </c>
      <c r="D6" s="584">
        <f>'Historical Income Statement'!D19/'Historical Income Statement'!D16</f>
        <v>0.21409132143937104</v>
      </c>
      <c r="E6" s="584">
        <f>'Historical Income Statement'!E19/'Historical Income Statement'!E16</f>
        <v>0.22100248550124274</v>
      </c>
      <c r="F6" s="608">
        <f>'Historical Income Statement'!F19/'Historical Income Statement'!F16</f>
        <v>0.22599210171450587</v>
      </c>
      <c r="G6" s="585">
        <v>0.23</v>
      </c>
      <c r="H6" s="585">
        <v>0.23300000000000001</v>
      </c>
      <c r="I6" s="585">
        <v>0.23400000000000001</v>
      </c>
      <c r="J6" s="585">
        <v>0.23499999999999999</v>
      </c>
      <c r="K6" s="585">
        <v>0.23599999999999999</v>
      </c>
      <c r="L6" s="576" t="s">
        <v>695</v>
      </c>
      <c r="M6" s="600" t="s">
        <v>696</v>
      </c>
    </row>
    <row r="7" spans="1:13" ht="15" customHeight="1">
      <c r="A7" s="586" t="s">
        <v>697</v>
      </c>
      <c r="B7" s="587">
        <f t="shared" ref="B7:K7" si="0">(B4)*(1-B6)</f>
        <v>40156.337565062844</v>
      </c>
      <c r="C7" s="587">
        <f t="shared" si="0"/>
        <v>35891.884739475667</v>
      </c>
      <c r="D7" s="587">
        <f t="shared" si="0"/>
        <v>34149.303900816449</v>
      </c>
      <c r="E7" s="587">
        <f t="shared" si="0"/>
        <v>32350.208782104393</v>
      </c>
      <c r="F7" s="609">
        <f t="shared" si="0"/>
        <v>32269.163287420535</v>
      </c>
      <c r="G7" s="588">
        <f t="shared" si="0"/>
        <v>32517.946145353158</v>
      </c>
      <c r="H7" s="588">
        <f t="shared" si="0"/>
        <v>32975.418484714646</v>
      </c>
      <c r="I7" s="588">
        <f t="shared" si="0"/>
        <v>33675.614997547767</v>
      </c>
      <c r="J7" s="588">
        <f t="shared" si="0"/>
        <v>34391.500202046678</v>
      </c>
      <c r="K7" s="588">
        <f t="shared" si="0"/>
        <v>35123.409921753846</v>
      </c>
      <c r="L7" s="575" t="s">
        <v>698</v>
      </c>
    </row>
    <row r="8" spans="1:13" ht="15" customHeight="1" thickBot="1">
      <c r="A8" s="582" t="s">
        <v>699</v>
      </c>
      <c r="B8" s="589">
        <f t="shared" ref="B8:K8" si="1">B4-B7</f>
        <v>11604.662434937156</v>
      </c>
      <c r="C8" s="589">
        <f t="shared" si="1"/>
        <v>10406.115260524333</v>
      </c>
      <c r="D8" s="589">
        <f t="shared" si="1"/>
        <v>9302.6960991835513</v>
      </c>
      <c r="E8" s="589">
        <f t="shared" si="1"/>
        <v>9177.7912178956067</v>
      </c>
      <c r="F8" s="610">
        <f t="shared" si="1"/>
        <v>9421.8367125794648</v>
      </c>
      <c r="G8" s="590">
        <f t="shared" si="1"/>
        <v>9713.1527447158769</v>
      </c>
      <c r="H8" s="590">
        <f t="shared" si="1"/>
        <v>10017.304441901579</v>
      </c>
      <c r="I8" s="590">
        <f t="shared" si="1"/>
        <v>10287.328863480652</v>
      </c>
      <c r="J8" s="590">
        <f t="shared" si="1"/>
        <v>10564.709212393427</v>
      </c>
      <c r="K8" s="590">
        <f t="shared" si="1"/>
        <v>10849.639714049619</v>
      </c>
    </row>
    <row r="9" spans="1:13" ht="15" customHeight="1">
      <c r="A9" s="599" t="s">
        <v>700</v>
      </c>
      <c r="B9" s="591">
        <f t="shared" ref="B9:K9" si="2">B8/B4</f>
        <v>0.22419702932588542</v>
      </c>
      <c r="C9" s="591">
        <f t="shared" si="2"/>
        <v>0.22476381831881145</v>
      </c>
      <c r="D9" s="591">
        <f t="shared" si="2"/>
        <v>0.21409132143937107</v>
      </c>
      <c r="E9" s="591">
        <f t="shared" si="2"/>
        <v>0.22100248550124268</v>
      </c>
      <c r="F9" s="611">
        <f t="shared" si="2"/>
        <v>0.22599210171450587</v>
      </c>
      <c r="G9" s="591">
        <f t="shared" si="2"/>
        <v>0.22999999999999998</v>
      </c>
      <c r="H9" s="591">
        <f t="shared" si="2"/>
        <v>0.23299999999999996</v>
      </c>
      <c r="I9" s="591">
        <f t="shared" si="2"/>
        <v>0.23400000000000004</v>
      </c>
      <c r="J9" s="591">
        <f t="shared" si="2"/>
        <v>0.23500000000000004</v>
      </c>
      <c r="K9" s="591">
        <f t="shared" si="2"/>
        <v>0.23600000000000004</v>
      </c>
    </row>
    <row r="10" spans="1:13" ht="15" customHeight="1">
      <c r="A10" s="580" t="s">
        <v>701</v>
      </c>
      <c r="B10" s="581"/>
      <c r="C10" s="581"/>
      <c r="D10" s="581"/>
      <c r="E10" s="581"/>
      <c r="F10" s="606"/>
      <c r="G10" s="581"/>
      <c r="H10" s="581"/>
      <c r="I10" s="581"/>
      <c r="J10" s="581"/>
      <c r="K10" s="581"/>
    </row>
    <row r="11" spans="1:13" ht="15" customHeight="1">
      <c r="A11" s="599" t="s">
        <v>702</v>
      </c>
      <c r="B11" s="584">
        <f>'Historical Income Statement'!B21/'Historical Income Statement'!B16</f>
        <v>0.16605306588802843</v>
      </c>
      <c r="C11" s="584">
        <f>'Historical Income Statement'!C21/'Historical Income Statement'!C16</f>
        <v>0.16502772357566509</v>
      </c>
      <c r="D11" s="584">
        <f>'Historical Income Statement'!D21/'Historical Income Statement'!D16</f>
        <v>0.17028813339669099</v>
      </c>
      <c r="E11" s="584">
        <f>'Historical Income Statement'!E21/'Historical Income Statement'!E16</f>
        <v>0.17980760379269078</v>
      </c>
      <c r="F11" s="608">
        <f>'Historical Income Statement'!F21/'Historical Income Statement'!F16</f>
        <v>0.18368329801579658</v>
      </c>
      <c r="G11" s="585">
        <f>G9-('DCF - Base Model'!C8/'DCF - Base Model'!C6)</f>
        <v>0.18769119630129066</v>
      </c>
      <c r="H11" s="585">
        <f>G11</f>
        <v>0.18769119630129066</v>
      </c>
      <c r="I11" s="585">
        <f t="shared" ref="I11:K11" si="3">H11</f>
        <v>0.18769119630129066</v>
      </c>
      <c r="J11" s="585">
        <f t="shared" si="3"/>
        <v>0.18769119630129066</v>
      </c>
      <c r="K11" s="585">
        <f t="shared" si="3"/>
        <v>0.18769119630129066</v>
      </c>
      <c r="L11" s="576" t="s">
        <v>703</v>
      </c>
      <c r="M11" s="579" t="s">
        <v>704</v>
      </c>
    </row>
    <row r="12" spans="1:13" ht="15" customHeight="1">
      <c r="A12" s="599" t="s">
        <v>705</v>
      </c>
      <c r="B12" s="584"/>
      <c r="C12" s="584">
        <f>(C11-B11)/B11</f>
        <v>-6.1747869988425423E-3</v>
      </c>
      <c r="D12" s="584">
        <f t="shared" ref="D12:F12" si="4">(D11-C11)/C11</f>
        <v>3.1875915797953874E-2</v>
      </c>
      <c r="E12" s="584">
        <f t="shared" si="4"/>
        <v>5.5902136021562444E-2</v>
      </c>
      <c r="F12" s="608">
        <f t="shared" si="4"/>
        <v>2.1554673669831444E-2</v>
      </c>
      <c r="G12" s="585">
        <f>(G11-F11)/F11</f>
        <v>2.1819611955951529E-2</v>
      </c>
      <c r="H12" s="585">
        <f t="shared" ref="H12" si="5">(H11-G11)/G11</f>
        <v>0</v>
      </c>
      <c r="I12" s="585">
        <f t="shared" ref="I12" si="6">(I11-H11)/H11</f>
        <v>0</v>
      </c>
      <c r="J12" s="585">
        <f t="shared" ref="J12" si="7">(J11-I11)/I11</f>
        <v>0</v>
      </c>
      <c r="K12" s="585">
        <f t="shared" ref="K12" si="8">(K11-J11)/J11</f>
        <v>0</v>
      </c>
      <c r="L12" s="619"/>
    </row>
    <row r="13" spans="1:13" ht="15" customHeight="1">
      <c r="A13" s="586" t="s">
        <v>706</v>
      </c>
      <c r="B13" s="587">
        <f t="shared" ref="B13:K13" si="9">B4*B11</f>
        <v>8595.0727434302389</v>
      </c>
      <c r="C13" s="587">
        <f t="shared" si="9"/>
        <v>7640.4535461061423</v>
      </c>
      <c r="D13" s="587">
        <f t="shared" si="9"/>
        <v>7399.3599723530169</v>
      </c>
      <c r="E13" s="587">
        <f t="shared" si="9"/>
        <v>7467.0501703028631</v>
      </c>
      <c r="F13" s="609">
        <f t="shared" si="9"/>
        <v>7657.940377576575</v>
      </c>
      <c r="G13" s="588">
        <f t="shared" si="9"/>
        <v>7926.4054717951658</v>
      </c>
      <c r="H13" s="588">
        <f t="shared" si="9"/>
        <v>8069.3555983465258</v>
      </c>
      <c r="I13" s="588">
        <f t="shared" si="9"/>
        <v>8251.4575262029066</v>
      </c>
      <c r="J13" s="588">
        <f t="shared" si="9"/>
        <v>8437.8847261676092</v>
      </c>
      <c r="K13" s="588">
        <f t="shared" si="9"/>
        <v>8628.7366837625668</v>
      </c>
    </row>
    <row r="14" spans="1:13" ht="15" customHeight="1">
      <c r="A14" s="580" t="s">
        <v>707</v>
      </c>
      <c r="B14" s="581"/>
      <c r="C14" s="581"/>
      <c r="D14" s="581"/>
      <c r="E14" s="581"/>
      <c r="F14" s="606"/>
      <c r="G14" s="581"/>
      <c r="H14" s="581"/>
      <c r="I14" s="581"/>
      <c r="J14" s="581"/>
      <c r="K14" s="581"/>
    </row>
    <row r="15" spans="1:13" ht="15" customHeight="1" thickBot="1">
      <c r="A15" s="582" t="s">
        <v>529</v>
      </c>
      <c r="B15" s="590">
        <f t="shared" ref="B15:K15" si="10">B8-B13</f>
        <v>3009.589691506917</v>
      </c>
      <c r="C15" s="590">
        <f t="shared" si="10"/>
        <v>2765.661714418191</v>
      </c>
      <c r="D15" s="590">
        <f t="shared" si="10"/>
        <v>1903.3361268305343</v>
      </c>
      <c r="E15" s="590">
        <f t="shared" si="10"/>
        <v>1710.7410475927436</v>
      </c>
      <c r="F15" s="612">
        <f t="shared" si="10"/>
        <v>1763.8963350028898</v>
      </c>
      <c r="G15" s="590">
        <f t="shared" si="10"/>
        <v>1786.7472729207111</v>
      </c>
      <c r="H15" s="590">
        <f t="shared" si="10"/>
        <v>1947.9488435550529</v>
      </c>
      <c r="I15" s="590">
        <f t="shared" si="10"/>
        <v>2035.8713372777456</v>
      </c>
      <c r="J15" s="590">
        <f t="shared" si="10"/>
        <v>2126.824486225818</v>
      </c>
      <c r="K15" s="590">
        <f t="shared" si="10"/>
        <v>2220.9030302870524</v>
      </c>
    </row>
    <row r="16" spans="1:13" ht="15" customHeight="1">
      <c r="A16" s="599" t="s">
        <v>708</v>
      </c>
      <c r="B16" s="591">
        <f t="shared" ref="B16:K16" si="11">B15/B4</f>
        <v>5.8143963437857014E-2</v>
      </c>
      <c r="C16" s="591">
        <f t="shared" si="11"/>
        <v>5.9736094743146374E-2</v>
      </c>
      <c r="D16" s="591">
        <f t="shared" si="11"/>
        <v>4.3803188042680068E-2</v>
      </c>
      <c r="E16" s="591">
        <f t="shared" si="11"/>
        <v>4.1194881708551907E-2</v>
      </c>
      <c r="F16" s="611">
        <f t="shared" si="11"/>
        <v>4.2308803698709312E-2</v>
      </c>
      <c r="G16" s="591">
        <f t="shared" si="11"/>
        <v>4.2308803698709305E-2</v>
      </c>
      <c r="H16" s="591">
        <f t="shared" si="11"/>
        <v>4.5308803698709293E-2</v>
      </c>
      <c r="I16" s="591">
        <f t="shared" si="11"/>
        <v>4.6308803698709378E-2</v>
      </c>
      <c r="J16" s="591">
        <f t="shared" si="11"/>
        <v>4.7308803698709392E-2</v>
      </c>
      <c r="K16" s="591">
        <f t="shared" si="11"/>
        <v>4.8308803698709379E-2</v>
      </c>
      <c r="L16" s="577" t="s">
        <v>709</v>
      </c>
    </row>
    <row r="17" spans="1:13" ht="15" customHeight="1">
      <c r="A17" s="580" t="s">
        <v>710</v>
      </c>
      <c r="B17" s="581"/>
      <c r="C17" s="581"/>
      <c r="D17" s="581"/>
      <c r="E17" s="581"/>
      <c r="F17" s="606"/>
      <c r="G17" s="581"/>
      <c r="H17" s="581"/>
      <c r="I17" s="581"/>
      <c r="J17" s="581"/>
      <c r="K17" s="581"/>
    </row>
    <row r="18" spans="1:13" ht="15" customHeight="1">
      <c r="A18" s="586" t="s">
        <v>711</v>
      </c>
      <c r="B18" s="587">
        <v>867</v>
      </c>
      <c r="C18" s="587">
        <v>831</v>
      </c>
      <c r="D18" s="587">
        <v>856</v>
      </c>
      <c r="E18" s="587">
        <v>821</v>
      </c>
      <c r="F18" s="609">
        <v>831</v>
      </c>
      <c r="G18" s="592">
        <f>'DCF - Base Model'!D11</f>
        <v>800</v>
      </c>
      <c r="H18" s="592">
        <f>'DCF - Base Model'!E11</f>
        <v>793</v>
      </c>
      <c r="I18" s="592">
        <f>'DCF - Base Model'!F11</f>
        <v>782</v>
      </c>
      <c r="J18" s="592">
        <f>'DCF - Base Model'!G11</f>
        <v>772</v>
      </c>
      <c r="K18" s="592">
        <f>'DCF - Base Model'!H11</f>
        <v>762</v>
      </c>
    </row>
    <row r="19" spans="1:13" ht="15" customHeight="1" thickBot="1">
      <c r="A19" s="582" t="s">
        <v>391</v>
      </c>
      <c r="B19" s="589">
        <f t="shared" ref="B19:F19" si="12">B15+B18</f>
        <v>3876.589691506917</v>
      </c>
      <c r="C19" s="589">
        <f t="shared" si="12"/>
        <v>3596.661714418191</v>
      </c>
      <c r="D19" s="589">
        <f t="shared" si="12"/>
        <v>2759.3361268305343</v>
      </c>
      <c r="E19" s="589">
        <f t="shared" si="12"/>
        <v>2531.7410475927436</v>
      </c>
      <c r="F19" s="610">
        <f t="shared" si="12"/>
        <v>2594.8963350028898</v>
      </c>
      <c r="G19" s="590">
        <f>G15+G18</f>
        <v>2586.7472729207111</v>
      </c>
      <c r="H19" s="590">
        <f>H15+H18</f>
        <v>2740.9488435550529</v>
      </c>
      <c r="I19" s="590">
        <f>I15+I18</f>
        <v>2817.8713372777456</v>
      </c>
      <c r="J19" s="590">
        <f>J15+J18</f>
        <v>2898.824486225818</v>
      </c>
      <c r="K19" s="590">
        <f>K15+K18</f>
        <v>2982.9030302870524</v>
      </c>
    </row>
    <row r="20" spans="1:13" ht="15" customHeight="1">
      <c r="A20" s="599" t="s">
        <v>712</v>
      </c>
      <c r="B20" s="591">
        <f t="shared" ref="B20:K20" si="13">B19/B4</f>
        <v>7.489402622644302E-2</v>
      </c>
      <c r="C20" s="591">
        <f t="shared" si="13"/>
        <v>7.7685034222173543E-2</v>
      </c>
      <c r="D20" s="591">
        <f t="shared" si="13"/>
        <v>6.3503086781518323E-2</v>
      </c>
      <c r="E20" s="591">
        <f t="shared" si="13"/>
        <v>6.0964675582564624E-2</v>
      </c>
      <c r="F20" s="611">
        <f t="shared" si="13"/>
        <v>6.2241163200760112E-2</v>
      </c>
      <c r="G20" s="591">
        <f t="shared" si="13"/>
        <v>6.1252189521618261E-2</v>
      </c>
      <c r="H20" s="591">
        <f t="shared" si="13"/>
        <v>6.3753785686790451E-2</v>
      </c>
      <c r="I20" s="591">
        <f t="shared" si="13"/>
        <v>6.4096511511725407E-2</v>
      </c>
      <c r="J20" s="591">
        <f t="shared" si="13"/>
        <v>6.4481070000859647E-2</v>
      </c>
      <c r="K20" s="591">
        <f t="shared" si="13"/>
        <v>6.4883731967260883E-2</v>
      </c>
    </row>
    <row r="21" spans="1:13" ht="15" customHeight="1">
      <c r="A21" s="580" t="s">
        <v>713</v>
      </c>
      <c r="B21" s="581"/>
      <c r="C21" s="581"/>
      <c r="D21" s="581"/>
      <c r="E21" s="581"/>
      <c r="F21" s="606"/>
      <c r="G21" s="581"/>
      <c r="H21" s="581"/>
      <c r="I21" s="581"/>
      <c r="J21" s="581"/>
      <c r="K21" s="581"/>
    </row>
    <row r="22" spans="1:13" ht="15" customHeight="1">
      <c r="A22" s="586" t="s">
        <v>714</v>
      </c>
      <c r="B22" s="587">
        <v>-52</v>
      </c>
      <c r="C22" s="587">
        <v>-35</v>
      </c>
      <c r="D22" s="587">
        <v>-52</v>
      </c>
      <c r="E22" s="587">
        <v>-51</v>
      </c>
      <c r="F22" s="609">
        <v>-47</v>
      </c>
      <c r="G22" s="587">
        <f>-WACC!C13*WACC!C8</f>
        <v>-35.726460000000003</v>
      </c>
      <c r="H22" s="587">
        <f>G22</f>
        <v>-35.726460000000003</v>
      </c>
      <c r="I22" s="587">
        <f t="shared" ref="I22:K22" si="14">H22</f>
        <v>-35.726460000000003</v>
      </c>
      <c r="J22" s="587">
        <f t="shared" si="14"/>
        <v>-35.726460000000003</v>
      </c>
      <c r="K22" s="587">
        <f t="shared" si="14"/>
        <v>-35.726460000000003</v>
      </c>
      <c r="L22" s="577" t="s">
        <v>715</v>
      </c>
      <c r="M22" s="600" t="s">
        <v>716</v>
      </c>
    </row>
    <row r="23" spans="1:13" ht="15" customHeight="1">
      <c r="A23" s="586" t="s">
        <v>717</v>
      </c>
      <c r="B23" s="587">
        <v>10</v>
      </c>
      <c r="C23" s="587">
        <v>28</v>
      </c>
      <c r="D23" s="587">
        <v>78</v>
      </c>
      <c r="E23" s="587">
        <v>84</v>
      </c>
      <c r="F23" s="609">
        <v>68</v>
      </c>
      <c r="G23" s="587">
        <v>50</v>
      </c>
      <c r="H23" s="587">
        <v>45</v>
      </c>
      <c r="I23" s="587">
        <v>42</v>
      </c>
      <c r="J23" s="587">
        <v>40</v>
      </c>
      <c r="K23" s="587">
        <v>38</v>
      </c>
      <c r="L23" s="577" t="s">
        <v>718</v>
      </c>
    </row>
    <row r="24" spans="1:13" ht="15" customHeight="1">
      <c r="A24" s="599" t="s">
        <v>719</v>
      </c>
      <c r="B24" s="587">
        <f t="shared" ref="B24:J24" si="15">B22+B23</f>
        <v>-42</v>
      </c>
      <c r="C24" s="587">
        <f t="shared" si="15"/>
        <v>-7</v>
      </c>
      <c r="D24" s="587">
        <f t="shared" si="15"/>
        <v>26</v>
      </c>
      <c r="E24" s="587">
        <f t="shared" si="15"/>
        <v>33</v>
      </c>
      <c r="F24" s="609">
        <f t="shared" si="15"/>
        <v>21</v>
      </c>
      <c r="G24" s="587">
        <f>G22+G23</f>
        <v>14.273539999999997</v>
      </c>
      <c r="H24" s="587">
        <f t="shared" si="15"/>
        <v>9.273539999999997</v>
      </c>
      <c r="I24" s="587">
        <f t="shared" si="15"/>
        <v>6.273539999999997</v>
      </c>
      <c r="J24" s="587">
        <f t="shared" si="15"/>
        <v>4.273539999999997</v>
      </c>
      <c r="K24" s="587">
        <f>K22+K23</f>
        <v>2.273539999999997</v>
      </c>
    </row>
    <row r="25" spans="1:13" ht="15" customHeight="1">
      <c r="A25" s="586" t="s">
        <v>720</v>
      </c>
      <c r="B25" s="587">
        <v>0</v>
      </c>
      <c r="C25" s="587">
        <v>0</v>
      </c>
      <c r="D25" s="587">
        <v>0</v>
      </c>
      <c r="E25" s="587">
        <f>'Historical Income Statement'!F39+'Historical Income Statement'!F41+'Historical Income Statement'!F43</f>
        <v>-474</v>
      </c>
      <c r="F25" s="609">
        <f>'Historical Income Statement'!G39+'Historical Income Statement'!G41+'Historical Income Statement'!G43+'Historical Income Statement'!G42</f>
        <v>-388</v>
      </c>
      <c r="G25" s="587">
        <v>0</v>
      </c>
      <c r="H25" s="587">
        <v>0</v>
      </c>
      <c r="I25" s="587">
        <v>0</v>
      </c>
      <c r="J25" s="587">
        <v>0</v>
      </c>
      <c r="K25" s="587">
        <v>0</v>
      </c>
      <c r="L25" s="577" t="s">
        <v>721</v>
      </c>
      <c r="M25" s="600" t="s">
        <v>722</v>
      </c>
    </row>
    <row r="26" spans="1:13" ht="15" customHeight="1">
      <c r="A26" s="580" t="s">
        <v>723</v>
      </c>
      <c r="B26" s="593"/>
      <c r="C26" s="593"/>
      <c r="D26" s="593"/>
      <c r="E26" s="593"/>
      <c r="F26" s="613"/>
      <c r="G26" s="593"/>
      <c r="H26" s="593"/>
      <c r="I26" s="593"/>
      <c r="J26" s="593"/>
      <c r="K26" s="593"/>
    </row>
    <row r="27" spans="1:13" ht="15" customHeight="1" thickBot="1">
      <c r="A27" s="582" t="s">
        <v>724</v>
      </c>
      <c r="B27" s="589">
        <f t="shared" ref="B27:K27" si="16">B15+B24+B25</f>
        <v>2967.589691506917</v>
      </c>
      <c r="C27" s="589">
        <f t="shared" si="16"/>
        <v>2758.661714418191</v>
      </c>
      <c r="D27" s="589">
        <f t="shared" si="16"/>
        <v>1929.3361268305343</v>
      </c>
      <c r="E27" s="589">
        <f t="shared" si="16"/>
        <v>1269.7410475927436</v>
      </c>
      <c r="F27" s="610">
        <f t="shared" si="16"/>
        <v>1396.8963350028898</v>
      </c>
      <c r="G27" s="589">
        <f>G15+G24+G25</f>
        <v>1801.020812920711</v>
      </c>
      <c r="H27" s="589">
        <f t="shared" si="16"/>
        <v>1957.2223835550528</v>
      </c>
      <c r="I27" s="589">
        <f t="shared" si="16"/>
        <v>2042.1448772777455</v>
      </c>
      <c r="J27" s="589">
        <f t="shared" si="16"/>
        <v>2131.0980262258181</v>
      </c>
      <c r="K27" s="589">
        <f t="shared" si="16"/>
        <v>2223.1765702870525</v>
      </c>
    </row>
    <row r="28" spans="1:13" ht="15" customHeight="1">
      <c r="A28" s="599" t="s">
        <v>725</v>
      </c>
      <c r="B28" s="584">
        <f>Assumptions!$B$33</f>
        <v>0.24</v>
      </c>
      <c r="C28" s="584">
        <f>Assumptions!$B$33</f>
        <v>0.24</v>
      </c>
      <c r="D28" s="584">
        <f>Assumptions!$B$33</f>
        <v>0.24</v>
      </c>
      <c r="E28" s="584">
        <f>Assumptions!$B$33</f>
        <v>0.24</v>
      </c>
      <c r="F28" s="608">
        <f>Assumptions!$B$33</f>
        <v>0.24</v>
      </c>
      <c r="G28" s="584">
        <f>Assumptions!$B$33</f>
        <v>0.24</v>
      </c>
      <c r="H28" s="584">
        <f>Assumptions!$B$33</f>
        <v>0.24</v>
      </c>
      <c r="I28" s="584">
        <f>Assumptions!$B$33</f>
        <v>0.24</v>
      </c>
      <c r="J28" s="584">
        <f>Assumptions!$B$33</f>
        <v>0.24</v>
      </c>
      <c r="K28" s="584">
        <f>Assumptions!$B$33</f>
        <v>0.24</v>
      </c>
      <c r="L28" s="577" t="s">
        <v>726</v>
      </c>
    </row>
    <row r="29" spans="1:13" ht="15" customHeight="1">
      <c r="A29" s="586" t="s">
        <v>727</v>
      </c>
      <c r="B29" s="587">
        <f t="shared" ref="B29:K29" si="17">B27*B28</f>
        <v>712.22152596166006</v>
      </c>
      <c r="C29" s="587">
        <f t="shared" si="17"/>
        <v>662.07881146036584</v>
      </c>
      <c r="D29" s="587">
        <f t="shared" si="17"/>
        <v>463.04067043932821</v>
      </c>
      <c r="E29" s="587">
        <f t="shared" si="17"/>
        <v>304.73785142225847</v>
      </c>
      <c r="F29" s="609">
        <f>F27*F28</f>
        <v>335.25512040069356</v>
      </c>
      <c r="G29" s="587">
        <f>G27*G28</f>
        <v>432.24499510097064</v>
      </c>
      <c r="H29" s="587">
        <f t="shared" si="17"/>
        <v>469.73337205321263</v>
      </c>
      <c r="I29" s="587">
        <f t="shared" si="17"/>
        <v>490.11477054665892</v>
      </c>
      <c r="J29" s="587">
        <f t="shared" si="17"/>
        <v>511.4635262941963</v>
      </c>
      <c r="K29" s="587">
        <f t="shared" si="17"/>
        <v>533.56237686889256</v>
      </c>
    </row>
    <row r="30" spans="1:13" ht="15" customHeight="1">
      <c r="A30" s="580" t="s">
        <v>728</v>
      </c>
      <c r="B30" s="593"/>
      <c r="C30" s="593"/>
      <c r="D30" s="593"/>
      <c r="E30" s="593"/>
      <c r="F30" s="613"/>
      <c r="G30" s="593"/>
      <c r="H30" s="593"/>
      <c r="I30" s="593"/>
      <c r="J30" s="593"/>
      <c r="K30" s="593"/>
      <c r="L30" s="578"/>
    </row>
    <row r="31" spans="1:13" ht="15" customHeight="1" thickBot="1">
      <c r="A31" s="582" t="s">
        <v>729</v>
      </c>
      <c r="B31" s="589">
        <f t="shared" ref="B31:K31" si="18">B27-B29</f>
        <v>2255.3681655452569</v>
      </c>
      <c r="C31" s="589">
        <f t="shared" si="18"/>
        <v>2096.5829029578254</v>
      </c>
      <c r="D31" s="589">
        <f t="shared" si="18"/>
        <v>1466.2954563912062</v>
      </c>
      <c r="E31" s="589">
        <f t="shared" si="18"/>
        <v>965.00319617048513</v>
      </c>
      <c r="F31" s="610">
        <f>F27-F29</f>
        <v>1061.6412146021962</v>
      </c>
      <c r="G31" s="589">
        <f>G27-G29</f>
        <v>1368.7758178197405</v>
      </c>
      <c r="H31" s="589">
        <f>H27-H29</f>
        <v>1487.4890115018402</v>
      </c>
      <c r="I31" s="589">
        <f>I27-I29</f>
        <v>1552.0301067310866</v>
      </c>
      <c r="J31" s="589">
        <f t="shared" si="18"/>
        <v>1619.6344999316218</v>
      </c>
      <c r="K31" s="589">
        <f t="shared" si="18"/>
        <v>1689.6141934181601</v>
      </c>
    </row>
    <row r="32" spans="1:13" ht="15" customHeight="1">
      <c r="A32" s="599" t="s">
        <v>730</v>
      </c>
      <c r="B32" s="594">
        <f t="shared" ref="B32:K32" si="19">B31/B4</f>
        <v>4.3572731700416471E-2</v>
      </c>
      <c r="C32" s="594">
        <f t="shared" si="19"/>
        <v>4.5284524233397239E-2</v>
      </c>
      <c r="D32" s="594">
        <f t="shared" si="19"/>
        <v>3.3745177584258636E-2</v>
      </c>
      <c r="E32" s="594">
        <f t="shared" si="19"/>
        <v>2.3237410811271553E-2</v>
      </c>
      <c r="F32" s="614">
        <f t="shared" si="19"/>
        <v>2.5464517872015452E-2</v>
      </c>
      <c r="G32" s="594">
        <f t="shared" si="19"/>
        <v>3.2411560527533856E-2</v>
      </c>
      <c r="H32" s="594">
        <f t="shared" si="19"/>
        <v>3.4598622981866438E-2</v>
      </c>
      <c r="I32" s="594">
        <f t="shared" si="19"/>
        <v>3.5303143293525116E-2</v>
      </c>
      <c r="J32" s="594">
        <f t="shared" si="19"/>
        <v>3.6026936457222505E-2</v>
      </c>
      <c r="K32" s="594">
        <f t="shared" si="19"/>
        <v>3.6752275665921916E-2</v>
      </c>
    </row>
    <row r="33" spans="1:13" ht="15" customHeight="1">
      <c r="A33" s="586" t="s">
        <v>731</v>
      </c>
      <c r="B33" s="595">
        <v>211</v>
      </c>
      <c r="C33" s="595">
        <v>213</v>
      </c>
      <c r="D33" s="595">
        <v>210</v>
      </c>
      <c r="E33" s="595">
        <v>210</v>
      </c>
      <c r="F33" s="615">
        <v>209</v>
      </c>
      <c r="G33" s="595">
        <f>'DCF - Base Model'!C27</f>
        <v>210</v>
      </c>
      <c r="H33" s="595">
        <f>G33</f>
        <v>210</v>
      </c>
      <c r="I33" s="595">
        <f t="shared" ref="I33:K33" si="20">H33</f>
        <v>210</v>
      </c>
      <c r="J33" s="595">
        <f t="shared" si="20"/>
        <v>210</v>
      </c>
      <c r="K33" s="595">
        <f t="shared" si="20"/>
        <v>210</v>
      </c>
      <c r="L33" s="577" t="s">
        <v>732</v>
      </c>
      <c r="M33" s="600" t="s">
        <v>733</v>
      </c>
    </row>
    <row r="34" spans="1:13" ht="15" customHeight="1" thickBot="1">
      <c r="A34" s="582" t="s">
        <v>734</v>
      </c>
      <c r="B34" s="596">
        <f t="shared" ref="B34:K34" si="21">(B31*1000000)/(B33*1000000)</f>
        <v>10.688948651873256</v>
      </c>
      <c r="C34" s="596">
        <f t="shared" si="21"/>
        <v>9.8431122204592736</v>
      </c>
      <c r="D34" s="596">
        <f t="shared" si="21"/>
        <v>6.9823593161486013</v>
      </c>
      <c r="E34" s="596">
        <f t="shared" si="21"/>
        <v>4.5952533150975485</v>
      </c>
      <c r="F34" s="616">
        <f>(F31*1000000)/(F33*1000000)</f>
        <v>5.0796230363741444</v>
      </c>
      <c r="G34" s="596">
        <f>(G31*1000000)/(G33*1000000)</f>
        <v>6.5179800848559077</v>
      </c>
      <c r="H34" s="596">
        <f t="shared" si="21"/>
        <v>7.0832810071516192</v>
      </c>
      <c r="I34" s="596">
        <f>(I31*1000000)/(I33*1000000)</f>
        <v>7.3906195558623162</v>
      </c>
      <c r="J34" s="596">
        <f t="shared" si="21"/>
        <v>7.7125452377696275</v>
      </c>
      <c r="K34" s="596">
        <f t="shared" si="21"/>
        <v>8.045781873419811</v>
      </c>
    </row>
    <row r="35" spans="1:13" ht="15" customHeight="1">
      <c r="A35" s="599" t="s">
        <v>735</v>
      </c>
      <c r="B35" s="597"/>
      <c r="C35" s="597"/>
      <c r="D35" s="597"/>
      <c r="E35" s="597"/>
      <c r="F35" s="617">
        <v>5.1100000000000003</v>
      </c>
      <c r="G35" s="598">
        <v>6.49</v>
      </c>
      <c r="H35" s="597"/>
      <c r="I35" s="597"/>
      <c r="J35" s="597"/>
      <c r="K35" s="597"/>
      <c r="L35" s="577" t="s">
        <v>736</v>
      </c>
    </row>
    <row r="36" spans="1:13" ht="15" customHeight="1">
      <c r="A36" s="599" t="s">
        <v>737</v>
      </c>
      <c r="B36" s="597"/>
      <c r="C36" s="597"/>
      <c r="D36" s="597"/>
      <c r="E36" s="597"/>
      <c r="F36" s="614">
        <f>IF(F35=0,"",(F34-F35)/F35)</f>
        <v>-5.944611277075529E-3</v>
      </c>
      <c r="G36" s="594">
        <f>IF(G35=0,"",(G34-G35)/G35)</f>
        <v>4.3112611488301273E-3</v>
      </c>
      <c r="H36" s="597"/>
      <c r="I36" s="597"/>
      <c r="J36" s="597"/>
      <c r="K36" s="597"/>
    </row>
    <row r="37" spans="1:13">
      <c r="A37" s="579" t="s">
        <v>598</v>
      </c>
      <c r="B37" s="627"/>
      <c r="C37" s="627"/>
      <c r="D37" s="627"/>
      <c r="E37" s="627"/>
      <c r="F37" s="628">
        <f>('DCF - Base Model'!B50/F34)</f>
        <v>12.479272486575704</v>
      </c>
      <c r="G37" s="629">
        <f>('Blended Implied Pricing Summary'!$C$6/G34)</f>
        <v>13.276226935550675</v>
      </c>
      <c r="H37" s="629">
        <f>('Blended Implied Pricing Summary'!$C$6/H34)</f>
        <v>12.216680755793512</v>
      </c>
      <c r="I37" s="629">
        <f>('DCF - Base Model'!$C$29/I34)</f>
        <v>13.165319217626159</v>
      </c>
      <c r="J37" s="629">
        <f>('DCF - Base Model'!$C$29/J34)</f>
        <v>12.615791890913535</v>
      </c>
      <c r="K37" s="629">
        <f>('DCF - Base Model'!$C$29/K34)</f>
        <v>12.093276601295821</v>
      </c>
      <c r="L37" s="575" t="s">
        <v>738</v>
      </c>
    </row>
    <row r="38" spans="1:13" ht="15" customHeight="1">
      <c r="A38" s="620" t="s">
        <v>739</v>
      </c>
    </row>
    <row r="39" spans="1:13" ht="15" customHeight="1"/>
    <row r="40" spans="1:13" ht="15" customHeight="1"/>
    <row r="41" spans="1:13" ht="15" customHeight="1"/>
    <row r="42" spans="1:13" ht="15" customHeight="1"/>
    <row r="43" spans="1:13" ht="15" customHeight="1"/>
    <row r="44" spans="1:13" ht="15" customHeight="1"/>
  </sheetData>
  <mergeCells count="1">
    <mergeCell ref="A1:L1"/>
  </mergeCells>
  <pageMargins left="0.75" right="0.75" top="1" bottom="1" header="0.511811023622047" footer="0.511811023622047"/>
  <pageSetup paperSize="9" orientation="portrait" horizontalDpi="300" verticalDpi="30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CBD0A4-2815-4B63-B838-A0B304A37BB2}">
  <sheetPr>
    <tabColor theme="9" tint="-0.249977111117893"/>
  </sheetPr>
  <dimension ref="B1:I26"/>
  <sheetViews>
    <sheetView showGridLines="0" zoomScale="165" workbookViewId="0">
      <selection activeCell="C5" sqref="C5"/>
    </sheetView>
  </sheetViews>
  <sheetFormatPr baseColWidth="10" defaultColWidth="8.83203125" defaultRowHeight="13"/>
  <cols>
    <col min="1" max="1" width="4.5" customWidth="1"/>
    <col min="2" max="2" width="22.6640625" bestFit="1" customWidth="1"/>
    <col min="3" max="3" width="14.1640625" bestFit="1" customWidth="1"/>
    <col min="4" max="4" width="11.83203125" bestFit="1" customWidth="1"/>
    <col min="5" max="5" width="7.5" customWidth="1"/>
    <col min="6" max="6" width="9.5" bestFit="1" customWidth="1"/>
    <col min="8" max="8" width="10.5" bestFit="1" customWidth="1"/>
  </cols>
  <sheetData>
    <row r="1" spans="2:9" ht="18">
      <c r="B1" s="658" t="s">
        <v>740</v>
      </c>
      <c r="C1" s="658"/>
      <c r="D1" s="658"/>
      <c r="E1" s="658"/>
      <c r="F1" s="658"/>
      <c r="G1" s="658"/>
      <c r="H1" s="658"/>
    </row>
    <row r="3" spans="2:9" ht="16">
      <c r="B3" s="621" t="s">
        <v>245</v>
      </c>
      <c r="C3" s="622" t="s">
        <v>127</v>
      </c>
      <c r="D3" s="622" t="s">
        <v>36</v>
      </c>
      <c r="E3" s="622" t="s">
        <v>37</v>
      </c>
      <c r="F3" s="622" t="s">
        <v>741</v>
      </c>
      <c r="G3" s="622" t="s">
        <v>742</v>
      </c>
    </row>
    <row r="4" spans="2:9" ht="16">
      <c r="B4" s="623" t="s">
        <v>743</v>
      </c>
      <c r="C4" s="624">
        <f>'DCF - Base Model'!C6</f>
        <v>41691</v>
      </c>
      <c r="D4" s="624">
        <f>'DCF - Base Model'!D6</f>
        <v>41855.629999999997</v>
      </c>
      <c r="E4" s="624">
        <f>'DCF - Base Model'!H6</f>
        <v>46310.363661817399</v>
      </c>
      <c r="F4" s="625">
        <f>((E4/C4)^(1/3)-1)</f>
        <v>3.5647496595988093E-2</v>
      </c>
      <c r="G4" s="625">
        <f>(('Pro Forma Income Statement'!K4/C4)^(1/5)-1)</f>
        <v>1.9746445782408362E-2</v>
      </c>
    </row>
    <row r="5" spans="2:9" ht="16">
      <c r="B5" s="623" t="s">
        <v>744</v>
      </c>
      <c r="C5" s="633">
        <f>'Pro Forma Income Statement'!F34</f>
        <v>5.0796230363741444</v>
      </c>
      <c r="D5" s="633">
        <f>'Pro Forma Income Statement'!G34</f>
        <v>6.5179800848559077</v>
      </c>
      <c r="E5" s="633">
        <f>'Pro Forma Income Statement'!H34</f>
        <v>7.0832810071516192</v>
      </c>
      <c r="F5" s="625">
        <f>((E5/C5)^(1/3)-1)</f>
        <v>0.11720875172618528</v>
      </c>
      <c r="G5" s="625">
        <f>(('Pro Forma Income Statement'!K34/C5)^(1/5)-1)</f>
        <v>9.6345287187177941E-2</v>
      </c>
      <c r="H5" t="s">
        <v>745</v>
      </c>
    </row>
    <row r="6" spans="2:9" ht="16">
      <c r="B6" s="623" t="s">
        <v>598</v>
      </c>
      <c r="C6" s="626">
        <f>'Pro Forma Income Statement'!F37</f>
        <v>12.479272486575704</v>
      </c>
      <c r="D6" s="626">
        <f>'Pro Forma Income Statement'!G37</f>
        <v>13.276226935550675</v>
      </c>
      <c r="E6" s="626">
        <f>'Pro Forma Income Statement'!H37</f>
        <v>12.216680755793512</v>
      </c>
      <c r="F6" s="634" t="s">
        <v>99</v>
      </c>
      <c r="G6" s="634" t="s">
        <v>99</v>
      </c>
    </row>
    <row r="8" spans="2:9" ht="16" hidden="1">
      <c r="B8" s="657" t="s">
        <v>746</v>
      </c>
      <c r="C8" s="657"/>
      <c r="D8" s="657"/>
      <c r="E8" s="657"/>
      <c r="F8" s="657"/>
      <c r="G8" s="657"/>
      <c r="H8" s="657"/>
    </row>
    <row r="9" spans="2:9" hidden="1">
      <c r="B9" s="349" t="s">
        <v>526</v>
      </c>
      <c r="C9" s="511">
        <f>'DCF - Base Model'!C3</f>
        <v>0.10490729436769394</v>
      </c>
      <c r="D9" s="351"/>
      <c r="E9" s="351"/>
      <c r="F9" s="351"/>
      <c r="G9" s="351"/>
      <c r="H9" s="351"/>
    </row>
    <row r="10" spans="2:9" hidden="1">
      <c r="B10" s="349" t="s">
        <v>527</v>
      </c>
      <c r="C10" s="511">
        <f>'DCF - Base Model'!C4</f>
        <v>0.02</v>
      </c>
      <c r="D10" s="351"/>
      <c r="E10" s="351"/>
      <c r="F10" s="351"/>
      <c r="G10" s="351"/>
      <c r="H10" s="351"/>
      <c r="I10" t="s">
        <v>747</v>
      </c>
    </row>
    <row r="11" spans="2:9" hidden="1">
      <c r="B11" s="352" t="s">
        <v>120</v>
      </c>
      <c r="C11" s="512" t="s">
        <v>127</v>
      </c>
      <c r="D11" s="512" t="s">
        <v>36</v>
      </c>
      <c r="E11" s="512" t="s">
        <v>37</v>
      </c>
      <c r="F11" s="512" t="s">
        <v>38</v>
      </c>
      <c r="G11" s="512" t="s">
        <v>39</v>
      </c>
      <c r="H11" s="512" t="s">
        <v>40</v>
      </c>
    </row>
    <row r="12" spans="2:9" hidden="1">
      <c r="B12" s="349" t="s">
        <v>165</v>
      </c>
      <c r="C12" s="353">
        <f>'DCF - Base Model'!C6</f>
        <v>41691</v>
      </c>
      <c r="D12" s="353">
        <f>'DCF - Base Model'!D6</f>
        <v>41855.629999999997</v>
      </c>
      <c r="E12" s="353">
        <f>'DCF - Base Model'!E6</f>
        <v>43078.554199999999</v>
      </c>
      <c r="F12" s="353">
        <f>'DCF - Base Model'!F6</f>
        <v>44278.873705999991</v>
      </c>
      <c r="G12" s="353">
        <f>'DCF - Base Model'!G6</f>
        <v>45284.271939619997</v>
      </c>
      <c r="H12" s="353">
        <f>'DCF - Base Model'!H6</f>
        <v>46310.363661817399</v>
      </c>
    </row>
    <row r="13" spans="2:9" hidden="1">
      <c r="B13" s="354" t="s">
        <v>528</v>
      </c>
      <c r="C13" s="354"/>
      <c r="D13" s="354"/>
      <c r="E13" s="354"/>
      <c r="F13" s="354"/>
      <c r="G13" s="354"/>
      <c r="H13" s="354"/>
    </row>
    <row r="14" spans="2:9" hidden="1">
      <c r="B14" s="355" t="s">
        <v>529</v>
      </c>
      <c r="C14" s="356">
        <v>1771</v>
      </c>
      <c r="D14" s="356">
        <v>1799.7920899999997</v>
      </c>
      <c r="E14" s="356">
        <v>1981.6134932</v>
      </c>
      <c r="F14" s="356">
        <v>2169.6648115939997</v>
      </c>
      <c r="G14" s="356">
        <v>2309.4978689206196</v>
      </c>
      <c r="H14" s="356">
        <v>2454.4492740763221</v>
      </c>
    </row>
    <row r="15" spans="2:9" hidden="1">
      <c r="B15" s="267" t="s">
        <v>530</v>
      </c>
      <c r="C15" s="357">
        <v>425.03999999999996</v>
      </c>
      <c r="D15" s="357">
        <v>431.95010159999993</v>
      </c>
      <c r="E15" s="357">
        <v>475.58723836799999</v>
      </c>
      <c r="F15" s="357">
        <v>520.71955478255995</v>
      </c>
      <c r="G15" s="357">
        <v>554.27948854094871</v>
      </c>
      <c r="H15" s="357">
        <v>589.06782577831734</v>
      </c>
    </row>
    <row r="16" spans="2:9" hidden="1">
      <c r="B16" s="358" t="s">
        <v>531</v>
      </c>
      <c r="C16" s="359">
        <v>1345.96</v>
      </c>
      <c r="D16" s="359">
        <v>1367.8419883999998</v>
      </c>
      <c r="E16" s="359">
        <v>1506.0262548319999</v>
      </c>
      <c r="F16" s="359">
        <v>1648.9452568114398</v>
      </c>
      <c r="G16" s="359">
        <v>1755.2183803796709</v>
      </c>
      <c r="H16" s="359">
        <v>1865.3814482980047</v>
      </c>
    </row>
    <row r="17" spans="2:9" hidden="1">
      <c r="B17" t="s">
        <v>748</v>
      </c>
      <c r="C17">
        <f>-'Historical Income Statement'!G31</f>
        <v>47</v>
      </c>
      <c r="D17">
        <f t="shared" ref="D17:H18" si="0">C17</f>
        <v>47</v>
      </c>
      <c r="E17">
        <f t="shared" si="0"/>
        <v>47</v>
      </c>
      <c r="F17">
        <f t="shared" si="0"/>
        <v>47</v>
      </c>
      <c r="G17">
        <f t="shared" si="0"/>
        <v>47</v>
      </c>
      <c r="H17">
        <f t="shared" si="0"/>
        <v>47</v>
      </c>
    </row>
    <row r="18" spans="2:9" hidden="1">
      <c r="B18" t="s">
        <v>749</v>
      </c>
      <c r="C18">
        <f>C17*(1-24%)</f>
        <v>35.72</v>
      </c>
      <c r="D18">
        <f t="shared" si="0"/>
        <v>35.72</v>
      </c>
      <c r="E18">
        <f t="shared" si="0"/>
        <v>35.72</v>
      </c>
      <c r="F18">
        <f t="shared" si="0"/>
        <v>35.72</v>
      </c>
      <c r="G18">
        <f t="shared" si="0"/>
        <v>35.72</v>
      </c>
      <c r="H18">
        <f t="shared" si="0"/>
        <v>35.72</v>
      </c>
    </row>
    <row r="19" spans="2:9" hidden="1">
      <c r="B19" s="358" t="s">
        <v>419</v>
      </c>
      <c r="C19" s="359">
        <f t="shared" ref="C19:H19" si="1">C16-C18</f>
        <v>1310.24</v>
      </c>
      <c r="D19" s="359">
        <f t="shared" si="1"/>
        <v>1332.1219883999997</v>
      </c>
      <c r="E19" s="359">
        <f t="shared" si="1"/>
        <v>1470.3062548319999</v>
      </c>
      <c r="F19" s="359">
        <f t="shared" si="1"/>
        <v>1613.2252568114397</v>
      </c>
      <c r="G19" s="359">
        <f t="shared" si="1"/>
        <v>1719.4983803796708</v>
      </c>
      <c r="H19" s="359">
        <f t="shared" si="1"/>
        <v>1829.6614482980046</v>
      </c>
    </row>
    <row r="20" spans="2:9" hidden="1"/>
    <row r="21" spans="2:9" hidden="1">
      <c r="B21" s="358" t="s">
        <v>744</v>
      </c>
      <c r="C21" s="514">
        <f>C19/'Historical Balance Sheet'!$G$65</f>
        <v>6.2657159067003416</v>
      </c>
      <c r="D21" s="514">
        <f>D19/'Historical Balance Sheet'!$G$65</f>
        <v>6.3703580507259483</v>
      </c>
      <c r="E21" s="514">
        <f>E19/'Historical Balance Sheet'!$G$65</f>
        <v>7.0311708455106459</v>
      </c>
      <c r="F21" s="514">
        <f>F19/'Historical Balance Sheet'!$G$65</f>
        <v>7.7146256813211185</v>
      </c>
      <c r="G21" s="514">
        <f>G19/'Historical Balance Sheet'!$G$65</f>
        <v>8.222835780841967</v>
      </c>
      <c r="H21" s="514">
        <f>H19/'Historical Balance Sheet'!$G$65</f>
        <v>8.7496480343121821</v>
      </c>
      <c r="I21" t="s">
        <v>750</v>
      </c>
    </row>
    <row r="22" spans="2:9" hidden="1">
      <c r="B22" t="s">
        <v>751</v>
      </c>
      <c r="C22" s="489">
        <f>'DCF - Base Model'!B50</f>
        <v>63.39</v>
      </c>
      <c r="H22" s="262">
        <f>'DCF - Base Model'!C29</f>
        <v>97.299865668957864</v>
      </c>
    </row>
    <row r="23" spans="2:9" hidden="1">
      <c r="B23" s="516" t="s">
        <v>598</v>
      </c>
      <c r="C23" s="517">
        <f>'DCF - Base Model'!B50/'Estimates in CAGR'!C21</f>
        <v>10.116960446963915</v>
      </c>
      <c r="D23" s="518"/>
      <c r="E23" s="518"/>
      <c r="F23" s="518"/>
      <c r="G23" s="518"/>
      <c r="H23" s="517">
        <f>H22/H21</f>
        <v>11.120431963364878</v>
      </c>
    </row>
    <row r="24" spans="2:9" hidden="1">
      <c r="B24" s="267"/>
      <c r="C24" s="267"/>
      <c r="D24" s="357"/>
      <c r="E24" s="357"/>
      <c r="F24" s="357"/>
      <c r="G24" s="357"/>
      <c r="H24" s="357"/>
    </row>
    <row r="25" spans="2:9">
      <c r="B25" s="631" t="s">
        <v>752</v>
      </c>
      <c r="C25" s="632">
        <f>C5*C6</f>
        <v>63.389999999999993</v>
      </c>
      <c r="D25" s="632">
        <f t="shared" ref="D25" si="2">D5*D6</f>
        <v>86.534182767946874</v>
      </c>
      <c r="E25" s="632">
        <f>E5*E6</f>
        <v>86.534182767946874</v>
      </c>
      <c r="F25" s="357"/>
      <c r="G25" s="357"/>
      <c r="H25" s="357"/>
    </row>
    <row r="26" spans="2:9">
      <c r="B26" s="349"/>
      <c r="C26" s="513"/>
      <c r="D26" s="513"/>
      <c r="E26" s="513"/>
      <c r="F26" s="513"/>
      <c r="G26" s="513"/>
      <c r="H26" s="513"/>
    </row>
  </sheetData>
  <mergeCells count="2">
    <mergeCell ref="B8:H8"/>
    <mergeCell ref="B1:H1"/>
  </mergeCells>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873F59-6F59-43AF-884B-D80E5E7E61BF}">
  <sheetPr>
    <tabColor theme="9" tint="-0.249977111117893"/>
  </sheetPr>
  <dimension ref="B1:O22"/>
  <sheetViews>
    <sheetView showGridLines="0" workbookViewId="0">
      <selection activeCell="C19" sqref="C19"/>
    </sheetView>
  </sheetViews>
  <sheetFormatPr baseColWidth="10" defaultColWidth="8.83203125" defaultRowHeight="13"/>
  <cols>
    <col min="1" max="1" width="3.6640625" customWidth="1"/>
    <col min="2" max="2" width="23.5" bestFit="1" customWidth="1"/>
    <col min="3" max="3" width="11.5" bestFit="1" customWidth="1"/>
    <col min="4" max="4" width="30" bestFit="1" customWidth="1"/>
  </cols>
  <sheetData>
    <row r="1" spans="2:15" ht="18">
      <c r="B1" s="522" t="s">
        <v>753</v>
      </c>
      <c r="C1" s="522"/>
      <c r="D1" s="522"/>
      <c r="E1" s="522"/>
      <c r="F1" s="523"/>
      <c r="G1" s="523"/>
      <c r="H1" s="523"/>
      <c r="I1" s="523"/>
      <c r="J1" s="523"/>
      <c r="K1" s="523"/>
      <c r="L1" s="523"/>
      <c r="M1" s="523"/>
      <c r="N1" s="523"/>
      <c r="O1" s="523"/>
    </row>
    <row r="2" spans="2:15">
      <c r="B2" s="659" t="s">
        <v>754</v>
      </c>
      <c r="C2" s="660"/>
      <c r="D2" s="660"/>
      <c r="E2" s="660"/>
    </row>
    <row r="3" spans="2:15">
      <c r="B3" s="184" t="s">
        <v>755</v>
      </c>
      <c r="C3" s="185">
        <v>4.2999999999999997E-2</v>
      </c>
      <c r="D3" s="265" t="s">
        <v>756</v>
      </c>
      <c r="E3" s="265"/>
    </row>
    <row r="4" spans="2:15">
      <c r="B4" s="184" t="s">
        <v>757</v>
      </c>
      <c r="C4" s="185">
        <v>0.05</v>
      </c>
      <c r="D4" s="265" t="s">
        <v>758</v>
      </c>
      <c r="E4" s="265"/>
    </row>
    <row r="5" spans="2:15">
      <c r="B5" s="184" t="s">
        <v>759</v>
      </c>
      <c r="C5" s="377">
        <v>1.37</v>
      </c>
      <c r="D5" s="265" t="s">
        <v>760</v>
      </c>
      <c r="E5" s="265"/>
    </row>
    <row r="6" spans="2:15">
      <c r="B6" s="184" t="s">
        <v>761</v>
      </c>
      <c r="C6" s="378">
        <v>4.07E-2</v>
      </c>
      <c r="D6" s="265" t="s">
        <v>762</v>
      </c>
      <c r="E6" s="265"/>
    </row>
    <row r="7" spans="2:15">
      <c r="B7" s="184" t="s">
        <v>763</v>
      </c>
      <c r="C7" s="185">
        <v>0.24</v>
      </c>
      <c r="D7" s="265" t="s">
        <v>764</v>
      </c>
      <c r="E7" s="265"/>
    </row>
    <row r="8" spans="2:15" ht="15">
      <c r="B8" s="184" t="s">
        <v>765</v>
      </c>
      <c r="C8" s="378">
        <f>C6*(1-C7)</f>
        <v>3.0932000000000001E-2</v>
      </c>
      <c r="D8" s="265" t="s">
        <v>766</v>
      </c>
      <c r="E8" s="181"/>
    </row>
    <row r="9" spans="2:15" ht="15">
      <c r="B9" s="181"/>
      <c r="C9" s="181"/>
      <c r="D9" s="181"/>
      <c r="E9" s="181"/>
    </row>
    <row r="10" spans="2:15">
      <c r="B10" s="661" t="s">
        <v>767</v>
      </c>
      <c r="C10" s="661"/>
      <c r="D10" s="661"/>
      <c r="E10" s="661"/>
    </row>
    <row r="11" spans="2:15">
      <c r="B11" s="266" t="s">
        <v>245</v>
      </c>
      <c r="C11" s="266" t="s">
        <v>768</v>
      </c>
      <c r="D11" s="266" t="s">
        <v>769</v>
      </c>
    </row>
    <row r="12" spans="2:15">
      <c r="B12" s="184" t="s">
        <v>770</v>
      </c>
      <c r="C12" s="45">
        <v>12960</v>
      </c>
      <c r="D12" s="265" t="s">
        <v>771</v>
      </c>
    </row>
    <row r="13" spans="2:15">
      <c r="B13" s="184" t="s">
        <v>772</v>
      </c>
      <c r="C13" s="45">
        <v>1155</v>
      </c>
      <c r="D13" s="265" t="s">
        <v>773</v>
      </c>
    </row>
    <row r="14" spans="2:15">
      <c r="B14" s="184" t="s">
        <v>774</v>
      </c>
      <c r="C14" s="52">
        <f>C13+C12</f>
        <v>14115</v>
      </c>
      <c r="D14" s="265"/>
    </row>
    <row r="15" spans="2:15" ht="15">
      <c r="B15" s="184" t="s">
        <v>775</v>
      </c>
      <c r="C15" s="378">
        <f>C12/C14</f>
        <v>0.91817215727948986</v>
      </c>
      <c r="D15" s="181"/>
      <c r="E15" s="265"/>
    </row>
    <row r="16" spans="2:15" ht="15">
      <c r="B16" s="184" t="s">
        <v>776</v>
      </c>
      <c r="C16" s="378">
        <f>C13/C14</f>
        <v>8.1827842720510094E-2</v>
      </c>
      <c r="D16" s="181"/>
      <c r="E16" s="265"/>
    </row>
    <row r="17" spans="2:5" ht="15">
      <c r="B17" s="181"/>
      <c r="C17" s="181"/>
      <c r="D17" s="181"/>
      <c r="E17" s="181"/>
    </row>
    <row r="18" spans="2:5">
      <c r="B18" s="379" t="s">
        <v>777</v>
      </c>
      <c r="C18" s="379"/>
      <c r="D18" s="379"/>
      <c r="E18" s="379"/>
    </row>
    <row r="19" spans="2:5">
      <c r="B19" t="s">
        <v>778</v>
      </c>
      <c r="C19" s="19">
        <f>C3+C5*C4</f>
        <v>0.1115</v>
      </c>
    </row>
    <row r="20" spans="2:5">
      <c r="B20" s="184" t="s">
        <v>779</v>
      </c>
      <c r="C20" s="378">
        <f>C19*C15</f>
        <v>0.10237619553666312</v>
      </c>
      <c r="D20" s="265"/>
    </row>
    <row r="21" spans="2:5">
      <c r="B21" s="184" t="s">
        <v>780</v>
      </c>
      <c r="C21" s="378">
        <f>C16*C8</f>
        <v>2.5310988310308182E-3</v>
      </c>
      <c r="D21" s="265"/>
    </row>
    <row r="22" spans="2:5" ht="14">
      <c r="B22" s="380" t="s">
        <v>526</v>
      </c>
      <c r="C22" s="381">
        <f>C20+C21</f>
        <v>0.10490729436769394</v>
      </c>
      <c r="D22" s="265"/>
    </row>
  </sheetData>
  <mergeCells count="2">
    <mergeCell ref="B2:E2"/>
    <mergeCell ref="B10:E10"/>
  </mergeCells>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B46B9B-B55C-4050-9C5C-DC665F7DCB64}">
  <sheetPr>
    <tabColor theme="5" tint="0.79998168889431442"/>
  </sheetPr>
  <dimension ref="A1:N27"/>
  <sheetViews>
    <sheetView showGridLines="0" workbookViewId="0">
      <selection activeCell="M22" sqref="M22"/>
    </sheetView>
  </sheetViews>
  <sheetFormatPr baseColWidth="10" defaultColWidth="8.83203125" defaultRowHeight="13"/>
  <sheetData>
    <row r="1" spans="1:14">
      <c r="A1" s="642" t="s">
        <v>781</v>
      </c>
      <c r="B1" s="642"/>
      <c r="C1" s="642"/>
      <c r="D1" s="642"/>
      <c r="E1" s="642"/>
      <c r="F1" s="642"/>
      <c r="G1" s="642"/>
      <c r="H1" s="642"/>
      <c r="I1" s="642"/>
      <c r="J1" s="642"/>
      <c r="K1" s="642"/>
      <c r="L1" s="642"/>
      <c r="M1" s="642"/>
      <c r="N1" s="642"/>
    </row>
    <row r="2" spans="1:14">
      <c r="A2" s="642"/>
      <c r="B2" s="642"/>
      <c r="C2" s="642"/>
      <c r="D2" s="642"/>
      <c r="E2" s="642"/>
      <c r="F2" s="642"/>
      <c r="G2" s="642"/>
      <c r="H2" s="642"/>
      <c r="I2" s="642"/>
      <c r="J2" s="642"/>
      <c r="K2" s="642"/>
      <c r="L2" s="642"/>
      <c r="M2" s="642"/>
      <c r="N2" s="642"/>
    </row>
    <row r="3" spans="1:14">
      <c r="A3" s="642"/>
      <c r="B3" s="642"/>
      <c r="C3" s="642"/>
      <c r="D3" s="642"/>
      <c r="E3" s="642"/>
      <c r="F3" s="642"/>
      <c r="G3" s="642"/>
      <c r="H3" s="642"/>
      <c r="I3" s="642"/>
      <c r="J3" s="642"/>
      <c r="K3" s="642"/>
      <c r="L3" s="642"/>
      <c r="M3" s="642"/>
      <c r="N3" s="642"/>
    </row>
    <row r="4" spans="1:14">
      <c r="A4" s="642"/>
      <c r="B4" s="642"/>
      <c r="C4" s="642"/>
      <c r="D4" s="642"/>
      <c r="E4" s="642"/>
      <c r="F4" s="642"/>
      <c r="G4" s="642"/>
      <c r="H4" s="642"/>
      <c r="I4" s="642"/>
      <c r="J4" s="642"/>
      <c r="K4" s="642"/>
      <c r="L4" s="642"/>
      <c r="M4" s="642"/>
      <c r="N4" s="642"/>
    </row>
    <row r="5" spans="1:14">
      <c r="A5" s="642"/>
      <c r="B5" s="642"/>
      <c r="C5" s="642"/>
      <c r="D5" s="642"/>
      <c r="E5" s="642"/>
      <c r="F5" s="642"/>
      <c r="G5" s="642"/>
      <c r="H5" s="642"/>
      <c r="I5" s="642"/>
      <c r="J5" s="642"/>
      <c r="K5" s="642"/>
      <c r="L5" s="642"/>
      <c r="M5" s="642"/>
      <c r="N5" s="642"/>
    </row>
    <row r="6" spans="1:14">
      <c r="A6" s="642"/>
      <c r="B6" s="642"/>
      <c r="C6" s="642"/>
      <c r="D6" s="642"/>
      <c r="E6" s="642"/>
      <c r="F6" s="642"/>
      <c r="G6" s="642"/>
      <c r="H6" s="642"/>
      <c r="I6" s="642"/>
      <c r="J6" s="642"/>
      <c r="K6" s="642"/>
      <c r="L6" s="642"/>
      <c r="M6" s="642"/>
      <c r="N6" s="642"/>
    </row>
    <row r="7" spans="1:14">
      <c r="A7" s="642"/>
      <c r="B7" s="642"/>
      <c r="C7" s="642"/>
      <c r="D7" s="642"/>
      <c r="E7" s="642"/>
      <c r="F7" s="642"/>
      <c r="G7" s="642"/>
      <c r="H7" s="642"/>
      <c r="I7" s="642"/>
      <c r="J7" s="642"/>
      <c r="K7" s="642"/>
      <c r="L7" s="642"/>
      <c r="M7" s="642"/>
      <c r="N7" s="642"/>
    </row>
    <row r="8" spans="1:14">
      <c r="A8" s="642"/>
      <c r="B8" s="642"/>
      <c r="C8" s="642"/>
      <c r="D8" s="642"/>
      <c r="E8" s="642"/>
      <c r="F8" s="642"/>
      <c r="G8" s="642"/>
      <c r="H8" s="642"/>
      <c r="I8" s="642"/>
      <c r="J8" s="642"/>
      <c r="K8" s="642"/>
      <c r="L8" s="642"/>
      <c r="M8" s="642"/>
      <c r="N8" s="642"/>
    </row>
    <row r="9" spans="1:14">
      <c r="A9" s="642"/>
      <c r="B9" s="642"/>
      <c r="C9" s="642"/>
      <c r="D9" s="642"/>
      <c r="E9" s="642"/>
      <c r="F9" s="642"/>
      <c r="G9" s="642"/>
      <c r="H9" s="642"/>
      <c r="I9" s="642"/>
      <c r="J9" s="642"/>
      <c r="K9" s="642"/>
      <c r="L9" s="642"/>
      <c r="M9" s="642"/>
      <c r="N9" s="642"/>
    </row>
    <row r="10" spans="1:14">
      <c r="A10" s="642"/>
      <c r="B10" s="642"/>
      <c r="C10" s="642"/>
      <c r="D10" s="642"/>
      <c r="E10" s="642"/>
      <c r="F10" s="642"/>
      <c r="G10" s="642"/>
      <c r="H10" s="642"/>
      <c r="I10" s="642"/>
      <c r="J10" s="642"/>
      <c r="K10" s="642"/>
      <c r="L10" s="642"/>
      <c r="M10" s="642"/>
      <c r="N10" s="642"/>
    </row>
    <row r="11" spans="1:14">
      <c r="A11" s="642"/>
      <c r="B11" s="642"/>
      <c r="C11" s="642"/>
      <c r="D11" s="642"/>
      <c r="E11" s="642"/>
      <c r="F11" s="642"/>
      <c r="G11" s="642"/>
      <c r="H11" s="642"/>
      <c r="I11" s="642"/>
      <c r="J11" s="642"/>
      <c r="K11" s="642"/>
      <c r="L11" s="642"/>
      <c r="M11" s="642"/>
      <c r="N11" s="642"/>
    </row>
    <row r="12" spans="1:14">
      <c r="A12" s="642"/>
      <c r="B12" s="642"/>
      <c r="C12" s="642"/>
      <c r="D12" s="642"/>
      <c r="E12" s="642"/>
      <c r="F12" s="642"/>
      <c r="G12" s="642"/>
      <c r="H12" s="642"/>
      <c r="I12" s="642"/>
      <c r="J12" s="642"/>
      <c r="K12" s="642"/>
      <c r="L12" s="642"/>
      <c r="M12" s="642"/>
      <c r="N12" s="642"/>
    </row>
    <row r="13" spans="1:14">
      <c r="A13" s="642"/>
      <c r="B13" s="642"/>
      <c r="C13" s="642"/>
      <c r="D13" s="642"/>
      <c r="E13" s="642"/>
      <c r="F13" s="642"/>
      <c r="G13" s="642"/>
      <c r="H13" s="642"/>
      <c r="I13" s="642"/>
      <c r="J13" s="642"/>
      <c r="K13" s="642"/>
      <c r="L13" s="642"/>
      <c r="M13" s="642"/>
      <c r="N13" s="642"/>
    </row>
    <row r="14" spans="1:14">
      <c r="A14" s="642"/>
      <c r="B14" s="642"/>
      <c r="C14" s="642"/>
      <c r="D14" s="642"/>
      <c r="E14" s="642"/>
      <c r="F14" s="642"/>
      <c r="G14" s="642"/>
      <c r="H14" s="642"/>
      <c r="I14" s="642"/>
      <c r="J14" s="642"/>
      <c r="K14" s="642"/>
      <c r="L14" s="642"/>
      <c r="M14" s="642"/>
      <c r="N14" s="642"/>
    </row>
    <row r="15" spans="1:14">
      <c r="A15" s="642"/>
      <c r="B15" s="642"/>
      <c r="C15" s="642"/>
      <c r="D15" s="642"/>
      <c r="E15" s="642"/>
      <c r="F15" s="642"/>
      <c r="G15" s="642"/>
      <c r="H15" s="642"/>
      <c r="I15" s="642"/>
      <c r="J15" s="642"/>
      <c r="K15" s="642"/>
      <c r="L15" s="642"/>
      <c r="M15" s="642"/>
      <c r="N15" s="642"/>
    </row>
    <row r="16" spans="1:14">
      <c r="A16" s="642"/>
      <c r="B16" s="642"/>
      <c r="C16" s="642"/>
      <c r="D16" s="642"/>
      <c r="E16" s="642"/>
      <c r="F16" s="642"/>
      <c r="G16" s="642"/>
      <c r="H16" s="642"/>
      <c r="I16" s="642"/>
      <c r="J16" s="642"/>
      <c r="K16" s="642"/>
      <c r="L16" s="642"/>
      <c r="M16" s="642"/>
      <c r="N16" s="642"/>
    </row>
    <row r="17" spans="1:14">
      <c r="A17" s="642"/>
      <c r="B17" s="642"/>
      <c r="C17" s="642"/>
      <c r="D17" s="642"/>
      <c r="E17" s="642"/>
      <c r="F17" s="642"/>
      <c r="G17" s="642"/>
      <c r="H17" s="642"/>
      <c r="I17" s="642"/>
      <c r="J17" s="642"/>
      <c r="K17" s="642"/>
      <c r="L17" s="642"/>
      <c r="M17" s="642"/>
      <c r="N17" s="642"/>
    </row>
    <row r="18" spans="1:14">
      <c r="A18" s="642"/>
      <c r="B18" s="642"/>
      <c r="C18" s="642"/>
      <c r="D18" s="642"/>
      <c r="E18" s="642"/>
      <c r="F18" s="642"/>
      <c r="G18" s="642"/>
      <c r="H18" s="642"/>
      <c r="I18" s="642"/>
      <c r="J18" s="642"/>
      <c r="K18" s="642"/>
      <c r="L18" s="642"/>
      <c r="M18" s="642"/>
      <c r="N18" s="642"/>
    </row>
    <row r="19" spans="1:14">
      <c r="A19" s="642"/>
      <c r="B19" s="642"/>
      <c r="C19" s="642"/>
      <c r="D19" s="642"/>
      <c r="E19" s="642"/>
      <c r="F19" s="642"/>
      <c r="G19" s="642"/>
      <c r="H19" s="642"/>
      <c r="I19" s="642"/>
      <c r="J19" s="642"/>
      <c r="K19" s="642"/>
      <c r="L19" s="642"/>
      <c r="M19" s="642"/>
      <c r="N19" s="642"/>
    </row>
    <row r="20" spans="1:14">
      <c r="A20" s="642"/>
      <c r="B20" s="642"/>
      <c r="C20" s="642"/>
      <c r="D20" s="642"/>
      <c r="E20" s="642"/>
      <c r="F20" s="642"/>
      <c r="G20" s="642"/>
      <c r="H20" s="642"/>
      <c r="I20" s="642"/>
      <c r="J20" s="642"/>
      <c r="K20" s="642"/>
      <c r="L20" s="642"/>
      <c r="M20" s="642"/>
      <c r="N20" s="642"/>
    </row>
    <row r="21" spans="1:14">
      <c r="A21" s="642"/>
      <c r="B21" s="642"/>
      <c r="C21" s="642"/>
      <c r="D21" s="642"/>
      <c r="E21" s="642"/>
      <c r="F21" s="642"/>
      <c r="G21" s="642"/>
      <c r="H21" s="642"/>
      <c r="I21" s="642"/>
      <c r="J21" s="642"/>
      <c r="K21" s="642"/>
      <c r="L21" s="642"/>
      <c r="M21" s="642"/>
      <c r="N21" s="642"/>
    </row>
    <row r="22" spans="1:14">
      <c r="A22" s="642"/>
      <c r="B22" s="642"/>
      <c r="C22" s="642"/>
      <c r="D22" s="642"/>
      <c r="E22" s="642"/>
      <c r="F22" s="642"/>
      <c r="G22" s="642"/>
      <c r="H22" s="642"/>
      <c r="I22" s="642"/>
      <c r="J22" s="642"/>
      <c r="K22" s="642"/>
      <c r="L22" s="642"/>
      <c r="M22" s="642"/>
      <c r="N22" s="642"/>
    </row>
    <row r="23" spans="1:14">
      <c r="A23" s="642"/>
      <c r="B23" s="642"/>
      <c r="C23" s="642"/>
      <c r="D23" s="642"/>
      <c r="E23" s="642"/>
      <c r="F23" s="642"/>
      <c r="G23" s="642"/>
      <c r="H23" s="642"/>
      <c r="I23" s="642"/>
      <c r="J23" s="642"/>
      <c r="K23" s="642"/>
      <c r="L23" s="642"/>
      <c r="M23" s="642"/>
      <c r="N23" s="642"/>
    </row>
    <row r="24" spans="1:14">
      <c r="A24" s="642"/>
      <c r="B24" s="642"/>
      <c r="C24" s="642"/>
      <c r="D24" s="642"/>
      <c r="E24" s="642"/>
      <c r="F24" s="642"/>
      <c r="G24" s="642"/>
      <c r="H24" s="642"/>
      <c r="I24" s="642"/>
      <c r="J24" s="642"/>
      <c r="K24" s="642"/>
      <c r="L24" s="642"/>
      <c r="M24" s="642"/>
      <c r="N24" s="642"/>
    </row>
    <row r="25" spans="1:14">
      <c r="A25" s="642"/>
      <c r="B25" s="642"/>
      <c r="C25" s="642"/>
      <c r="D25" s="642"/>
      <c r="E25" s="642"/>
      <c r="F25" s="642"/>
      <c r="G25" s="642"/>
      <c r="H25" s="642"/>
      <c r="I25" s="642"/>
      <c r="J25" s="642"/>
      <c r="K25" s="642"/>
      <c r="L25" s="642"/>
      <c r="M25" s="642"/>
      <c r="N25" s="642"/>
    </row>
    <row r="26" spans="1:14">
      <c r="A26" s="642"/>
      <c r="B26" s="642"/>
      <c r="C26" s="642"/>
      <c r="D26" s="642"/>
      <c r="E26" s="642"/>
      <c r="F26" s="642"/>
      <c r="G26" s="642"/>
      <c r="H26" s="642"/>
      <c r="I26" s="642"/>
      <c r="J26" s="642"/>
      <c r="K26" s="642"/>
      <c r="L26" s="642"/>
      <c r="M26" s="642"/>
      <c r="N26" s="642"/>
    </row>
    <row r="27" spans="1:14">
      <c r="A27" s="642"/>
      <c r="B27" s="642"/>
      <c r="C27" s="642"/>
      <c r="D27" s="642"/>
      <c r="E27" s="642"/>
      <c r="F27" s="642"/>
      <c r="G27" s="642"/>
      <c r="H27" s="642"/>
      <c r="I27" s="642"/>
      <c r="J27" s="642"/>
      <c r="K27" s="642"/>
      <c r="L27" s="642"/>
      <c r="M27" s="642"/>
      <c r="N27" s="642"/>
    </row>
  </sheetData>
  <mergeCells count="1">
    <mergeCell ref="A1:N27"/>
  </mergeCells>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1FA58F-8DD4-43C5-B887-5A7A6206DB62}">
  <sheetPr>
    <tabColor theme="5" tint="0.79998168889431442"/>
  </sheetPr>
  <dimension ref="A2:L63"/>
  <sheetViews>
    <sheetView showGridLines="0" topLeftCell="A32" workbookViewId="0">
      <selection activeCell="H50" sqref="H50"/>
    </sheetView>
  </sheetViews>
  <sheetFormatPr baseColWidth="10" defaultColWidth="8.6640625" defaultRowHeight="13"/>
  <cols>
    <col min="1" max="1" width="32" customWidth="1"/>
    <col min="2" max="12" width="11" customWidth="1"/>
  </cols>
  <sheetData>
    <row r="2" spans="1:12" ht="15" customHeight="1">
      <c r="A2" s="452" t="s">
        <v>782</v>
      </c>
    </row>
    <row r="3" spans="1:12" ht="15" customHeight="1">
      <c r="A3" s="453"/>
      <c r="B3" s="453" t="s">
        <v>650</v>
      </c>
      <c r="C3" s="453" t="s">
        <v>651</v>
      </c>
      <c r="D3" s="453" t="s">
        <v>652</v>
      </c>
      <c r="E3" s="453" t="s">
        <v>653</v>
      </c>
      <c r="F3" s="453" t="s">
        <v>654</v>
      </c>
      <c r="G3" s="454" t="s">
        <v>655</v>
      </c>
      <c r="H3" s="454" t="s">
        <v>656</v>
      </c>
      <c r="I3" s="454" t="s">
        <v>657</v>
      </c>
      <c r="J3" s="454" t="s">
        <v>658</v>
      </c>
      <c r="K3" s="454" t="s">
        <v>659</v>
      </c>
    </row>
    <row r="4" spans="1:12" ht="15" customHeight="1">
      <c r="A4" s="455" t="s">
        <v>783</v>
      </c>
      <c r="B4" s="456">
        <f>'Revenue Build - Top Down'!E63</f>
        <v>22478</v>
      </c>
      <c r="C4" s="456">
        <f>'Revenue Build - Top Down'!F63</f>
        <v>19766</v>
      </c>
      <c r="D4" s="456">
        <f>'Revenue Build - Top Down'!G63</f>
        <v>18482</v>
      </c>
      <c r="E4" s="456">
        <f>'Revenue Build - Top Down'!H63</f>
        <v>18681</v>
      </c>
      <c r="F4" s="456">
        <f>'Revenue Build - Top Down'!I63</f>
        <v>19714</v>
      </c>
      <c r="G4" s="456">
        <f>'Revenue Build - Top Down'!J63</f>
        <v>20108.28</v>
      </c>
      <c r="H4" s="456">
        <f>'Revenue Build - Top Down'!K63</f>
        <v>20912.611199999999</v>
      </c>
      <c r="I4" s="456">
        <f>'Revenue Build - Top Down'!L63</f>
        <v>21539.989536000001</v>
      </c>
      <c r="J4" s="456">
        <f>'Revenue Build - Top Down'!M63</f>
        <v>21970.789326720002</v>
      </c>
      <c r="K4" s="456">
        <f>'Revenue Build - Top Down'!N63</f>
        <v>22410.2051132544</v>
      </c>
    </row>
    <row r="5" spans="1:12" ht="15" customHeight="1">
      <c r="A5" s="455" t="s">
        <v>77</v>
      </c>
      <c r="B5" s="456">
        <f>'Revenue Build - Top Down'!E64</f>
        <v>16203</v>
      </c>
      <c r="C5" s="456">
        <f>'Revenue Build - Top Down'!F64</f>
        <v>14094</v>
      </c>
      <c r="D5" s="456">
        <f>'Revenue Build - Top Down'!G64</f>
        <v>12969</v>
      </c>
      <c r="E5" s="456">
        <f>'Revenue Build - Top Down'!H64</f>
        <v>12065</v>
      </c>
      <c r="F5" s="456">
        <f>'Revenue Build - Top Down'!I64</f>
        <v>11460</v>
      </c>
      <c r="G5" s="456">
        <f>'Revenue Build - Top Down'!J64</f>
        <v>11230.8</v>
      </c>
      <c r="H5" s="456">
        <f>'Revenue Build - Top Down'!K64</f>
        <v>11399.261999999999</v>
      </c>
      <c r="I5" s="456">
        <f>'Revenue Build - Top Down'!L64</f>
        <v>11627.247239999999</v>
      </c>
      <c r="J5" s="456">
        <f>'Revenue Build - Top Down'!M64</f>
        <v>11859.792184799999</v>
      </c>
      <c r="K5" s="456">
        <f>'Revenue Build - Top Down'!N64</f>
        <v>12096.988028495998</v>
      </c>
    </row>
    <row r="6" spans="1:12" ht="15" customHeight="1">
      <c r="A6" s="455" t="s">
        <v>80</v>
      </c>
      <c r="B6" s="456">
        <f>'Revenue Build - Top Down'!E65</f>
        <v>7167</v>
      </c>
      <c r="C6" s="456">
        <f>'Revenue Build - Top Down'!F65</f>
        <v>6736</v>
      </c>
      <c r="D6" s="456">
        <f>'Revenue Build - Top Down'!G65</f>
        <v>5804</v>
      </c>
      <c r="E6" s="456">
        <f>'Revenue Build - Top Down'!H65</f>
        <v>4910</v>
      </c>
      <c r="F6" s="456">
        <f>'Revenue Build - Top Down'!I65</f>
        <v>4469</v>
      </c>
      <c r="G6" s="456">
        <f>'Revenue Build - Top Down'!J65</f>
        <v>4245.55</v>
      </c>
      <c r="H6" s="456">
        <f>'Revenue Build - Top Down'!K65</f>
        <v>4245.55</v>
      </c>
      <c r="I6" s="456">
        <f>'Revenue Build - Top Down'!L65</f>
        <v>4351.6887500000003</v>
      </c>
      <c r="J6" s="456">
        <f>'Revenue Build - Top Down'!M65</f>
        <v>4482.2394125000001</v>
      </c>
      <c r="K6" s="456">
        <f>'Revenue Build - Top Down'!N65</f>
        <v>4616.7065948750005</v>
      </c>
    </row>
    <row r="7" spans="1:12" ht="15" customHeight="1">
      <c r="A7" s="455" t="s">
        <v>83</v>
      </c>
      <c r="B7" s="456">
        <f>'Revenue Build - Top Down'!E66</f>
        <v>3275</v>
      </c>
      <c r="C7" s="456">
        <f>'Revenue Build - Top Down'!F66</f>
        <v>3053</v>
      </c>
      <c r="D7" s="456">
        <f>'Revenue Build - Top Down'!G66</f>
        <v>3363</v>
      </c>
      <c r="E7" s="456">
        <f>'Revenue Build - Top Down'!H66</f>
        <v>2908</v>
      </c>
      <c r="F7" s="456">
        <f>'Revenue Build - Top Down'!I66</f>
        <v>3092</v>
      </c>
      <c r="G7" s="456">
        <f>'Revenue Build - Top Down'!J66</f>
        <v>3184.76</v>
      </c>
      <c r="H7" s="456">
        <f>'Revenue Build - Top Down'!K66</f>
        <v>3264.3789999999999</v>
      </c>
      <c r="I7" s="456">
        <f>'Revenue Build - Top Down'!L66</f>
        <v>3329.6665800000001</v>
      </c>
      <c r="J7" s="456">
        <f>'Revenue Build - Top Down'!M66</f>
        <v>3396.2599116000001</v>
      </c>
      <c r="K7" s="456">
        <f>'Revenue Build - Top Down'!N66</f>
        <v>3464.1851098320003</v>
      </c>
    </row>
    <row r="8" spans="1:12" ht="15" customHeight="1">
      <c r="A8" s="455" t="s">
        <v>168</v>
      </c>
      <c r="B8" s="456">
        <f>'Revenue Build - Top Down'!E67</f>
        <v>2380</v>
      </c>
      <c r="C8" s="456">
        <f>'Revenue Build - Top Down'!F67</f>
        <v>2332</v>
      </c>
      <c r="D8" s="456">
        <f>'Revenue Build - Top Down'!G67</f>
        <v>2530</v>
      </c>
      <c r="E8" s="456">
        <f>'Revenue Build - Top Down'!H67</f>
        <v>2631</v>
      </c>
      <c r="F8" s="456">
        <f>'Revenue Build - Top Down'!I67</f>
        <v>2656</v>
      </c>
      <c r="G8" s="456">
        <f>'Revenue Build - Top Down'!J67</f>
        <v>2762.2400000000002</v>
      </c>
      <c r="H8" s="456">
        <f>'Revenue Build - Top Down'!K67</f>
        <v>2900.3520000000003</v>
      </c>
      <c r="I8" s="456">
        <f>'Revenue Build - Top Down'!L67</f>
        <v>3045.3696000000004</v>
      </c>
      <c r="J8" s="456">
        <f>'Revenue Build - Top Down'!M67</f>
        <v>3167.1843840000006</v>
      </c>
      <c r="K8" s="456">
        <f>'Revenue Build - Top Down'!N67</f>
        <v>3293.8717593600009</v>
      </c>
    </row>
    <row r="9" spans="1:12" ht="15" customHeight="1">
      <c r="A9" s="455" t="s">
        <v>169</v>
      </c>
      <c r="B9" s="456">
        <f>'Revenue Build - Top Down'!E68</f>
        <v>258</v>
      </c>
      <c r="C9" s="456">
        <f>'Revenue Build - Top Down'!F68</f>
        <v>317</v>
      </c>
      <c r="D9" s="456">
        <f>'Revenue Build - Top Down'!G68</f>
        <v>304</v>
      </c>
      <c r="E9" s="456">
        <f>'Revenue Build - Top Down'!H68</f>
        <v>333</v>
      </c>
      <c r="F9" s="456">
        <f>'Revenue Build - Top Down'!I68</f>
        <v>300</v>
      </c>
      <c r="G9" s="456">
        <f>'Revenue Build - Top Down'!J68</f>
        <v>324</v>
      </c>
      <c r="H9" s="456">
        <f>'Revenue Build - Top Down'!K68</f>
        <v>356.40000000000003</v>
      </c>
      <c r="I9" s="456">
        <f>'Revenue Build - Top Down'!L68</f>
        <v>384.91200000000003</v>
      </c>
      <c r="J9" s="456">
        <f>'Revenue Build - Top Down'!M68</f>
        <v>408.00672000000003</v>
      </c>
      <c r="K9" s="456">
        <f>'Revenue Build - Top Down'!N68</f>
        <v>428.40705600000007</v>
      </c>
    </row>
    <row r="12" spans="1:12" ht="15" customHeight="1">
      <c r="A12" s="452" t="s">
        <v>784</v>
      </c>
    </row>
    <row r="13" spans="1:12" ht="15" customHeight="1">
      <c r="A13" s="453"/>
      <c r="B13" s="453" t="s">
        <v>649</v>
      </c>
      <c r="C13" s="453" t="s">
        <v>650</v>
      </c>
      <c r="D13" s="453" t="s">
        <v>651</v>
      </c>
      <c r="E13" s="453" t="s">
        <v>652</v>
      </c>
      <c r="F13" s="453" t="s">
        <v>653</v>
      </c>
      <c r="G13" s="453" t="s">
        <v>654</v>
      </c>
      <c r="H13" s="454" t="s">
        <v>655</v>
      </c>
      <c r="I13" s="454" t="s">
        <v>656</v>
      </c>
      <c r="J13" s="454" t="s">
        <v>657</v>
      </c>
      <c r="K13" s="454" t="s">
        <v>658</v>
      </c>
      <c r="L13" s="454" t="s">
        <v>659</v>
      </c>
    </row>
    <row r="14" spans="1:12" ht="15" customHeight="1">
      <c r="A14" s="455" t="s">
        <v>785</v>
      </c>
      <c r="B14" s="457">
        <f>'Historical Income Statement'!B29/'Historical Income Statement'!B16</f>
        <v>5.645127163471711E-2</v>
      </c>
      <c r="C14" s="457">
        <f>'Historical Income Statement'!C29/'Historical Income Statement'!C16</f>
        <v>5.8151890419427754E-2</v>
      </c>
      <c r="D14" s="457">
        <f>'Historical Income Statement'!D29/'Historical Income Statement'!D16</f>
        <v>4.1945656399844489E-2</v>
      </c>
      <c r="E14" s="457">
        <f>'Historical Income Statement'!E29/'Historical Income Statement'!E16</f>
        <v>3.979103378440578E-2</v>
      </c>
      <c r="F14" s="457">
        <f>'Historical Income Statement'!F29/'Historical Income Statement'!F16</f>
        <v>4.1803120785975728E-2</v>
      </c>
      <c r="G14" s="457">
        <f>'Historical Income Statement'!G29/'Historical Income Statement'!G16</f>
        <v>4.2479192151783356E-2</v>
      </c>
      <c r="H14" s="457">
        <f>Assumptions!B37</f>
        <v>4.2999999999999997E-2</v>
      </c>
      <c r="I14" s="457">
        <f>Assumptions!C37</f>
        <v>4.5999999999999999E-2</v>
      </c>
      <c r="J14" s="457">
        <f>Assumptions!D37</f>
        <v>4.9000000000000002E-2</v>
      </c>
      <c r="K14" s="457">
        <f>Assumptions!E37</f>
        <v>5.0999999999999997E-2</v>
      </c>
      <c r="L14" s="457">
        <f>Assumptions!F37</f>
        <v>5.2999999999999999E-2</v>
      </c>
    </row>
    <row r="15" spans="1:12" ht="15" customHeight="1">
      <c r="A15" s="455" t="s">
        <v>786</v>
      </c>
      <c r="B15" s="457">
        <f>'Historical Income Statement'!B29/'Historical Income Statement'!B16</f>
        <v>5.645127163471711E-2</v>
      </c>
      <c r="C15" s="457">
        <f>'Historical Income Statement'!C29/'Historical Income Statement'!C16</f>
        <v>5.8151890419427754E-2</v>
      </c>
      <c r="D15" s="457">
        <f>'Historical Income Statement'!D29/'Historical Income Statement'!D16</f>
        <v>4.1945656399844489E-2</v>
      </c>
      <c r="E15" s="457">
        <f>'Historical Income Statement'!E29/'Historical Income Statement'!E16</f>
        <v>3.979103378440578E-2</v>
      </c>
      <c r="F15" s="457">
        <f>'Historical Income Statement'!F29/'Historical Income Statement'!F16</f>
        <v>4.1803120785975728E-2</v>
      </c>
      <c r="G15" s="457">
        <f>'Historical Income Statement'!G29/'Historical Income Statement'!G16</f>
        <v>4.2479192151783356E-2</v>
      </c>
      <c r="H15" s="457">
        <f>'DCF - Bear Model'!D9</f>
        <v>2.2999999999999996E-2</v>
      </c>
      <c r="I15" s="457">
        <f>'DCF - Bear Model'!E9</f>
        <v>2.5999999999999999E-2</v>
      </c>
      <c r="J15" s="457">
        <f>'DCF - Bear Model'!F9</f>
        <v>2.9000000000000001E-2</v>
      </c>
      <c r="K15" s="457">
        <f>'DCF - Bear Model'!G9</f>
        <v>3.0999999999999996E-2</v>
      </c>
      <c r="L15" s="457">
        <f>'DCF - Bear Model'!H9</f>
        <v>3.3000000000000002E-2</v>
      </c>
    </row>
    <row r="18" spans="1:4" ht="15" customHeight="1">
      <c r="A18" s="452" t="s">
        <v>787</v>
      </c>
    </row>
    <row r="19" spans="1:4" ht="15" customHeight="1">
      <c r="A19" s="454"/>
      <c r="B19" s="454" t="s">
        <v>650</v>
      </c>
      <c r="C19" s="454" t="s">
        <v>654</v>
      </c>
      <c r="D19" s="454" t="s">
        <v>659</v>
      </c>
    </row>
    <row r="20" spans="1:4" ht="15" customHeight="1">
      <c r="A20" s="455" t="s">
        <v>783</v>
      </c>
      <c r="B20" s="457">
        <f>'Revenue Build - Top Down'!E72</f>
        <v>0.43426518034813855</v>
      </c>
      <c r="C20" s="457">
        <f>'Revenue Build - Top Down'!I72</f>
        <v>0.47285984984768897</v>
      </c>
      <c r="D20" s="457">
        <f>'Revenue Build - Top Down'!N72</f>
        <v>0.48391339089680852</v>
      </c>
    </row>
    <row r="21" spans="1:4" ht="15" customHeight="1">
      <c r="A21" s="455" t="s">
        <v>77</v>
      </c>
      <c r="B21" s="457">
        <f>'Revenue Build - Top Down'!E73</f>
        <v>0.31303491045381659</v>
      </c>
      <c r="C21" s="457">
        <f>'Revenue Build - Top Down'!I73</f>
        <v>0.27487947038929267</v>
      </c>
      <c r="D21" s="457">
        <f>'Revenue Build - Top Down'!N73</f>
        <v>0.26121556973368981</v>
      </c>
    </row>
    <row r="22" spans="1:4" ht="15" customHeight="1">
      <c r="A22" s="455" t="s">
        <v>80</v>
      </c>
      <c r="B22" s="457">
        <f>'Revenue Build - Top Down'!E74</f>
        <v>0.13846332180599294</v>
      </c>
      <c r="C22" s="457">
        <f>'Revenue Build - Top Down'!I74</f>
        <v>0.10719339905495191</v>
      </c>
      <c r="D22" s="457">
        <f>'Revenue Build - Top Down'!N74</f>
        <v>9.9690570961364439E-2</v>
      </c>
    </row>
    <row r="23" spans="1:4" ht="15" customHeight="1">
      <c r="A23" s="455" t="s">
        <v>83</v>
      </c>
      <c r="B23" s="457">
        <f>'Revenue Build - Top Down'!E75</f>
        <v>6.3271575124128204E-2</v>
      </c>
      <c r="C23" s="457">
        <f>'Revenue Build - Top Down'!I75</f>
        <v>7.4164687822311767E-2</v>
      </c>
      <c r="D23" s="457">
        <f>'Revenue Build - Top Down'!N75</f>
        <v>7.4803668896433195E-2</v>
      </c>
    </row>
    <row r="24" spans="1:4" ht="15" customHeight="1">
      <c r="A24" s="455" t="s">
        <v>168</v>
      </c>
      <c r="B24" s="457">
        <f>'Revenue Build - Top Down'!E76</f>
        <v>4.5980564517687061E-2</v>
      </c>
      <c r="C24" s="457">
        <f>'Revenue Build - Top Down'!I76</f>
        <v>6.3706795231584748E-2</v>
      </c>
      <c r="D24" s="457">
        <f>'Revenue Build - Top Down'!N76</f>
        <v>7.1126017999201707E-2</v>
      </c>
    </row>
    <row r="25" spans="1:4" ht="15" customHeight="1">
      <c r="A25" s="455" t="s">
        <v>169</v>
      </c>
      <c r="B25" s="457">
        <f>'Revenue Build - Top Down'!E77</f>
        <v>4.9844477502366648E-3</v>
      </c>
      <c r="C25" s="457">
        <f>'Revenue Build - Top Down'!I77</f>
        <v>7.195797654169965E-3</v>
      </c>
      <c r="D25" s="457">
        <f>'Revenue Build - Top Down'!N77</f>
        <v>9.2507815125023301E-3</v>
      </c>
    </row>
    <row r="28" spans="1:4" ht="15" customHeight="1">
      <c r="A28" s="452" t="s">
        <v>788</v>
      </c>
    </row>
    <row r="29" spans="1:4" ht="15" customHeight="1">
      <c r="A29" s="458" t="s">
        <v>789</v>
      </c>
      <c r="B29" s="458" t="s">
        <v>790</v>
      </c>
      <c r="C29" s="458" t="s">
        <v>791</v>
      </c>
      <c r="D29" s="458" t="s">
        <v>792</v>
      </c>
    </row>
    <row r="30" spans="1:4" ht="15" customHeight="1">
      <c r="A30" s="455" t="s">
        <v>793</v>
      </c>
      <c r="B30" s="459">
        <v>0</v>
      </c>
      <c r="C30" s="459">
        <f>Assumptions!B39</f>
        <v>63.39</v>
      </c>
      <c r="D30" s="459">
        <v>0</v>
      </c>
    </row>
    <row r="31" spans="1:4" ht="15" customHeight="1">
      <c r="A31" s="455" t="s">
        <v>794</v>
      </c>
      <c r="B31" s="459">
        <f>Assumptions!B39</f>
        <v>63.39</v>
      </c>
      <c r="C31" s="459">
        <v>0</v>
      </c>
      <c r="D31" s="459">
        <v>11.9</v>
      </c>
    </row>
    <row r="32" spans="1:4" ht="15" customHeight="1">
      <c r="A32" s="455" t="s">
        <v>795</v>
      </c>
      <c r="B32" s="459">
        <f>B31+C31+D31</f>
        <v>75.290000000000006</v>
      </c>
      <c r="C32" s="459">
        <v>0</v>
      </c>
      <c r="D32" s="459">
        <v>6.5</v>
      </c>
    </row>
    <row r="33" spans="1:12" ht="15" customHeight="1">
      <c r="A33" s="455" t="s">
        <v>796</v>
      </c>
      <c r="B33" s="459">
        <f>B32+C32+D32</f>
        <v>81.790000000000006</v>
      </c>
      <c r="C33" s="459">
        <v>0</v>
      </c>
      <c r="D33" s="459">
        <f>'DCF - Base Model'!C29-B33</f>
        <v>15.509865668957858</v>
      </c>
    </row>
    <row r="34" spans="1:12" ht="15" customHeight="1">
      <c r="A34" s="455" t="s">
        <v>797</v>
      </c>
      <c r="B34" s="459">
        <v>0</v>
      </c>
      <c r="C34" s="459">
        <f>'DCF - Base Model'!C29</f>
        <v>97.299865668957864</v>
      </c>
      <c r="D34" s="459">
        <v>0</v>
      </c>
    </row>
    <row r="37" spans="1:12" ht="15" customHeight="1">
      <c r="A37" s="452" t="s">
        <v>798</v>
      </c>
    </row>
    <row r="38" spans="1:12" ht="15" customHeight="1">
      <c r="A38" s="462">
        <f>'DCF - Base Model'!C29</f>
        <v>97.299865668957864</v>
      </c>
      <c r="B38" s="463">
        <v>9.5000000000000001E-2</v>
      </c>
      <c r="C38" s="463">
        <v>0.1</v>
      </c>
      <c r="D38" s="463">
        <v>0.105</v>
      </c>
      <c r="E38" s="463">
        <v>0.11</v>
      </c>
      <c r="F38" s="464">
        <v>0.115</v>
      </c>
    </row>
    <row r="39" spans="1:12" ht="15" customHeight="1">
      <c r="A39" s="294">
        <v>0.01</v>
      </c>
      <c r="B39" s="282">
        <v>99.946119591542114</v>
      </c>
      <c r="C39" s="282">
        <v>94.45954483028089</v>
      </c>
      <c r="D39" s="283">
        <v>89.572243497550829</v>
      </c>
      <c r="E39" s="284">
        <v>85.193412717645657</v>
      </c>
      <c r="F39" s="285">
        <v>81.249579683772097</v>
      </c>
    </row>
    <row r="40" spans="1:12" ht="15" customHeight="1">
      <c r="A40" s="294">
        <v>1.4999999999999999E-2</v>
      </c>
      <c r="B40" s="282">
        <v>104.64022669649081</v>
      </c>
      <c r="C40" s="282">
        <v>98.556735813189533</v>
      </c>
      <c r="D40" s="283">
        <v>93.172248939136423</v>
      </c>
      <c r="E40" s="284">
        <v>88.375432414353298</v>
      </c>
      <c r="F40" s="285">
        <v>84.077255486278943</v>
      </c>
    </row>
    <row r="41" spans="1:12" ht="15" customHeight="1">
      <c r="A41" s="295">
        <v>0.02</v>
      </c>
      <c r="B41" s="283">
        <v>109.96021474876605</v>
      </c>
      <c r="C41" s="283">
        <v>103.1660756689618</v>
      </c>
      <c r="D41" s="286">
        <v>97.195784432673307</v>
      </c>
      <c r="E41" s="283">
        <v>91.911009855139554</v>
      </c>
      <c r="F41" s="287">
        <v>87.202581373260216</v>
      </c>
    </row>
    <row r="42" spans="1:12" ht="15" customHeight="1">
      <c r="A42" s="294">
        <v>2.5000000000000001E-2</v>
      </c>
      <c r="B42" s="447">
        <v>116.04020109422345</v>
      </c>
      <c r="C42" s="447">
        <v>108.38999417217035</v>
      </c>
      <c r="D42" s="283">
        <v>101.72226186290227</v>
      </c>
      <c r="E42" s="282">
        <v>95.862537583077156</v>
      </c>
      <c r="F42" s="445">
        <v>90.675165692128317</v>
      </c>
    </row>
    <row r="43" spans="1:12" ht="15" customHeight="1">
      <c r="A43" s="296">
        <v>0.03</v>
      </c>
      <c r="B43" s="448">
        <v>123.0555699543666</v>
      </c>
      <c r="C43" s="448">
        <v>114.36018674726583</v>
      </c>
      <c r="D43" s="291">
        <v>106.85226961716177</v>
      </c>
      <c r="E43" s="290">
        <v>100.30800627700692</v>
      </c>
      <c r="F43" s="446">
        <v>94.556289342627935</v>
      </c>
    </row>
    <row r="46" spans="1:12" ht="15" customHeight="1">
      <c r="A46" s="452" t="s">
        <v>799</v>
      </c>
    </row>
    <row r="47" spans="1:12" ht="15" customHeight="1">
      <c r="A47" s="453"/>
      <c r="B47" s="453" t="s">
        <v>649</v>
      </c>
      <c r="C47" s="453" t="s">
        <v>650</v>
      </c>
      <c r="D47" s="453" t="s">
        <v>651</v>
      </c>
      <c r="E47" s="453" t="s">
        <v>652</v>
      </c>
      <c r="F47" s="453" t="s">
        <v>653</v>
      </c>
      <c r="G47" s="453" t="s">
        <v>654</v>
      </c>
      <c r="H47" s="454" t="s">
        <v>655</v>
      </c>
      <c r="I47" s="454" t="s">
        <v>656</v>
      </c>
      <c r="J47" s="454" t="s">
        <v>657</v>
      </c>
      <c r="K47" s="454" t="s">
        <v>658</v>
      </c>
      <c r="L47" s="454" t="s">
        <v>659</v>
      </c>
    </row>
    <row r="48" spans="1:12" ht="15" customHeight="1">
      <c r="A48" s="455" t="s">
        <v>800</v>
      </c>
      <c r="B48" s="459">
        <f>'Historical Income Statement'!B72</f>
        <v>6.3070339999999998</v>
      </c>
      <c r="C48" s="459">
        <f>'Historical Income Statement'!C72</f>
        <v>7.5185510000000004</v>
      </c>
      <c r="D48" s="459">
        <f>'Historical Income Statement'!D72</f>
        <v>5.3610980000000001</v>
      </c>
      <c r="E48" s="459">
        <f>'Historical Income Statement'!E72</f>
        <v>5.0228830000000002</v>
      </c>
      <c r="F48" s="459">
        <f>'Historical Income Statement'!F72</f>
        <v>5.1159970000000001</v>
      </c>
      <c r="G48" s="459">
        <f>'Historical Income Statement'!G72</f>
        <v>5.2864209999999998</v>
      </c>
      <c r="H48" s="459">
        <f>'DCF - Base Model'!D10/'DCF - Base Model'!C27</f>
        <v>6.5135332780952373</v>
      </c>
      <c r="I48" s="459">
        <f>'DCF - Base Model'!E10/'DCF - Base Model'!C27</f>
        <v>7.1715535944380946</v>
      </c>
      <c r="J48" s="459">
        <f>'DCF - Base Model'!F10/'DCF - Base Model'!C27</f>
        <v>7.8521202705306656</v>
      </c>
      <c r="K48" s="459">
        <f>'DCF - Base Model'!G10/'DCF - Base Model'!C27</f>
        <v>8.3581827637127191</v>
      </c>
      <c r="L48" s="459">
        <f>'DCF - Base Model'!H10/'DCF - Base Model'!C27</f>
        <v>8.8827688014190702</v>
      </c>
    </row>
    <row r="49" spans="1:12" ht="15" customHeight="1">
      <c r="A49" s="455" t="s">
        <v>801</v>
      </c>
      <c r="B49" s="459">
        <f>'Historical Income Statement'!B72</f>
        <v>6.3070339999999998</v>
      </c>
      <c r="C49" s="459">
        <f>'Historical Income Statement'!C72</f>
        <v>7.5185510000000004</v>
      </c>
      <c r="D49" s="459">
        <f>'Historical Income Statement'!D72</f>
        <v>5.3610980000000001</v>
      </c>
      <c r="E49" s="459">
        <f>'Historical Income Statement'!E72</f>
        <v>5.0228830000000002</v>
      </c>
      <c r="F49" s="459">
        <f>'Historical Income Statement'!F72</f>
        <v>5.1159970000000001</v>
      </c>
      <c r="G49" s="459">
        <f>'Historical Income Statement'!G72</f>
        <v>5.2864209999999998</v>
      </c>
      <c r="H49" s="459">
        <f>'DCF - Bear Model'!D12/'DCF - Bear Model'!C29</f>
        <v>3.376018954929064</v>
      </c>
      <c r="I49" s="459">
        <f>'DCF - Bear Model'!E12/'DCF - Bear Model'!C29</f>
        <v>3.8660573252593884</v>
      </c>
      <c r="J49" s="459">
        <f>'DCF - Bear Model'!F12/'DCF - Bear Model'!C29</f>
        <v>4.3878383950333992</v>
      </c>
      <c r="K49" s="459">
        <f>'DCF - Bear Model'!G12/'DCF - Bear Model'!C29</f>
        <v>4.7964203781049575</v>
      </c>
      <c r="L49" s="459">
        <f>'DCF - Bear Model'!H12/'DCF - Bear Model'!C29</f>
        <v>5.2213536989727931</v>
      </c>
    </row>
    <row r="51" spans="1:12" ht="15" customHeight="1">
      <c r="A51" s="452" t="s">
        <v>802</v>
      </c>
    </row>
    <row r="52" spans="1:12" ht="15" customHeight="1">
      <c r="A52" s="453"/>
      <c r="B52" s="453" t="s">
        <v>649</v>
      </c>
      <c r="C52" s="453" t="s">
        <v>650</v>
      </c>
      <c r="D52" s="453" t="s">
        <v>651</v>
      </c>
      <c r="E52" s="453" t="s">
        <v>652</v>
      </c>
      <c r="F52" s="453" t="s">
        <v>653</v>
      </c>
      <c r="G52" s="453" t="s">
        <v>654</v>
      </c>
      <c r="H52" s="454" t="s">
        <v>655</v>
      </c>
      <c r="I52" s="454" t="s">
        <v>656</v>
      </c>
      <c r="J52" s="454" t="s">
        <v>657</v>
      </c>
      <c r="K52" s="454" t="s">
        <v>658</v>
      </c>
      <c r="L52" s="454" t="s">
        <v>659</v>
      </c>
    </row>
    <row r="53" spans="1:12" ht="15" customHeight="1">
      <c r="A53" s="455" t="s">
        <v>803</v>
      </c>
      <c r="B53" s="457">
        <f>'Revenue Build - Top Down'!D7</f>
        <v>9.1999999999999998E-2</v>
      </c>
      <c r="C53" s="457">
        <f>'Revenue Build - Top Down'!E7</f>
        <v>0.11</v>
      </c>
      <c r="D53" s="457">
        <f>'Revenue Build - Top Down'!F7</f>
        <v>-0.10299999999999999</v>
      </c>
      <c r="E53" s="457">
        <f>'Revenue Build - Top Down'!G7</f>
        <v>-7.0999999999999994E-2</v>
      </c>
      <c r="F53" s="457">
        <f>'Revenue Build - Top Down'!H7</f>
        <v>-2.5000000000000001E-2</v>
      </c>
      <c r="G53" s="457">
        <f>'Revenue Build - Top Down'!I7</f>
        <v>4.0000000000000001E-3</v>
      </c>
      <c r="H53" s="457">
        <f>'Revenue Build - Top Down'!J7</f>
        <v>0.01</v>
      </c>
      <c r="I53" s="457">
        <f>'Revenue Build - Top Down'!K7</f>
        <v>1.4999999999999999E-2</v>
      </c>
      <c r="J53" s="457">
        <f>'Revenue Build - Top Down'!L7</f>
        <v>0.02</v>
      </c>
      <c r="K53" s="457">
        <f>'Revenue Build - Top Down'!M7</f>
        <v>0.02</v>
      </c>
      <c r="L53" s="457">
        <f>'Revenue Build - Top Down'!N7</f>
        <v>0.02</v>
      </c>
    </row>
    <row r="54" spans="1:12" ht="15" customHeight="1">
      <c r="A54" s="455" t="s">
        <v>804</v>
      </c>
      <c r="B54" s="460">
        <f>'Revenue Build - Top Down'!D29</f>
        <v>43.292999999999999</v>
      </c>
      <c r="C54" s="460">
        <f>'Revenue Build - Top Down'!E29</f>
        <v>48.435443037974686</v>
      </c>
      <c r="D54" s="460">
        <f>'Revenue Build - Top Down'!F29</f>
        <v>43.622833843017332</v>
      </c>
      <c r="E54" s="460">
        <f>'Revenue Build - Top Down'!G29</f>
        <v>41.273288728769941</v>
      </c>
      <c r="F54" s="460">
        <f>'Revenue Build - Top Down'!H29</f>
        <v>39.789802289282001</v>
      </c>
      <c r="G54" s="460">
        <f>'Revenue Build - Top Down'!I29</f>
        <v>40.656399362719064</v>
      </c>
      <c r="H54" s="460">
        <f>'Revenue Build - Top Down'!J29</f>
        <v>42.087866402679367</v>
      </c>
      <c r="I54" s="460">
        <f>'Revenue Build - Top Down'!K29</f>
        <v>43.280970933278056</v>
      </c>
      <c r="J54" s="460">
        <f>'Revenue Build - Top Down'!L29</f>
        <v>44.708500467103946</v>
      </c>
      <c r="K54" s="460">
        <f>'Revenue Build - Top Down'!M29</f>
        <v>46.163150225318553</v>
      </c>
      <c r="L54" s="460">
        <f>'Revenue Build - Top Down'!N29</f>
        <v>47.643805945623299</v>
      </c>
    </row>
    <row r="57" spans="1:12" ht="15" customHeight="1">
      <c r="A57" s="452" t="s">
        <v>805</v>
      </c>
    </row>
    <row r="58" spans="1:12" ht="15" customHeight="1">
      <c r="A58" s="458" t="s">
        <v>806</v>
      </c>
      <c r="B58" s="458" t="s">
        <v>807</v>
      </c>
      <c r="C58" s="458" t="s">
        <v>808</v>
      </c>
    </row>
    <row r="59" spans="1:12" ht="15" customHeight="1">
      <c r="A59" s="455" t="s">
        <v>809</v>
      </c>
      <c r="B59" s="459">
        <f>'Football Field'!C3</f>
        <v>62</v>
      </c>
      <c r="C59" s="459">
        <f>'Football Field'!D3</f>
        <v>34</v>
      </c>
    </row>
    <row r="60" spans="1:12" ht="15" customHeight="1">
      <c r="A60" s="455" t="s">
        <v>810</v>
      </c>
      <c r="B60" s="459">
        <f>'Football Field'!C4</f>
        <v>50</v>
      </c>
      <c r="C60" s="459">
        <f>'Football Field'!D4</f>
        <v>26</v>
      </c>
    </row>
    <row r="61" spans="1:12" ht="15" customHeight="1">
      <c r="A61" s="455" t="s">
        <v>621</v>
      </c>
      <c r="B61" s="459">
        <f>'Football Field'!C5</f>
        <v>81</v>
      </c>
      <c r="C61" s="459">
        <f>'Football Field'!D5</f>
        <v>42</v>
      </c>
    </row>
    <row r="62" spans="1:12" ht="15" customHeight="1">
      <c r="A62" s="455" t="s">
        <v>811</v>
      </c>
      <c r="B62" s="459">
        <f>'Football Field'!C6</f>
        <v>62.37</v>
      </c>
      <c r="C62" s="459">
        <f>'Football Field'!D6</f>
        <v>27.630000000000003</v>
      </c>
    </row>
    <row r="63" spans="1:12" ht="15" customHeight="1">
      <c r="A63" s="455" t="s">
        <v>812</v>
      </c>
      <c r="B63" s="459">
        <f>'Football Field'!C7</f>
        <v>62.87</v>
      </c>
      <c r="C63" s="459">
        <f>'Football Field'!D7</f>
        <v>25.300000000000004</v>
      </c>
    </row>
  </sheetData>
  <conditionalFormatting sqref="B39:F43">
    <cfRule type="colorScale" priority="1">
      <colorScale>
        <cfvo type="min"/>
        <cfvo type="percentile" val="50"/>
        <cfvo type="max"/>
        <color rgb="FFC00000"/>
        <color rgb="FFFFFF00"/>
        <color rgb="FF375623"/>
      </colorScale>
    </cfRule>
  </conditionalFormatting>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FE1B31-6A6E-40CA-8CBA-70D2D7D5B4E1}">
  <sheetPr>
    <tabColor theme="5" tint="0.79998168889431442"/>
  </sheetPr>
  <dimension ref="A55:G96"/>
  <sheetViews>
    <sheetView showGridLines="0" zoomScale="68" zoomScaleNormal="100" workbookViewId="0">
      <selection activeCell="V57" sqref="V57"/>
    </sheetView>
  </sheetViews>
  <sheetFormatPr baseColWidth="10" defaultColWidth="8.6640625" defaultRowHeight="13"/>
  <cols>
    <col min="1" max="39" width="12" customWidth="1"/>
  </cols>
  <sheetData>
    <row r="55" spans="1:7" ht="15" customHeight="1">
      <c r="A55" s="465"/>
      <c r="B55" s="466"/>
      <c r="C55" s="466"/>
      <c r="D55" s="466"/>
      <c r="E55" s="466"/>
      <c r="F55" s="466"/>
      <c r="G55" s="466"/>
    </row>
    <row r="56" spans="1:7" ht="15" customHeight="1">
      <c r="A56" s="465"/>
      <c r="B56" s="466"/>
      <c r="C56" s="466"/>
      <c r="D56" s="466"/>
      <c r="E56" s="466"/>
      <c r="F56" s="466"/>
      <c r="G56" s="466"/>
    </row>
    <row r="57" spans="1:7" ht="15" customHeight="1">
      <c r="A57" s="465"/>
      <c r="B57" s="466"/>
      <c r="C57" s="466"/>
      <c r="D57" s="466"/>
      <c r="E57" s="466"/>
      <c r="F57" s="466"/>
      <c r="G57" s="466"/>
    </row>
    <row r="58" spans="1:7" ht="15" customHeight="1">
      <c r="A58" s="467"/>
      <c r="B58" s="467"/>
      <c r="C58" s="467"/>
      <c r="D58" s="467"/>
      <c r="E58" s="467"/>
      <c r="F58" s="467"/>
      <c r="G58" s="466"/>
    </row>
    <row r="59" spans="1:7" ht="15" customHeight="1">
      <c r="A59" s="467"/>
      <c r="B59" s="468"/>
      <c r="C59" s="468"/>
      <c r="D59" s="468"/>
      <c r="E59" s="468"/>
      <c r="F59" s="468"/>
      <c r="G59" s="466"/>
    </row>
    <row r="60" spans="1:7" ht="15" customHeight="1">
      <c r="A60" s="467"/>
      <c r="B60" s="468"/>
      <c r="C60" s="468"/>
      <c r="D60" s="468"/>
      <c r="E60" s="468"/>
      <c r="F60" s="468"/>
      <c r="G60" s="466"/>
    </row>
    <row r="61" spans="1:7" ht="15" customHeight="1">
      <c r="A61" s="467"/>
      <c r="B61" s="468"/>
      <c r="C61" s="468"/>
      <c r="D61" s="468"/>
      <c r="E61" s="468"/>
      <c r="F61" s="468"/>
      <c r="G61" s="466"/>
    </row>
    <row r="62" spans="1:7" ht="15" customHeight="1">
      <c r="A62" s="467"/>
      <c r="B62" s="468"/>
      <c r="C62" s="468"/>
      <c r="D62" s="468"/>
      <c r="E62" s="468"/>
      <c r="F62" s="468"/>
      <c r="G62" s="466"/>
    </row>
    <row r="63" spans="1:7" ht="15" customHeight="1">
      <c r="A63" s="467"/>
      <c r="B63" s="468"/>
      <c r="C63" s="468"/>
      <c r="D63" s="468"/>
      <c r="E63" s="468"/>
      <c r="F63" s="468"/>
      <c r="G63" s="466"/>
    </row>
    <row r="64" spans="1:7" ht="14">
      <c r="A64" s="466"/>
      <c r="B64" s="466"/>
      <c r="C64" s="466"/>
      <c r="D64" s="466"/>
      <c r="E64" s="466"/>
      <c r="F64" s="466"/>
      <c r="G64" s="466"/>
    </row>
    <row r="65" spans="1:7" ht="14">
      <c r="A65" s="466"/>
      <c r="B65" s="466"/>
      <c r="C65" s="466"/>
      <c r="D65" s="466"/>
      <c r="E65" s="466"/>
      <c r="F65" s="466"/>
      <c r="G65" s="466"/>
    </row>
    <row r="88" spans="2:7" ht="16">
      <c r="B88" s="469" t="s">
        <v>813</v>
      </c>
    </row>
    <row r="89" spans="2:7">
      <c r="B89" s="470" t="s">
        <v>814</v>
      </c>
    </row>
    <row r="91" spans="2:7">
      <c r="B91" s="471" t="s">
        <v>815</v>
      </c>
      <c r="C91" s="471" t="s">
        <v>816</v>
      </c>
      <c r="D91" s="471" t="s">
        <v>817</v>
      </c>
      <c r="E91" s="471" t="s">
        <v>818</v>
      </c>
      <c r="F91" s="471" t="s">
        <v>819</v>
      </c>
      <c r="G91" s="471" t="s">
        <v>820</v>
      </c>
    </row>
    <row r="92" spans="2:7">
      <c r="B92" s="472" t="s">
        <v>821</v>
      </c>
      <c r="C92" s="473">
        <v>99.95</v>
      </c>
      <c r="D92" s="473">
        <v>94.46</v>
      </c>
      <c r="E92" s="473">
        <v>89.57</v>
      </c>
      <c r="F92" s="473">
        <v>85.19</v>
      </c>
      <c r="G92" s="473">
        <v>81.25</v>
      </c>
    </row>
    <row r="93" spans="2:7">
      <c r="B93" s="472" t="s">
        <v>822</v>
      </c>
      <c r="C93" s="473">
        <v>104.64</v>
      </c>
      <c r="D93" s="473">
        <v>98.56</v>
      </c>
      <c r="E93" s="473">
        <v>93.17</v>
      </c>
      <c r="F93" s="473">
        <v>88.38</v>
      </c>
      <c r="G93" s="473">
        <v>84.08</v>
      </c>
    </row>
    <row r="94" spans="2:7">
      <c r="B94" s="472" t="s">
        <v>823</v>
      </c>
      <c r="C94" s="473">
        <v>109.96</v>
      </c>
      <c r="D94" s="473">
        <v>103.17</v>
      </c>
      <c r="E94" s="474">
        <v>97.2</v>
      </c>
      <c r="F94" s="473">
        <v>91.91</v>
      </c>
      <c r="G94" s="473">
        <v>87.2</v>
      </c>
    </row>
    <row r="95" spans="2:7">
      <c r="B95" s="472" t="s">
        <v>824</v>
      </c>
      <c r="C95" s="473">
        <v>116.04</v>
      </c>
      <c r="D95" s="473">
        <v>108.39</v>
      </c>
      <c r="E95" s="473">
        <v>101.72</v>
      </c>
      <c r="F95" s="473">
        <v>95.86</v>
      </c>
      <c r="G95" s="473">
        <v>90.68</v>
      </c>
    </row>
    <row r="96" spans="2:7">
      <c r="B96" s="472" t="s">
        <v>825</v>
      </c>
      <c r="C96" s="473">
        <v>123.06</v>
      </c>
      <c r="D96" s="473">
        <v>114.36</v>
      </c>
      <c r="E96" s="473">
        <v>106.85</v>
      </c>
      <c r="F96" s="473">
        <v>100.31</v>
      </c>
      <c r="G96" s="473">
        <v>94.56</v>
      </c>
    </row>
  </sheetData>
  <conditionalFormatting sqref="C92:G96">
    <cfRule type="colorScale" priority="1">
      <colorScale>
        <cfvo type="min"/>
        <cfvo type="percentile" val="50"/>
        <cfvo type="max"/>
        <color rgb="FFC00000"/>
        <color rgb="FFFFFF00"/>
        <color rgb="FF375623"/>
      </colorScale>
    </cfRule>
  </conditionalFormatting>
  <pageMargins left="0.75" right="0.75" top="1" bottom="1" header="0.511811023622047" footer="0.511811023622047"/>
  <pageSetup paperSize="9" orientation="portrait" horizontalDpi="300" verticalDpi="300"/>
  <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30</vt:i4>
      </vt:variant>
    </vt:vector>
  </HeadingPairs>
  <TitlesOfParts>
    <vt:vector size="30" baseType="lpstr">
      <vt:lpstr>Overview</vt:lpstr>
      <vt:lpstr>Assumptions</vt:lpstr>
      <vt:lpstr>Revenue Build - Draft</vt:lpstr>
      <vt:lpstr>Historical Data ==&gt;</vt:lpstr>
      <vt:lpstr>Geographic Revenue</vt:lpstr>
      <vt:lpstr>Revenue Build - Top Down</vt:lpstr>
      <vt:lpstr>Business Segment Revenue</vt:lpstr>
      <vt:lpstr>Industry Metrics</vt:lpstr>
      <vt:lpstr>Historical Balance Sheet</vt:lpstr>
      <vt:lpstr>Historical Income Statement</vt:lpstr>
      <vt:lpstr>Historical Cash Flow</vt:lpstr>
      <vt:lpstr>Historical Capitalization</vt:lpstr>
      <vt:lpstr>Multiples</vt:lpstr>
      <vt:lpstr>Model ==&gt;</vt:lpstr>
      <vt:lpstr>Revenue Build - Bottom Up</vt:lpstr>
      <vt:lpstr>DCF - Base Model</vt:lpstr>
      <vt:lpstr>Revenue Build - Final Bear Case</vt:lpstr>
      <vt:lpstr>DCF - Bear Model</vt:lpstr>
      <vt:lpstr>FCFE Valuation</vt:lpstr>
      <vt:lpstr>Comp Analysis</vt:lpstr>
      <vt:lpstr>Football Field</vt:lpstr>
      <vt:lpstr>Valuation Football Field </vt:lpstr>
      <vt:lpstr>Blended Implied Pricing Summary</vt:lpstr>
      <vt:lpstr>Unit Economics</vt:lpstr>
      <vt:lpstr>Pro Forma Income Statement</vt:lpstr>
      <vt:lpstr>Estimates in CAGR</vt:lpstr>
      <vt:lpstr>WACC</vt:lpstr>
      <vt:lpstr>Appendix ==&gt;</vt:lpstr>
      <vt:lpstr>Chart Data</vt:lpstr>
      <vt:lpstr>Charts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FactSet Research Systems</dc:creator>
  <cp:keywords/>
  <dc:description/>
  <cp:lastModifiedBy>Katuwal, Shaira</cp:lastModifiedBy>
  <cp:revision>0</cp:revision>
  <dcterms:created xsi:type="dcterms:W3CDTF">2026-04-08T03:08:10Z</dcterms:created>
  <dcterms:modified xsi:type="dcterms:W3CDTF">2026-05-30T22:09:08Z</dcterms:modified>
  <cp:category/>
  <cp:contentStatus/>
</cp:coreProperties>
</file>